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\Dropbox\Time Warden Resources\Balancing\"/>
    </mc:Choice>
  </mc:AlternateContent>
  <xr:revisionPtr revIDLastSave="0" documentId="13_ncr:1_{3729DFA6-57E9-4450-8C40-29178D49FE7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  <sheet name="Type PIVOT" sheetId="4" r:id="rId2"/>
    <sheet name="Generations" sheetId="6" r:id="rId3"/>
    <sheet name="Pokemon without variants" sheetId="7" r:id="rId4"/>
  </sheets>
  <externalReferences>
    <externalReference r:id="rId5"/>
  </externalReferences>
  <definedNames>
    <definedName name="_xlnm._FilterDatabase" localSheetId="0" hidden="1">DATA!$A$1:$BR$1232</definedName>
    <definedName name="_xlnm._FilterDatabase" localSheetId="2" hidden="1">Generations!#REF!</definedName>
    <definedName name="_xlnm._FilterDatabase" localSheetId="3" hidden="1">'Pokemon without variants'!$A$1:$C$1076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44461.5927430556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231" i="1" l="1"/>
  <c r="BP1230" i="1"/>
  <c r="BP1229" i="1"/>
  <c r="BP1228" i="1"/>
  <c r="BP1227" i="1"/>
  <c r="BP1226" i="1"/>
  <c r="BP1225" i="1"/>
  <c r="BP1224" i="1"/>
  <c r="BP1223" i="1"/>
  <c r="BP1222" i="1"/>
  <c r="BP1221" i="1"/>
  <c r="BP1220" i="1" l="1"/>
  <c r="BP1219" i="1"/>
  <c r="BP1218" i="1"/>
  <c r="BP1217" i="1"/>
  <c r="BP1216" i="1"/>
  <c r="BP1215" i="1"/>
  <c r="BP1214" i="1"/>
  <c r="BP1213" i="1"/>
  <c r="BP1212" i="1"/>
  <c r="BP1211" i="1"/>
  <c r="BP1210" i="1"/>
  <c r="BP1209" i="1"/>
  <c r="BP1208" i="1"/>
  <c r="BP1207" i="1"/>
  <c r="BP1206" i="1"/>
  <c r="BP1205" i="1" l="1"/>
  <c r="BP1204" i="1"/>
  <c r="BP1203" i="1"/>
  <c r="BP1202" i="1"/>
  <c r="BP1201" i="1"/>
  <c r="BP1200" i="1"/>
  <c r="BP1199" i="1"/>
  <c r="BP1198" i="1"/>
  <c r="BP1197" i="1"/>
  <c r="BP1196" i="1"/>
  <c r="BP1195" i="1" l="1"/>
  <c r="BP1194" i="1"/>
  <c r="BP1193" i="1"/>
  <c r="BP1192" i="1" l="1"/>
  <c r="BP1191" i="1"/>
  <c r="BP1190" i="1"/>
  <c r="BP1189" i="1"/>
  <c r="BP1188" i="1"/>
  <c r="BP1187" i="1"/>
  <c r="BP1186" i="1"/>
  <c r="BP1185" i="1"/>
  <c r="BP1184" i="1"/>
  <c r="BP1183" i="1"/>
  <c r="BP1182" i="1"/>
  <c r="BP1181" i="1"/>
  <c r="BP1180" i="1" l="1"/>
  <c r="BP1179" i="1" l="1"/>
  <c r="BP1178" i="1"/>
  <c r="BP1177" i="1" l="1"/>
  <c r="BP1176" i="1"/>
  <c r="BP1175" i="1"/>
  <c r="BP1174" i="1"/>
  <c r="BP1173" i="1"/>
  <c r="B55" i="4"/>
  <c r="BP1172" i="1" l="1"/>
  <c r="BP1171" i="1"/>
  <c r="BP1170" i="1"/>
  <c r="BP1169" i="1"/>
  <c r="BP1168" i="1"/>
  <c r="BP1167" i="1"/>
  <c r="BP1166" i="1" l="1"/>
  <c r="BP1165" i="1"/>
  <c r="BP1164" i="1" l="1"/>
  <c r="BP1163" i="1"/>
  <c r="BP1162" i="1"/>
  <c r="BP1161" i="1"/>
  <c r="BP1160" i="1"/>
  <c r="BP1159" i="1"/>
  <c r="BP1158" i="1"/>
  <c r="BP1157" i="1"/>
  <c r="BP1156" i="1"/>
  <c r="BP1155" i="1"/>
  <c r="BP1154" i="1"/>
  <c r="BP1153" i="1"/>
  <c r="BP1152" i="1"/>
  <c r="BP1151" i="1"/>
  <c r="BP1150" i="1" l="1"/>
  <c r="BP1149" i="1" l="1"/>
  <c r="BP1146" i="1"/>
  <c r="BP1145" i="1"/>
  <c r="BP1144" i="1"/>
  <c r="BP1148" i="1"/>
  <c r="BP1147" i="1"/>
  <c r="BP1143" i="1"/>
  <c r="BP1142" i="1"/>
  <c r="BP1141" i="1"/>
  <c r="BP1140" i="1"/>
  <c r="BP1139" i="1"/>
  <c r="BP1138" i="1"/>
  <c r="BP1137" i="1"/>
  <c r="BP1135" i="1"/>
  <c r="BP1136" i="1"/>
  <c r="BP1134" i="1"/>
  <c r="BP1133" i="1"/>
  <c r="BP1132" i="1"/>
  <c r="BP1131" i="1"/>
  <c r="BP1130" i="1"/>
  <c r="BP1129" i="1"/>
  <c r="BP1128" i="1"/>
  <c r="BP1127" i="1"/>
  <c r="BP1126" i="1"/>
  <c r="BP1125" i="1"/>
  <c r="BP1124" i="1"/>
  <c r="BP1123" i="1"/>
  <c r="BP1122" i="1"/>
  <c r="BP1121" i="1"/>
  <c r="BP1120" i="1"/>
  <c r="BP1119" i="1"/>
  <c r="BP1118" i="1"/>
  <c r="BP1117" i="1" l="1"/>
  <c r="BP1116" i="1"/>
  <c r="BP1115" i="1"/>
  <c r="BP1114" i="1" l="1"/>
  <c r="BP1112" i="1"/>
  <c r="BP1111" i="1"/>
  <c r="BP1110" i="1"/>
  <c r="BP1109" i="1"/>
  <c r="BP1108" i="1"/>
  <c r="BP1107" i="1"/>
  <c r="BP1113" i="1"/>
  <c r="BP1106" i="1" l="1"/>
  <c r="BP1105" i="1"/>
  <c r="BP1104" i="1"/>
  <c r="BP1103" i="1"/>
  <c r="BP1102" i="1"/>
  <c r="BP1101" i="1"/>
  <c r="BP1100" i="1"/>
  <c r="BP1009" i="1"/>
  <c r="BJ299" i="1" l="1"/>
  <c r="BP1099" i="1"/>
  <c r="BP1098" i="1" l="1"/>
  <c r="BP1092" i="1"/>
  <c r="BP1091" i="1"/>
  <c r="BP1097" i="1"/>
  <c r="BP1096" i="1"/>
  <c r="BP1095" i="1"/>
  <c r="BP1094" i="1"/>
  <c r="BP1093" i="1"/>
  <c r="BP1090" i="1"/>
  <c r="BP1089" i="1"/>
  <c r="BP1088" i="1"/>
  <c r="BP1087" i="1"/>
  <c r="BP1086" i="1"/>
  <c r="BP1085" i="1"/>
  <c r="BP1084" i="1"/>
  <c r="BP1083" i="1"/>
  <c r="BP1082" i="1"/>
  <c r="BP1078" i="1" l="1"/>
  <c r="BP1077" i="1"/>
  <c r="BP1081" i="1"/>
  <c r="BP1080" i="1"/>
  <c r="BP1079" i="1"/>
  <c r="BP1076" i="1"/>
  <c r="BP1075" i="1"/>
  <c r="BP1074" i="1"/>
  <c r="BP1073" i="1"/>
  <c r="BP1072" i="1" l="1"/>
  <c r="BP1071" i="1"/>
  <c r="BP1070" i="1"/>
  <c r="BP1069" i="1"/>
  <c r="BP1068" i="1"/>
  <c r="BP1067" i="1"/>
  <c r="BP1066" i="1"/>
  <c r="BP1065" i="1"/>
  <c r="BP1064" i="1"/>
  <c r="BP1063" i="1"/>
  <c r="BP1062" i="1"/>
  <c r="BP1061" i="1"/>
  <c r="BP1060" i="1"/>
  <c r="BP1059" i="1"/>
  <c r="BP1058" i="1" l="1"/>
  <c r="BP1057" i="1"/>
  <c r="BP1056" i="1" l="1"/>
  <c r="BP1055" i="1"/>
  <c r="BP1054" i="1"/>
  <c r="BP1053" i="1"/>
  <c r="BP1052" i="1"/>
  <c r="BP1051" i="1"/>
  <c r="BP1050" i="1"/>
  <c r="BP1049" i="1" l="1"/>
  <c r="BP1048" i="1"/>
  <c r="BP1047" i="1"/>
  <c r="BP1046" i="1"/>
  <c r="BP1045" i="1"/>
  <c r="BP1044" i="1"/>
  <c r="BP1043" i="1"/>
  <c r="BP1041" i="1"/>
  <c r="BP1042" i="1"/>
  <c r="BP1040" i="1"/>
  <c r="BP1039" i="1"/>
  <c r="BP1038" i="1"/>
  <c r="BP1037" i="1"/>
  <c r="BP1036" i="1"/>
  <c r="BP1035" i="1" l="1"/>
  <c r="BP1034" i="1" l="1"/>
  <c r="BP1033" i="1"/>
  <c r="BP1032" i="1" l="1"/>
  <c r="BP1031" i="1"/>
  <c r="BP1030" i="1"/>
  <c r="BP1029" i="1"/>
  <c r="BP1028" i="1"/>
  <c r="BP1027" i="1"/>
  <c r="BP1026" i="1"/>
  <c r="BP1025" i="1"/>
  <c r="BP1024" i="1"/>
  <c r="BP1023" i="1"/>
  <c r="BP1022" i="1"/>
  <c r="BP1021" i="1"/>
  <c r="BP1020" i="1"/>
  <c r="BP1019" i="1"/>
  <c r="BP1018" i="1"/>
  <c r="BP1017" i="1"/>
  <c r="BP1016" i="1"/>
  <c r="BP1015" i="1"/>
  <c r="BP1014" i="1"/>
  <c r="BP1013" i="1" l="1"/>
  <c r="BP1012" i="1"/>
  <c r="BP1011" i="1"/>
  <c r="BP1010" i="1"/>
  <c r="BP232" i="1" l="1"/>
  <c r="BP231" i="1"/>
  <c r="BP230" i="1"/>
  <c r="BP229" i="1"/>
  <c r="BP1008" i="1"/>
  <c r="BP1007" i="1"/>
  <c r="BP1006" i="1"/>
  <c r="BP1005" i="1"/>
  <c r="BP1004" i="1"/>
  <c r="BP1003" i="1"/>
  <c r="BP1002" i="1"/>
  <c r="BP1001" i="1"/>
  <c r="BP1000" i="1"/>
  <c r="BP999" i="1"/>
  <c r="BP998" i="1"/>
  <c r="BP997" i="1" l="1"/>
  <c r="BP996" i="1"/>
  <c r="BP995" i="1"/>
  <c r="BP994" i="1"/>
  <c r="BP993" i="1"/>
  <c r="BP992" i="1"/>
  <c r="BP991" i="1"/>
  <c r="BP990" i="1"/>
  <c r="BP989" i="1"/>
  <c r="BP988" i="1"/>
  <c r="BP987" i="1"/>
  <c r="BP986" i="1"/>
  <c r="BP985" i="1"/>
  <c r="BP984" i="1"/>
  <c r="BP983" i="1"/>
  <c r="BP982" i="1"/>
  <c r="BP981" i="1"/>
  <c r="BP980" i="1"/>
  <c r="BP979" i="1" l="1"/>
  <c r="BP978" i="1"/>
  <c r="BP977" i="1"/>
  <c r="BP976" i="1" l="1"/>
  <c r="BP975" i="1"/>
  <c r="BP974" i="1"/>
  <c r="BP973" i="1"/>
  <c r="BP972" i="1"/>
  <c r="BP971" i="1"/>
  <c r="BP970" i="1"/>
  <c r="BP969" i="1" l="1"/>
  <c r="BP968" i="1"/>
  <c r="BP967" i="1"/>
  <c r="BP966" i="1"/>
  <c r="BP965" i="1"/>
  <c r="BP964" i="1"/>
  <c r="BP963" i="1"/>
  <c r="BP962" i="1"/>
  <c r="BP961" i="1"/>
  <c r="BP960" i="1"/>
  <c r="BP959" i="1"/>
  <c r="BP958" i="1"/>
  <c r="BP957" i="1"/>
  <c r="BP956" i="1"/>
  <c r="BP955" i="1"/>
  <c r="BP954" i="1"/>
  <c r="BP953" i="1"/>
  <c r="BJ385" i="1" l="1"/>
  <c r="BP952" i="1" l="1"/>
  <c r="BP951" i="1"/>
  <c r="BP950" i="1"/>
  <c r="BP949" i="1"/>
  <c r="BP948" i="1"/>
  <c r="BP947" i="1"/>
  <c r="BP946" i="1"/>
  <c r="BP945" i="1"/>
  <c r="BP944" i="1"/>
  <c r="BP943" i="1"/>
  <c r="BP942" i="1"/>
  <c r="BP941" i="1"/>
  <c r="BP940" i="1"/>
  <c r="BP939" i="1"/>
  <c r="BP938" i="1"/>
  <c r="BP937" i="1"/>
  <c r="BP936" i="1"/>
  <c r="BP935" i="1"/>
  <c r="BP934" i="1"/>
  <c r="BP844" i="1" l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Y53" i="4" l="1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Y55" i="4" l="1"/>
  <c r="BP843" i="1"/>
  <c r="BP832" i="1" l="1"/>
  <c r="BP838" i="1"/>
  <c r="BP837" i="1"/>
  <c r="BP836" i="1"/>
  <c r="BP841" i="1"/>
  <c r="BP840" i="1"/>
  <c r="BP842" i="1"/>
  <c r="BP839" i="1"/>
  <c r="BP835" i="1"/>
  <c r="BP834" i="1" l="1"/>
  <c r="BP833" i="1"/>
  <c r="BP831" i="1"/>
  <c r="BP830" i="1" l="1"/>
  <c r="BP829" i="1" l="1"/>
  <c r="BP828" i="1"/>
  <c r="BP827" i="1"/>
  <c r="BP826" i="1" l="1"/>
  <c r="BP825" i="1"/>
  <c r="BP824" i="1"/>
  <c r="BP823" i="1"/>
  <c r="BP822" i="1"/>
  <c r="BP821" i="1"/>
  <c r="BP820" i="1" l="1"/>
  <c r="BP819" i="1"/>
  <c r="BP818" i="1"/>
  <c r="BP817" i="1" l="1"/>
  <c r="BP816" i="1"/>
  <c r="BP815" i="1"/>
  <c r="BP814" i="1"/>
  <c r="BP813" i="1"/>
  <c r="BP812" i="1"/>
  <c r="BP811" i="1"/>
  <c r="BP810" i="1"/>
  <c r="BP809" i="1"/>
  <c r="BP808" i="1"/>
  <c r="BP807" i="1"/>
  <c r="BP806" i="1"/>
  <c r="BP805" i="1"/>
  <c r="BP804" i="1"/>
  <c r="BP803" i="1"/>
  <c r="BP802" i="1"/>
  <c r="BP801" i="1"/>
  <c r="BP800" i="1"/>
  <c r="BP799" i="1"/>
  <c r="BP798" i="1"/>
  <c r="BP797" i="1" l="1"/>
  <c r="BP796" i="1"/>
  <c r="BP795" i="1"/>
  <c r="BP794" i="1"/>
  <c r="BP793" i="1"/>
  <c r="BP792" i="1"/>
  <c r="BP791" i="1" l="1"/>
  <c r="BP790" i="1"/>
  <c r="BP789" i="1"/>
  <c r="BP788" i="1"/>
  <c r="BP787" i="1" l="1"/>
  <c r="BP786" i="1"/>
  <c r="BP785" i="1"/>
  <c r="BP784" i="1" l="1"/>
  <c r="BP783" i="1"/>
  <c r="BP782" i="1"/>
  <c r="BP781" i="1"/>
  <c r="BP780" i="1"/>
  <c r="BP779" i="1" l="1"/>
  <c r="BP778" i="1"/>
  <c r="BP777" i="1"/>
  <c r="BP776" i="1"/>
  <c r="BP775" i="1"/>
  <c r="BP774" i="1" l="1"/>
  <c r="BP773" i="1"/>
  <c r="BP772" i="1"/>
  <c r="BP771" i="1"/>
  <c r="BP770" i="1"/>
  <c r="BP769" i="1"/>
  <c r="BP768" i="1" l="1"/>
  <c r="BP767" i="1"/>
  <c r="BP766" i="1"/>
  <c r="BP765" i="1"/>
  <c r="BP764" i="1"/>
  <c r="BP763" i="1"/>
  <c r="BP762" i="1" l="1"/>
  <c r="BP761" i="1"/>
  <c r="BP760" i="1"/>
  <c r="BP759" i="1"/>
  <c r="BP758" i="1" l="1"/>
  <c r="BP757" i="1"/>
  <c r="BP756" i="1"/>
  <c r="BP755" i="1"/>
  <c r="BP754" i="1"/>
  <c r="AC6" i="4" l="1"/>
  <c r="BP753" i="1" l="1"/>
  <c r="BP752" i="1"/>
  <c r="BP751" i="1" l="1"/>
  <c r="BP558" i="1"/>
  <c r="BP635" i="1"/>
  <c r="BP750" i="1" l="1"/>
  <c r="BP749" i="1"/>
  <c r="BP748" i="1"/>
  <c r="BP747" i="1"/>
  <c r="BP746" i="1" l="1"/>
  <c r="BP745" i="1"/>
  <c r="BP744" i="1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BP743" i="1" l="1"/>
  <c r="BP742" i="1"/>
  <c r="BP741" i="1"/>
  <c r="BP740" i="1"/>
  <c r="BP739" i="1"/>
  <c r="BP738" i="1"/>
  <c r="BP737" i="1"/>
  <c r="BP736" i="1"/>
  <c r="BP735" i="1"/>
  <c r="BP734" i="1"/>
  <c r="BP733" i="1" l="1"/>
  <c r="BP732" i="1"/>
  <c r="BP731" i="1"/>
  <c r="BP730" i="1"/>
  <c r="BP729" i="1"/>
  <c r="BP728" i="1"/>
  <c r="BP727" i="1"/>
  <c r="BP726" i="1"/>
  <c r="BP725" i="1"/>
  <c r="BP724" i="1"/>
  <c r="BP723" i="1"/>
  <c r="BP722" i="1"/>
  <c r="BP721" i="1"/>
  <c r="BP720" i="1"/>
  <c r="BP719" i="1"/>
  <c r="BP718" i="1"/>
  <c r="BP717" i="1"/>
  <c r="BP716" i="1"/>
  <c r="BP715" i="1"/>
  <c r="BP714" i="1"/>
  <c r="BP713" i="1"/>
  <c r="BP712" i="1"/>
  <c r="BP711" i="1"/>
  <c r="BP710" i="1"/>
  <c r="BP709" i="1"/>
  <c r="BP708" i="1"/>
  <c r="BP707" i="1"/>
  <c r="BP706" i="1"/>
  <c r="BP705" i="1"/>
  <c r="BP704" i="1"/>
  <c r="BP703" i="1"/>
  <c r="BP702" i="1"/>
  <c r="BP701" i="1"/>
  <c r="BP700" i="1"/>
  <c r="BP699" i="1"/>
  <c r="BP698" i="1"/>
  <c r="BP697" i="1"/>
  <c r="BP696" i="1"/>
  <c r="BP695" i="1"/>
  <c r="BP694" i="1"/>
  <c r="BP693" i="1"/>
  <c r="BP692" i="1"/>
  <c r="BP691" i="1"/>
  <c r="BP690" i="1"/>
  <c r="BP689" i="1"/>
  <c r="BP688" i="1"/>
  <c r="BP687" i="1"/>
  <c r="BP686" i="1" l="1"/>
  <c r="BP685" i="1"/>
  <c r="BP684" i="1"/>
  <c r="BP683" i="1"/>
  <c r="BP682" i="1"/>
  <c r="BP681" i="1"/>
  <c r="BP680" i="1"/>
  <c r="BP679" i="1"/>
  <c r="BP678" i="1"/>
  <c r="BP677" i="1"/>
  <c r="BP676" i="1"/>
  <c r="BP675" i="1"/>
  <c r="BP674" i="1"/>
  <c r="BP673" i="1"/>
  <c r="BP672" i="1"/>
  <c r="BP671" i="1"/>
  <c r="BP670" i="1"/>
  <c r="BP669" i="1"/>
  <c r="BP668" i="1"/>
  <c r="BP667" i="1"/>
  <c r="BP666" i="1"/>
  <c r="BP665" i="1"/>
  <c r="BP664" i="1"/>
  <c r="BP357" i="1"/>
  <c r="BP663" i="1"/>
  <c r="BP662" i="1"/>
  <c r="BP661" i="1"/>
  <c r="BP660" i="1"/>
  <c r="BP659" i="1"/>
  <c r="BP658" i="1"/>
  <c r="BP657" i="1"/>
  <c r="BP656" i="1"/>
  <c r="BP655" i="1"/>
  <c r="BP654" i="1"/>
  <c r="BP653" i="1"/>
  <c r="BP652" i="1"/>
  <c r="BP651" i="1"/>
  <c r="BP650" i="1"/>
  <c r="BP649" i="1"/>
  <c r="BP648" i="1"/>
  <c r="BP647" i="1"/>
  <c r="BP646" i="1"/>
  <c r="BP645" i="1"/>
  <c r="BP644" i="1"/>
  <c r="BP643" i="1"/>
  <c r="BP642" i="1"/>
  <c r="BP641" i="1"/>
  <c r="BP640" i="1"/>
  <c r="BP639" i="1"/>
  <c r="BP638" i="1"/>
  <c r="BP637" i="1"/>
  <c r="BP636" i="1"/>
  <c r="BP634" i="1"/>
  <c r="BP633" i="1"/>
  <c r="BP632" i="1"/>
  <c r="BP631" i="1"/>
  <c r="BP630" i="1"/>
  <c r="BP629" i="1"/>
  <c r="BP628" i="1"/>
  <c r="BP627" i="1"/>
  <c r="BP626" i="1"/>
  <c r="BP625" i="1"/>
  <c r="BP624" i="1"/>
  <c r="BP623" i="1"/>
  <c r="BP622" i="1"/>
  <c r="BP621" i="1"/>
  <c r="BP620" i="1"/>
  <c r="BP619" i="1"/>
  <c r="BP618" i="1"/>
  <c r="BP617" i="1"/>
  <c r="BP616" i="1"/>
  <c r="BP615" i="1"/>
  <c r="BP614" i="1"/>
  <c r="BP613" i="1"/>
  <c r="BP612" i="1"/>
  <c r="BP611" i="1"/>
  <c r="BP610" i="1"/>
  <c r="BP609" i="1"/>
  <c r="BP608" i="1"/>
  <c r="BP607" i="1"/>
  <c r="BP606" i="1"/>
  <c r="BP605" i="1"/>
  <c r="BP604" i="1"/>
  <c r="BP603" i="1"/>
  <c r="BP602" i="1"/>
  <c r="BP601" i="1"/>
  <c r="BP600" i="1"/>
  <c r="BP599" i="1"/>
  <c r="BP598" i="1"/>
  <c r="BP597" i="1"/>
  <c r="BP596" i="1"/>
  <c r="BP595" i="1"/>
  <c r="BP594" i="1"/>
  <c r="BP593" i="1"/>
  <c r="BP592" i="1"/>
  <c r="BP591" i="1"/>
  <c r="BP590" i="1"/>
  <c r="BP589" i="1"/>
  <c r="BP588" i="1"/>
  <c r="BP587" i="1"/>
  <c r="BP586" i="1"/>
  <c r="BP585" i="1"/>
  <c r="BP584" i="1"/>
  <c r="BP583" i="1"/>
  <c r="BP582" i="1"/>
  <c r="BP581" i="1"/>
  <c r="BP580" i="1"/>
  <c r="BP579" i="1"/>
  <c r="BP578" i="1"/>
  <c r="BP577" i="1"/>
  <c r="BP576" i="1"/>
  <c r="BP575" i="1"/>
  <c r="BP574" i="1"/>
  <c r="BP573" i="1"/>
  <c r="BP572" i="1"/>
  <c r="BP571" i="1"/>
  <c r="BP570" i="1"/>
  <c r="BP569" i="1"/>
  <c r="BP568" i="1"/>
  <c r="BP564" i="1"/>
  <c r="BP563" i="1"/>
  <c r="BP562" i="1"/>
  <c r="BP567" i="1"/>
  <c r="BP566" i="1"/>
  <c r="BP565" i="1"/>
  <c r="BP561" i="1"/>
  <c r="BP560" i="1"/>
  <c r="BP559" i="1"/>
  <c r="BP281" i="1"/>
  <c r="BP557" i="1"/>
  <c r="BP556" i="1"/>
  <c r="BP555" i="1"/>
  <c r="BP554" i="1"/>
  <c r="BP553" i="1"/>
  <c r="BP552" i="1"/>
  <c r="BP551" i="1"/>
  <c r="BP550" i="1"/>
  <c r="BP549" i="1"/>
  <c r="BP548" i="1"/>
  <c r="BP547" i="1"/>
  <c r="BP546" i="1"/>
  <c r="BP545" i="1"/>
  <c r="BP544" i="1"/>
  <c r="BP543" i="1"/>
  <c r="BP454" i="1"/>
  <c r="BP542" i="1"/>
  <c r="BP541" i="1"/>
  <c r="BP540" i="1"/>
  <c r="BP539" i="1"/>
  <c r="BP538" i="1"/>
  <c r="BP537" i="1"/>
  <c r="BP536" i="1"/>
  <c r="BP535" i="1"/>
  <c r="BP534" i="1"/>
  <c r="BP533" i="1"/>
  <c r="BP532" i="1"/>
  <c r="BP531" i="1"/>
  <c r="BP530" i="1"/>
  <c r="BP529" i="1"/>
  <c r="BP528" i="1"/>
  <c r="BP527" i="1"/>
  <c r="BP526" i="1"/>
  <c r="BP525" i="1"/>
  <c r="BP524" i="1"/>
  <c r="BP523" i="1"/>
  <c r="BP522" i="1"/>
  <c r="BP521" i="1"/>
  <c r="BP520" i="1"/>
  <c r="BP519" i="1"/>
  <c r="BP518" i="1"/>
  <c r="BP517" i="1"/>
  <c r="BP516" i="1"/>
  <c r="BP515" i="1"/>
  <c r="BP514" i="1"/>
  <c r="BP513" i="1"/>
  <c r="BP512" i="1"/>
  <c r="BP511" i="1"/>
  <c r="BP510" i="1"/>
  <c r="BP509" i="1"/>
  <c r="BP508" i="1"/>
  <c r="BP507" i="1"/>
  <c r="BP506" i="1"/>
  <c r="BP488" i="1" l="1"/>
  <c r="BP283" i="1" l="1"/>
  <c r="BP284" i="1"/>
  <c r="BP282" i="1"/>
  <c r="BP505" i="1"/>
  <c r="BP504" i="1"/>
  <c r="BP503" i="1"/>
  <c r="BP502" i="1"/>
  <c r="BP501" i="1"/>
  <c r="BP500" i="1"/>
  <c r="BP499" i="1"/>
  <c r="BP498" i="1"/>
  <c r="BP497" i="1"/>
  <c r="BP496" i="1"/>
  <c r="BP495" i="1"/>
  <c r="BP494" i="1"/>
  <c r="BP493" i="1" l="1"/>
  <c r="BP492" i="1"/>
  <c r="BP491" i="1"/>
  <c r="BP490" i="1"/>
  <c r="BP489" i="1"/>
  <c r="BP487" i="1"/>
  <c r="BP486" i="1"/>
  <c r="BP485" i="1"/>
  <c r="BP484" i="1"/>
  <c r="BP483" i="1"/>
  <c r="BP482" i="1"/>
  <c r="BP265" i="1"/>
  <c r="BP264" i="1"/>
  <c r="BP481" i="1" l="1"/>
  <c r="BP480" i="1"/>
  <c r="BP479" i="1"/>
  <c r="BP272" i="1"/>
  <c r="BP271" i="1"/>
  <c r="BP478" i="1"/>
  <c r="BP477" i="1" l="1"/>
  <c r="BP476" i="1"/>
  <c r="BP475" i="1"/>
  <c r="BP280" i="1"/>
  <c r="BP279" i="1"/>
  <c r="BP278" i="1"/>
  <c r="BP474" i="1"/>
  <c r="BP473" i="1"/>
  <c r="BP472" i="1"/>
  <c r="BP471" i="1"/>
  <c r="BP470" i="1" l="1"/>
  <c r="BP469" i="1"/>
  <c r="BP468" i="1"/>
  <c r="BP467" i="1"/>
  <c r="BP466" i="1"/>
  <c r="BP270" i="1" l="1"/>
  <c r="BP269" i="1"/>
  <c r="BP465" i="1" l="1"/>
  <c r="BP464" i="1"/>
  <c r="BP463" i="1"/>
  <c r="BP462" i="1"/>
  <c r="BP461" i="1"/>
  <c r="BP460" i="1"/>
  <c r="BP459" i="1"/>
  <c r="BP458" i="1"/>
  <c r="BP456" i="1"/>
  <c r="BP457" i="1"/>
  <c r="BP455" i="1"/>
  <c r="BP453" i="1"/>
  <c r="BP452" i="1"/>
  <c r="BP451" i="1"/>
  <c r="BP450" i="1"/>
  <c r="BP449" i="1"/>
  <c r="BP448" i="1"/>
  <c r="BP447" i="1"/>
  <c r="BP446" i="1"/>
  <c r="BP445" i="1"/>
  <c r="BP444" i="1"/>
  <c r="BP443" i="1"/>
  <c r="AC25" i="4" l="1"/>
  <c r="AC23" i="4"/>
  <c r="BP442" i="1"/>
  <c r="BP441" i="1"/>
  <c r="BP440" i="1"/>
  <c r="BP439" i="1"/>
  <c r="BP438" i="1"/>
  <c r="BP437" i="1"/>
  <c r="BP436" i="1"/>
  <c r="BP435" i="1"/>
  <c r="BP434" i="1"/>
  <c r="BP433" i="1"/>
  <c r="BP432" i="1"/>
  <c r="BP431" i="1"/>
  <c r="BP430" i="1" l="1"/>
  <c r="BP429" i="1"/>
  <c r="BP428" i="1"/>
  <c r="BP427" i="1"/>
  <c r="BP426" i="1"/>
  <c r="BP425" i="1"/>
  <c r="BP424" i="1"/>
  <c r="BP423" i="1"/>
  <c r="BP422" i="1"/>
  <c r="BP421" i="1"/>
  <c r="BP420" i="1"/>
  <c r="BP419" i="1"/>
  <c r="BP418" i="1"/>
  <c r="BP417" i="1"/>
  <c r="BP275" i="1" l="1"/>
  <c r="BP274" i="1"/>
  <c r="BP273" i="1"/>
  <c r="BP416" i="1"/>
  <c r="BP415" i="1"/>
  <c r="BP414" i="1" l="1"/>
  <c r="BP413" i="1"/>
  <c r="BP412" i="1"/>
  <c r="BP411" i="1"/>
  <c r="BP410" i="1"/>
  <c r="BP409" i="1" l="1"/>
  <c r="BP408" i="1"/>
  <c r="BP277" i="1"/>
  <c r="BP276" i="1"/>
  <c r="BP407" i="1" l="1"/>
  <c r="BP406" i="1"/>
  <c r="BP405" i="1"/>
  <c r="AC24" i="4"/>
  <c r="BP290" i="1"/>
  <c r="BP289" i="1"/>
  <c r="AC22" i="4"/>
  <c r="BP404" i="1"/>
  <c r="BP403" i="1"/>
  <c r="BP247" i="1"/>
  <c r="BP246" i="1"/>
  <c r="BP245" i="1"/>
  <c r="BP402" i="1"/>
  <c r="BP401" i="1"/>
  <c r="BP400" i="1"/>
  <c r="BP399" i="1"/>
  <c r="BP299" i="1" l="1"/>
  <c r="BP268" i="1"/>
  <c r="BP267" i="1"/>
  <c r="BP266" i="1"/>
  <c r="BP288" i="1"/>
  <c r="BP287" i="1"/>
  <c r="BP398" i="1"/>
  <c r="BP397" i="1"/>
  <c r="BP385" i="1"/>
  <c r="BP396" i="1"/>
  <c r="BP395" i="1"/>
  <c r="BP394" i="1"/>
  <c r="BP393" i="1"/>
  <c r="BP392" i="1"/>
  <c r="BP391" i="1"/>
  <c r="BP390" i="1"/>
  <c r="BP389" i="1"/>
  <c r="BP388" i="1"/>
  <c r="BP387" i="1" l="1"/>
  <c r="BP386" i="1"/>
  <c r="BP384" i="1"/>
  <c r="BP383" i="1"/>
  <c r="BP261" i="1" l="1"/>
  <c r="BP260" i="1"/>
  <c r="BP382" i="1"/>
  <c r="BP381" i="1"/>
  <c r="BP380" i="1"/>
  <c r="BP379" i="1"/>
  <c r="BP378" i="1"/>
  <c r="BP377" i="1"/>
  <c r="BP376" i="1"/>
  <c r="BP375" i="1"/>
  <c r="BP373" i="1" l="1"/>
  <c r="BP372" i="1"/>
  <c r="BP371" i="1"/>
  <c r="BP370" i="1"/>
  <c r="BP369" i="1"/>
  <c r="BP368" i="1"/>
  <c r="BP367" i="1"/>
  <c r="BP366" i="1"/>
  <c r="BP365" i="1"/>
  <c r="BP364" i="1"/>
  <c r="BP374" i="1"/>
  <c r="BP363" i="1"/>
  <c r="BP362" i="1"/>
  <c r="BP361" i="1"/>
  <c r="BP360" i="1"/>
  <c r="BP359" i="1"/>
  <c r="BP286" i="1"/>
  <c r="A3" i="1" l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5" i="1"/>
  <c r="BP213" i="1"/>
  <c r="BP211" i="1"/>
  <c r="BP209" i="1"/>
  <c r="BP207" i="1"/>
  <c r="BP216" i="1"/>
  <c r="BP214" i="1"/>
  <c r="BP212" i="1"/>
  <c r="BP210" i="1"/>
  <c r="BP208" i="1"/>
  <c r="BP351" i="1"/>
  <c r="BP350" i="1"/>
  <c r="BP349" i="1"/>
  <c r="BP348" i="1"/>
  <c r="BP347" i="1"/>
  <c r="BP346" i="1"/>
  <c r="BP345" i="1"/>
  <c r="BP244" i="1"/>
  <c r="BP243" i="1"/>
  <c r="A4" i="1" l="1"/>
  <c r="BP358" i="1"/>
  <c r="AC26" i="4"/>
  <c r="BP242" i="1"/>
  <c r="BP241" i="1"/>
  <c r="A5" i="1" l="1"/>
  <c r="BP356" i="1"/>
  <c r="BP355" i="1"/>
  <c r="BP354" i="1"/>
  <c r="BP252" i="1"/>
  <c r="BP251" i="1"/>
  <c r="BP250" i="1"/>
  <c r="BP353" i="1"/>
  <c r="BP352" i="1"/>
  <c r="BP344" i="1"/>
  <c r="BP343" i="1"/>
  <c r="BP342" i="1"/>
  <c r="BP341" i="1"/>
  <c r="BP340" i="1"/>
  <c r="BP339" i="1"/>
  <c r="BP255" i="1"/>
  <c r="BP254" i="1"/>
  <c r="BP253" i="1"/>
  <c r="BP338" i="1"/>
  <c r="BP285" i="1"/>
  <c r="BP337" i="1"/>
  <c r="BP336" i="1"/>
  <c r="BP335" i="1"/>
  <c r="A6" i="1" l="1"/>
  <c r="BP334" i="1"/>
  <c r="BP333" i="1"/>
  <c r="BP332" i="1"/>
  <c r="BP331" i="1"/>
  <c r="BP330" i="1"/>
  <c r="BP329" i="1"/>
  <c r="BP328" i="1"/>
  <c r="BP249" i="1"/>
  <c r="BP248" i="1"/>
  <c r="BP263" i="1"/>
  <c r="BP262" i="1"/>
  <c r="BP325" i="1"/>
  <c r="BP324" i="1"/>
  <c r="BP323" i="1"/>
  <c r="BP234" i="1"/>
  <c r="BP233" i="1"/>
  <c r="BP292" i="1"/>
  <c r="BP291" i="1"/>
  <c r="BP302" i="1"/>
  <c r="BP301" i="1"/>
  <c r="BP300" i="1"/>
  <c r="BP322" i="1"/>
  <c r="BP321" i="1"/>
  <c r="BP320" i="1"/>
  <c r="BP319" i="1"/>
  <c r="BP318" i="1"/>
  <c r="BP317" i="1"/>
  <c r="BP316" i="1"/>
  <c r="BP315" i="1"/>
  <c r="BP314" i="1"/>
  <c r="BP313" i="1"/>
  <c r="BP259" i="1"/>
  <c r="BP258" i="1"/>
  <c r="BP257" i="1"/>
  <c r="BP256" i="1"/>
  <c r="BP240" i="1"/>
  <c r="BP239" i="1"/>
  <c r="BP238" i="1"/>
  <c r="BP237" i="1"/>
  <c r="BP236" i="1"/>
  <c r="BP235" i="1"/>
  <c r="BP312" i="1"/>
  <c r="BP311" i="1"/>
  <c r="BP310" i="1"/>
  <c r="A7" i="1" l="1"/>
  <c r="BP295" i="1"/>
  <c r="BP309" i="1"/>
  <c r="BP308" i="1"/>
  <c r="BP294" i="1"/>
  <c r="BP293" i="1"/>
  <c r="BP307" i="1"/>
  <c r="BP306" i="1"/>
  <c r="BP305" i="1"/>
  <c r="BP304" i="1"/>
  <c r="BP303" i="1"/>
  <c r="BP298" i="1"/>
  <c r="BP297" i="1"/>
  <c r="BP296" i="1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P2" i="1"/>
  <c r="BP327" i="1"/>
  <c r="BP326" i="1"/>
  <c r="A8" i="1" l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5" i="1" s="1"/>
  <c r="A386" i="1" s="1"/>
  <c r="A387" i="1" s="1"/>
  <c r="A388" i="1" s="1"/>
  <c r="A389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3" i="1" s="1"/>
  <c r="A834" i="1" s="1"/>
  <c r="A835" i="1" s="1"/>
  <c r="A836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l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</calcChain>
</file>

<file path=xl/sharedStrings.xml><?xml version="1.0" encoding="utf-8"?>
<sst xmlns="http://schemas.openxmlformats.org/spreadsheetml/2006/main" count="27385" uniqueCount="2570">
  <si>
    <t>Dark</t>
  </si>
  <si>
    <t>Normal</t>
  </si>
  <si>
    <t>Not fully evolved</t>
  </si>
  <si>
    <t>Electric</t>
  </si>
  <si>
    <t>Psychic</t>
  </si>
  <si>
    <t>Ice</t>
  </si>
  <si>
    <t>Steel</t>
  </si>
  <si>
    <t>Fairy</t>
  </si>
  <si>
    <t>Ground</t>
  </si>
  <si>
    <t>Rock</t>
  </si>
  <si>
    <t>Poison</t>
  </si>
  <si>
    <t>Grass</t>
  </si>
  <si>
    <t>Dragon</t>
  </si>
  <si>
    <t>Fire</t>
  </si>
  <si>
    <t>Ghost</t>
  </si>
  <si>
    <t>Water</t>
  </si>
  <si>
    <t>Flying</t>
  </si>
  <si>
    <t>Bug</t>
  </si>
  <si>
    <t>Fighting</t>
  </si>
  <si>
    <t># sort</t>
  </si>
  <si>
    <t>Pokemon</t>
  </si>
  <si>
    <t>Type 1</t>
  </si>
  <si>
    <t>Type 2</t>
  </si>
  <si>
    <t>Evolve</t>
  </si>
  <si>
    <t>Gift?</t>
  </si>
  <si>
    <t>Grotto?</t>
  </si>
  <si>
    <t>Quest</t>
  </si>
  <si>
    <t>Overworld</t>
  </si>
  <si>
    <t>Fossil</t>
  </si>
  <si>
    <t>Legendary?</t>
  </si>
  <si>
    <t>Baby?</t>
  </si>
  <si>
    <t>Trade?</t>
  </si>
  <si>
    <t>Starter?</t>
  </si>
  <si>
    <t>Count Formula</t>
  </si>
  <si>
    <t>Type</t>
  </si>
  <si>
    <t>Status</t>
  </si>
  <si>
    <t>(All)</t>
  </si>
  <si>
    <t>Count of Pokemon</t>
  </si>
  <si>
    <t>Column Labels</t>
  </si>
  <si>
    <t>Row Labels</t>
  </si>
  <si>
    <t>Grand Total</t>
  </si>
  <si>
    <t>Sound</t>
  </si>
  <si>
    <t>Cosmic</t>
  </si>
  <si>
    <t>Total</t>
  </si>
  <si>
    <t>Light</t>
  </si>
  <si>
    <t>Front</t>
  </si>
  <si>
    <t>Back</t>
  </si>
  <si>
    <t>Icon</t>
  </si>
  <si>
    <t>Shiny Front</t>
  </si>
  <si>
    <t>Shiny Back</t>
  </si>
  <si>
    <t>x</t>
  </si>
  <si>
    <t>Mega Front</t>
  </si>
  <si>
    <t>Mega Back</t>
  </si>
  <si>
    <t>Mega stone</t>
  </si>
  <si>
    <t>Mega Icon</t>
  </si>
  <si>
    <t>Shiny M-Front</t>
  </si>
  <si>
    <t>Shiny M-Back</t>
  </si>
  <si>
    <t>Forest</t>
  </si>
  <si>
    <t>Tropical Jungle</t>
  </si>
  <si>
    <t>Cave</t>
  </si>
  <si>
    <t>Desert</t>
  </si>
  <si>
    <t>Beaches</t>
  </si>
  <si>
    <t>Seas and Oceans</t>
  </si>
  <si>
    <t>Snowy Forests</t>
  </si>
  <si>
    <t>Icy Caves</t>
  </si>
  <si>
    <t>Frozen Seas and Glaciers</t>
  </si>
  <si>
    <t>Volcano</t>
  </si>
  <si>
    <t>Badlands</t>
  </si>
  <si>
    <t>Swamps and Marshes</t>
  </si>
  <si>
    <t>Tundras</t>
  </si>
  <si>
    <t>Sewers</t>
  </si>
  <si>
    <t>Space / Cosmic</t>
  </si>
  <si>
    <t>Form?</t>
  </si>
  <si>
    <t>Tornado</t>
  </si>
  <si>
    <t>Ash</t>
  </si>
  <si>
    <t>Rain</t>
  </si>
  <si>
    <t>Dust</t>
  </si>
  <si>
    <t>Storm</t>
  </si>
  <si>
    <t>Fog</t>
  </si>
  <si>
    <t>Axew / Haxorus</t>
  </si>
  <si>
    <t>Deino / Hydreigon</t>
  </si>
  <si>
    <t>Jangmo-o / Kommo-o</t>
  </si>
  <si>
    <t>Swablu / Altaria</t>
  </si>
  <si>
    <t>Trapinch / Flygon</t>
  </si>
  <si>
    <t>Gible / Garchomp</t>
  </si>
  <si>
    <t>Applin / Flapple</t>
  </si>
  <si>
    <t>Dreepy / Dragapult</t>
  </si>
  <si>
    <t>Skrelp / Dragalge</t>
  </si>
  <si>
    <t>Tyrunt / Tyrantrum</t>
  </si>
  <si>
    <t>Fields Meadows</t>
  </si>
  <si>
    <t>Ponds Streams Rivers Lakes</t>
  </si>
  <si>
    <t>Underwater  Sea Floor</t>
  </si>
  <si>
    <t>Cities Urban Facilities</t>
  </si>
  <si>
    <t>Craters Ashy</t>
  </si>
  <si>
    <t>Graveyards</t>
  </si>
  <si>
    <t>Underwater Caves</t>
  </si>
  <si>
    <t>Desert Tombs</t>
  </si>
  <si>
    <t>Tropical Ruins</t>
  </si>
  <si>
    <t>Rocky Mountains</t>
  </si>
  <si>
    <t>Frozen Mountain Peaks</t>
  </si>
  <si>
    <t>Piranha</t>
  </si>
  <si>
    <t>Bow</t>
  </si>
  <si>
    <t>Hammer</t>
  </si>
  <si>
    <t>Axe</t>
  </si>
  <si>
    <t>n/a</t>
  </si>
  <si>
    <t>Shiny Hue Shift</t>
  </si>
  <si>
    <t>85/0/-10</t>
  </si>
  <si>
    <t>Egg</t>
  </si>
  <si>
    <t>Arsonist</t>
  </si>
  <si>
    <t>Overcast</t>
  </si>
  <si>
    <t>Male</t>
  </si>
  <si>
    <t>KOFFING</t>
  </si>
  <si>
    <t>WEEZING</t>
  </si>
  <si>
    <t>SOLOSIS</t>
  </si>
  <si>
    <t>REUNICLUS</t>
  </si>
  <si>
    <t>GASTLY</t>
  </si>
  <si>
    <t>HAUNTER</t>
  </si>
  <si>
    <t>GENGAR</t>
  </si>
  <si>
    <t>DODUO</t>
  </si>
  <si>
    <t>DODRIO</t>
  </si>
  <si>
    <t>DUOSION</t>
  </si>
  <si>
    <t>EKANS</t>
  </si>
  <si>
    <t>ARBOK</t>
  </si>
  <si>
    <t>STARYU</t>
  </si>
  <si>
    <t>STARMIE</t>
  </si>
  <si>
    <t>ONIX</t>
  </si>
  <si>
    <t>STEELIX</t>
  </si>
  <si>
    <t>SLUGMA</t>
  </si>
  <si>
    <t>MAGCARGO</t>
  </si>
  <si>
    <t>WAILMER</t>
  </si>
  <si>
    <t>WAILORD</t>
  </si>
  <si>
    <t>FLETCHLING</t>
  </si>
  <si>
    <t>TALONFLAME</t>
  </si>
  <si>
    <t>NATU</t>
  </si>
  <si>
    <t>XATU</t>
  </si>
  <si>
    <t>RUFFLET</t>
  </si>
  <si>
    <t>BRAVIARY</t>
  </si>
  <si>
    <t>NOSEPASS</t>
  </si>
  <si>
    <t>PROBOPASS</t>
  </si>
  <si>
    <t>ZUBAT</t>
  </si>
  <si>
    <t>GOLBAT</t>
  </si>
  <si>
    <t>CROBAT</t>
  </si>
  <si>
    <t>TANGELA</t>
  </si>
  <si>
    <t>TANGROWTH</t>
  </si>
  <si>
    <t>TYMPOLE</t>
  </si>
  <si>
    <t>GULPIN</t>
  </si>
  <si>
    <t>SWALOT</t>
  </si>
  <si>
    <t>SPINARAK</t>
  </si>
  <si>
    <t>BALTOY</t>
  </si>
  <si>
    <t>ZORUA</t>
  </si>
  <si>
    <t>ZOROARK</t>
  </si>
  <si>
    <t>SWANNA</t>
  </si>
  <si>
    <t>GOLETT</t>
  </si>
  <si>
    <t>GOLURK</t>
  </si>
  <si>
    <t>MORELULL</t>
  </si>
  <si>
    <t>SHIINOTIC</t>
  </si>
  <si>
    <t>LARVESTA</t>
  </si>
  <si>
    <t>VOLCARONA</t>
  </si>
  <si>
    <t>STANTLER</t>
  </si>
  <si>
    <t>MAGIKARP</t>
  </si>
  <si>
    <t>BERGMITE</t>
  </si>
  <si>
    <t>AVALUGG</t>
  </si>
  <si>
    <t>PONYTA</t>
  </si>
  <si>
    <t>AMAURA</t>
  </si>
  <si>
    <t>AURORUS</t>
  </si>
  <si>
    <t>GRAVELER</t>
  </si>
  <si>
    <t>GOLEM</t>
  </si>
  <si>
    <t>SKRELP</t>
  </si>
  <si>
    <t>LITLEO</t>
  </si>
  <si>
    <t>PYROAR</t>
  </si>
  <si>
    <t>LUNATONE</t>
  </si>
  <si>
    <t>SOLROCK</t>
  </si>
  <si>
    <t>HYPNO</t>
  </si>
  <si>
    <t>SEEL</t>
  </si>
  <si>
    <t>GOGOAT</t>
  </si>
  <si>
    <t>KABUTO</t>
  </si>
  <si>
    <t>KABUTOPS</t>
  </si>
  <si>
    <t>SHROOMISH</t>
  </si>
  <si>
    <t>BRELOOM</t>
  </si>
  <si>
    <t>ROGGENROLA</t>
  </si>
  <si>
    <t>GIGALITH</t>
  </si>
  <si>
    <t>FINNEON</t>
  </si>
  <si>
    <t>LUMINEON</t>
  </si>
  <si>
    <t>GLIGAR</t>
  </si>
  <si>
    <t>GLISCOR</t>
  </si>
  <si>
    <t>LILLIPUP</t>
  </si>
  <si>
    <t>MINCCINO</t>
  </si>
  <si>
    <t>CINCCINO</t>
  </si>
  <si>
    <t>BONSLY</t>
  </si>
  <si>
    <t>WOOBAT</t>
  </si>
  <si>
    <t>SWOOBAT</t>
  </si>
  <si>
    <t>KRABBY</t>
  </si>
  <si>
    <t>KINGLER</t>
  </si>
  <si>
    <t>HOOTHOOT</t>
  </si>
  <si>
    <t>NOCTOWL</t>
  </si>
  <si>
    <t>VOLTORB</t>
  </si>
  <si>
    <t>KAKUNA</t>
  </si>
  <si>
    <t>MACHOP</t>
  </si>
  <si>
    <t>MACHOKE</t>
  </si>
  <si>
    <t>MACHAMP</t>
  </si>
  <si>
    <t>BULBASAUR</t>
  </si>
  <si>
    <t>IVYSAUR</t>
  </si>
  <si>
    <t>VENUSAUR</t>
  </si>
  <si>
    <t>TAUROS</t>
  </si>
  <si>
    <t>CARVANHA</t>
  </si>
  <si>
    <t>TIMBURR</t>
  </si>
  <si>
    <t>LITWICK</t>
  </si>
  <si>
    <t>LAMPENT</t>
  </si>
  <si>
    <t>VANILLITE</t>
  </si>
  <si>
    <t>VANILLISH</t>
  </si>
  <si>
    <t>VANILLUXE</t>
  </si>
  <si>
    <t>ELECTABUZZ</t>
  </si>
  <si>
    <t>ELECTIVIRE</t>
  </si>
  <si>
    <t>POPPLIO</t>
  </si>
  <si>
    <t>BRIONNE</t>
  </si>
  <si>
    <t>PRIMARINA</t>
  </si>
  <si>
    <t>SNORUNT</t>
  </si>
  <si>
    <t>GLALIE</t>
  </si>
  <si>
    <t>FROSLASS</t>
  </si>
  <si>
    <t>MAGBY</t>
  </si>
  <si>
    <t>MAGMAR</t>
  </si>
  <si>
    <t>MAGMORTAR</t>
  </si>
  <si>
    <t>EXEGGCUTE</t>
  </si>
  <si>
    <t>EXEGGUTOR</t>
  </si>
  <si>
    <t>JOLTIK</t>
  </si>
  <si>
    <t>GALVANTULA</t>
  </si>
  <si>
    <t>GRIMER</t>
  </si>
  <si>
    <t>MUK</t>
  </si>
  <si>
    <t>CHIMCHAR</t>
  </si>
  <si>
    <t>MONFERNO</t>
  </si>
  <si>
    <t>INFERNAPE</t>
  </si>
  <si>
    <t>SABLEYE</t>
  </si>
  <si>
    <t>CUBCHOO</t>
  </si>
  <si>
    <t>BEARTIC</t>
  </si>
  <si>
    <t>TREECKO</t>
  </si>
  <si>
    <t>GROVYLE</t>
  </si>
  <si>
    <t>SCEPTILE</t>
  </si>
  <si>
    <t>LARVITAR</t>
  </si>
  <si>
    <t>PUPITAR</t>
  </si>
  <si>
    <t>TYRANITAR</t>
  </si>
  <si>
    <t>HIPPOPOTAS</t>
  </si>
  <si>
    <t>BRONZOR</t>
  </si>
  <si>
    <t>BRONZONG</t>
  </si>
  <si>
    <t>SWIRLIX</t>
  </si>
  <si>
    <t>SLURPUFF</t>
  </si>
  <si>
    <t>MAREEP</t>
  </si>
  <si>
    <t>FLAAFFY</t>
  </si>
  <si>
    <t>AMPHAROS</t>
  </si>
  <si>
    <t>SWABLU</t>
  </si>
  <si>
    <t>ALTARIA</t>
  </si>
  <si>
    <t>ABRA</t>
  </si>
  <si>
    <t>ALAKAZAM</t>
  </si>
  <si>
    <t>HERACROSS</t>
  </si>
  <si>
    <t>URSARING</t>
  </si>
  <si>
    <t>SKITTY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</si>
  <si>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</si>
  <si>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</si>
  <si>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</si>
  <si>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</si>
  <si>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</si>
  <si>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</si>
  <si>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</si>
  <si>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</si>
  <si>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</si>
  <si>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SAWSBUCK</t>
  </si>
  <si>
    <t>ARON</t>
  </si>
  <si>
    <t>LAIRON</t>
  </si>
  <si>
    <t>AGGRON</t>
  </si>
  <si>
    <t>SHELLOS</t>
  </si>
  <si>
    <t>TRANQUILL</t>
  </si>
  <si>
    <t>UNFEZANT</t>
  </si>
  <si>
    <t>HOPPIP</t>
  </si>
  <si>
    <t>SKIPLOOM</t>
  </si>
  <si>
    <t>JUMPLUFF</t>
  </si>
  <si>
    <t>CRUSTLE</t>
  </si>
  <si>
    <t>MORGREM</t>
  </si>
  <si>
    <t>GRIMMSNARL</t>
  </si>
  <si>
    <t>SENTRET</t>
  </si>
  <si>
    <t>FURRET</t>
  </si>
  <si>
    <t>CHIKORITA</t>
  </si>
  <si>
    <t>BAYLEEF</t>
  </si>
  <si>
    <t>MEGANIUM</t>
  </si>
  <si>
    <t>WURMPLE</t>
  </si>
  <si>
    <t>SILCOON</t>
  </si>
  <si>
    <t>BEAUTIFLY</t>
  </si>
  <si>
    <t>CASCOON</t>
  </si>
  <si>
    <t>GLOOM</t>
  </si>
  <si>
    <t>VILEPLUME</t>
  </si>
  <si>
    <t>BELLOSSOM</t>
  </si>
  <si>
    <t>QUILAVA</t>
  </si>
  <si>
    <t>TYPHLOSION</t>
  </si>
  <si>
    <t>RALTS</t>
  </si>
  <si>
    <t>KIRLIA</t>
  </si>
  <si>
    <t>NUMEL</t>
  </si>
  <si>
    <t>CAMERUPT</t>
  </si>
  <si>
    <t>LAPRAS</t>
  </si>
  <si>
    <t>NUZLEAF</t>
  </si>
  <si>
    <t>SHIFTRY</t>
  </si>
  <si>
    <t>PARAS</t>
  </si>
  <si>
    <t>PARASECT</t>
  </si>
  <si>
    <t>MEOWTH</t>
  </si>
  <si>
    <t>PERSIAN</t>
  </si>
  <si>
    <t>CROCONAW</t>
  </si>
  <si>
    <t>FERALIGATR</t>
  </si>
  <si>
    <t>STUNKY</t>
  </si>
  <si>
    <t>SKUNTANK</t>
  </si>
  <si>
    <t>KRICKETOT</t>
  </si>
  <si>
    <t>KRICKETUNE</t>
  </si>
  <si>
    <t>CROAGUNK</t>
  </si>
  <si>
    <t>TOXICROAK</t>
  </si>
  <si>
    <t>SPRITZEE</t>
  </si>
  <si>
    <t>AROMATISSE</t>
  </si>
  <si>
    <t>YANMA</t>
  </si>
  <si>
    <t>YANMEGA</t>
  </si>
  <si>
    <t>AZURILL</t>
  </si>
  <si>
    <t>MARILL</t>
  </si>
  <si>
    <t>AZUMARILL</t>
  </si>
  <si>
    <t>BASCULIN</t>
  </si>
  <si>
    <t>COMFEY</t>
  </si>
  <si>
    <t>CORVISQUIRE</t>
  </si>
  <si>
    <t>CORVIKNIGHT</t>
  </si>
  <si>
    <t>ROWLET</t>
  </si>
  <si>
    <t>SKORUPI</t>
  </si>
  <si>
    <t>FURFROU</t>
  </si>
  <si>
    <t>MELOETTA</t>
  </si>
  <si>
    <t>POOCHYENA</t>
  </si>
  <si>
    <t>MIGHTYENA</t>
  </si>
  <si>
    <t>SLOWPOKE</t>
  </si>
  <si>
    <t>SLOWBRO</t>
  </si>
  <si>
    <t>SLOWKING</t>
  </si>
  <si>
    <t>LITTEN</t>
  </si>
  <si>
    <t>TORRACAT</t>
  </si>
  <si>
    <t>INCINEROAR</t>
  </si>
  <si>
    <t>AIPOM</t>
  </si>
  <si>
    <t>AMBIPOM</t>
  </si>
  <si>
    <t>SPIRITOMB</t>
  </si>
  <si>
    <t>ABSOL</t>
  </si>
  <si>
    <t>RATTATA</t>
  </si>
  <si>
    <t>RATICATE</t>
  </si>
  <si>
    <t>AEGISLASH</t>
  </si>
  <si>
    <t>METANG</t>
  </si>
  <si>
    <t>METAGROSS</t>
  </si>
  <si>
    <t>NINJASK</t>
  </si>
  <si>
    <t>ZWEILOUS</t>
  </si>
  <si>
    <t>SUNKERN</t>
  </si>
  <si>
    <t>SUNFLORA</t>
  </si>
  <si>
    <t>CHERUBI</t>
  </si>
  <si>
    <t>CHERRIM</t>
  </si>
  <si>
    <t>GOSSIFLEUR</t>
  </si>
  <si>
    <t>ESPURR</t>
  </si>
  <si>
    <t>MEOWSTIC</t>
  </si>
  <si>
    <t>CORSOLA</t>
  </si>
  <si>
    <t>CURSOLA</t>
  </si>
  <si>
    <t>MANTYKE</t>
  </si>
  <si>
    <t>MANTINE</t>
  </si>
  <si>
    <t>CHINCHOU</t>
  </si>
  <si>
    <t>LANTURN</t>
  </si>
  <si>
    <t>HORSEA</t>
  </si>
  <si>
    <t>LILEEP</t>
  </si>
  <si>
    <t>MURKROW</t>
  </si>
  <si>
    <t>HONCHKROW</t>
  </si>
  <si>
    <t>STARLY</t>
  </si>
  <si>
    <t>STARAVIA</t>
  </si>
  <si>
    <t>STARAPTOR</t>
  </si>
  <si>
    <t>CACNEA</t>
  </si>
  <si>
    <t>CACTURNE</t>
  </si>
  <si>
    <t>NOIBAT</t>
  </si>
  <si>
    <t>NOIVERN</t>
  </si>
  <si>
    <t>HAPPINY</t>
  </si>
  <si>
    <t>CHANSEY</t>
  </si>
  <si>
    <t>BLISSEY</t>
  </si>
  <si>
    <t>MANKEY</t>
  </si>
  <si>
    <t>PRIMEAPE</t>
  </si>
  <si>
    <t>TENTACOOL</t>
  </si>
  <si>
    <t>TENTACRUEL</t>
  </si>
  <si>
    <t>CARNIVINE</t>
  </si>
  <si>
    <t>PALPITOAD</t>
  </si>
  <si>
    <t>SEISMITOAD</t>
  </si>
  <si>
    <t>ARIADOS</t>
  </si>
  <si>
    <t>CLAYDOL</t>
  </si>
  <si>
    <t>DUCKLETT</t>
  </si>
  <si>
    <t>GYARADOS</t>
  </si>
  <si>
    <t>LEDYBA</t>
  </si>
  <si>
    <t>LEDIAN</t>
  </si>
  <si>
    <t>RAPIDASH</t>
  </si>
  <si>
    <t>GEODUDE</t>
  </si>
  <si>
    <t>DRAGALGE</t>
  </si>
  <si>
    <t>DROWZEE</t>
  </si>
  <si>
    <t>DEWGONG</t>
  </si>
  <si>
    <t>SKIDDO</t>
  </si>
  <si>
    <t>AERODACTYL</t>
  </si>
  <si>
    <t>BOLDORE</t>
  </si>
  <si>
    <t>HERDIER</t>
  </si>
  <si>
    <t>STOUTLAND</t>
  </si>
  <si>
    <t>DRIFLOON</t>
  </si>
  <si>
    <t>DRIFBLIM</t>
  </si>
  <si>
    <t>SUDOWOODO</t>
  </si>
  <si>
    <t>DRUDDIGON</t>
  </si>
  <si>
    <t>ELECTRODE</t>
  </si>
  <si>
    <t>SANDYGAST</t>
  </si>
  <si>
    <t>PALOSSAND</t>
  </si>
  <si>
    <t>WEEDLE</t>
  </si>
  <si>
    <t>SHARPEDO</t>
  </si>
  <si>
    <t>GURDURR</t>
  </si>
  <si>
    <t>CHANDELURE</t>
  </si>
  <si>
    <t>ELEKID</t>
  </si>
  <si>
    <t>HIPPOWDON</t>
  </si>
  <si>
    <t>KADABRA</t>
  </si>
  <si>
    <t>VENIPEDE</t>
  </si>
  <si>
    <t>WHIRLIPEDE</t>
  </si>
  <si>
    <t>SCOLIPEDE</t>
  </si>
  <si>
    <t>TEDDIURSA</t>
  </si>
  <si>
    <t>PSYDUCK</t>
  </si>
  <si>
    <t>GOLDUCK</t>
  </si>
  <si>
    <t>DUSKULL</t>
  </si>
  <si>
    <t>DUSCLOPS</t>
  </si>
  <si>
    <t>DUSKNOIR</t>
  </si>
  <si>
    <t>DELCATTY</t>
  </si>
  <si>
    <t>DEERLING</t>
  </si>
  <si>
    <t>GASTRODON</t>
  </si>
  <si>
    <t>PIDOVE</t>
  </si>
  <si>
    <t>DWEBBLE</t>
  </si>
  <si>
    <t>IMPIDIMP</t>
  </si>
  <si>
    <t>DUSTOX</t>
  </si>
  <si>
    <t>ODDISH</t>
  </si>
  <si>
    <t>CYNDAQUIL</t>
  </si>
  <si>
    <t>GARDEVOIR</t>
  </si>
  <si>
    <t>GALLADE</t>
  </si>
  <si>
    <t>SEEDOT</t>
  </si>
  <si>
    <t>TOTODILE</t>
  </si>
  <si>
    <t>DIGLETT</t>
  </si>
  <si>
    <t>DUGTRIO</t>
  </si>
  <si>
    <t>DURANT</t>
  </si>
  <si>
    <t>ROOKIDEE</t>
  </si>
  <si>
    <t>DARTRIX</t>
  </si>
  <si>
    <t>DRAPION</t>
  </si>
  <si>
    <t>HONEDGE</t>
  </si>
  <si>
    <t>DOUBLADE</t>
  </si>
  <si>
    <t>BELDUM</t>
  </si>
  <si>
    <t>DUNSPARCE</t>
  </si>
  <si>
    <t>MEDITITE</t>
  </si>
  <si>
    <t>MEDICHAM</t>
  </si>
  <si>
    <t>NINCADA</t>
  </si>
  <si>
    <t>SHEDINJA</t>
  </si>
  <si>
    <t>DEINO</t>
  </si>
  <si>
    <t>HYDREIGON</t>
  </si>
  <si>
    <t>ELDEGOSS</t>
  </si>
  <si>
    <t>PIDGEY</t>
  </si>
  <si>
    <t>PIDGEOTTO</t>
  </si>
  <si>
    <t>PIDGEOT</t>
  </si>
  <si>
    <t>SEADRA</t>
  </si>
  <si>
    <t>KINGDRA</t>
  </si>
  <si>
    <t>CRADILY</t>
  </si>
  <si>
    <t>BOUNSWEET</t>
  </si>
  <si>
    <t>STEENEE</t>
  </si>
  <si>
    <t>TSAREENA</t>
  </si>
  <si>
    <t>GROWLITHE</t>
  </si>
  <si>
    <t>ARCANINE</t>
  </si>
  <si>
    <t>FLETCHINDER</t>
  </si>
  <si>
    <t>ELGYEM</t>
  </si>
  <si>
    <t>BEHEEYEM</t>
  </si>
  <si>
    <t>CATERPIE</t>
  </si>
  <si>
    <t>METAPOD</t>
  </si>
  <si>
    <t>BUTTERFREE</t>
  </si>
  <si>
    <t>SILICOBRA</t>
  </si>
  <si>
    <t>SANDACONDA</t>
  </si>
  <si>
    <t>PICHU</t>
  </si>
  <si>
    <t>PIKACHU</t>
  </si>
  <si>
    <t>RAICHU</t>
  </si>
  <si>
    <t>YAMASK</t>
  </si>
  <si>
    <t>COFAGRIGUS</t>
  </si>
  <si>
    <t>SINISTEA</t>
  </si>
  <si>
    <t>POLTEAGEIST</t>
  </si>
  <si>
    <t>THROH</t>
  </si>
  <si>
    <t>SAWK</t>
  </si>
  <si>
    <t>SANDILE</t>
  </si>
  <si>
    <t>KROKOROK</t>
  </si>
  <si>
    <t>KROOKODILE</t>
  </si>
  <si>
    <t>MUDKIP</t>
  </si>
  <si>
    <t>MARSHTOMP</t>
  </si>
  <si>
    <t>SWAMPERT</t>
  </si>
  <si>
    <t>GOLDEEN</t>
  </si>
  <si>
    <t>SEAKING</t>
  </si>
  <si>
    <t>TAILLOW</t>
  </si>
  <si>
    <t>SWELLOW</t>
  </si>
  <si>
    <t>PATRAT</t>
  </si>
  <si>
    <t>WATCHOG</t>
  </si>
  <si>
    <t>GOTHITA</t>
  </si>
  <si>
    <t>GOTHORITA</t>
  </si>
  <si>
    <t>GOTHITELLE</t>
  </si>
  <si>
    <t>SPHEAL</t>
  </si>
  <si>
    <t>SEALEO</t>
  </si>
  <si>
    <t>WALREIN</t>
  </si>
  <si>
    <t>SURSKIT</t>
  </si>
  <si>
    <t>MASQUERAIN</t>
  </si>
  <si>
    <t>WINGULL</t>
  </si>
  <si>
    <t>PELIPPER</t>
  </si>
  <si>
    <t>CHARMANDER</t>
  </si>
  <si>
    <t>CHARMELEON</t>
  </si>
  <si>
    <t>CHARIZARD</t>
  </si>
  <si>
    <t>MAGNEMITE</t>
  </si>
  <si>
    <t>MAGNETON</t>
  </si>
  <si>
    <t>MAGNEZONE</t>
  </si>
  <si>
    <t>REGICE</t>
  </si>
  <si>
    <t>REGIROCK</t>
  </si>
  <si>
    <t>REGISTEEL</t>
  </si>
  <si>
    <t>180/0/-40</t>
  </si>
  <si>
    <t>SPEAROW</t>
  </si>
  <si>
    <t>FEAROW</t>
  </si>
  <si>
    <t>IGGLYBUFF</t>
  </si>
  <si>
    <t>JIGGLYPUFF</t>
  </si>
  <si>
    <t>WIGGLYTUFF</t>
  </si>
  <si>
    <t>VULLABY</t>
  </si>
  <si>
    <t>MANDIBUZZ</t>
  </si>
  <si>
    <t>-75/0/0</t>
  </si>
  <si>
    <t>110/-15/-5</t>
  </si>
  <si>
    <t>180/35/10</t>
  </si>
  <si>
    <t>YAMPER</t>
  </si>
  <si>
    <t>BOLTUND</t>
  </si>
  <si>
    <t>SHINX</t>
  </si>
  <si>
    <t>LUXIO</t>
  </si>
  <si>
    <t>LUXRAY</t>
  </si>
  <si>
    <t>ELECTRIKE</t>
  </si>
  <si>
    <t>MANECTRIC</t>
  </si>
  <si>
    <t>55/-10/-5</t>
  </si>
  <si>
    <t>85/-5/-5</t>
  </si>
  <si>
    <t>130/10/-5</t>
  </si>
  <si>
    <t>FERROSEED</t>
  </si>
  <si>
    <t>FERROTHORN</t>
  </si>
  <si>
    <t>MAREANIE</t>
  </si>
  <si>
    <t>TOXAPEX</t>
  </si>
  <si>
    <t>TYNAMO</t>
  </si>
  <si>
    <t>EELEKTRIK</t>
  </si>
  <si>
    <t>EELEKTROSS</t>
  </si>
  <si>
    <t>180/-10/10</t>
  </si>
  <si>
    <t>100/0/-5</t>
  </si>
  <si>
    <t>SWINUB</t>
  </si>
  <si>
    <t>PILOSWINE</t>
  </si>
  <si>
    <t>MAMOSWINE</t>
  </si>
  <si>
    <t>DECIDUEYE</t>
  </si>
  <si>
    <t>TORKOAL</t>
  </si>
  <si>
    <t>VENONAT</t>
  </si>
  <si>
    <t>VENOMOTH</t>
  </si>
  <si>
    <t>TURTWIG</t>
  </si>
  <si>
    <t>GROTLE</t>
  </si>
  <si>
    <t>TORTERRA</t>
  </si>
  <si>
    <t>FEEBAS</t>
  </si>
  <si>
    <t>MILOTIC</t>
  </si>
  <si>
    <t>BUNEARY</t>
  </si>
  <si>
    <t>LOPUNNY</t>
  </si>
  <si>
    <t>DARKRAI</t>
  </si>
  <si>
    <t>BUIZEL</t>
  </si>
  <si>
    <t>FLOATZEL</t>
  </si>
  <si>
    <t>BUDEW</t>
  </si>
  <si>
    <t>ROSELIA</t>
  </si>
  <si>
    <t>ROSERADE</t>
  </si>
  <si>
    <t>KLEFKI</t>
  </si>
  <si>
    <t>DEWPIDER</t>
  </si>
  <si>
    <t>ARAQUANID</t>
  </si>
  <si>
    <t>GOTHITA2</t>
  </si>
  <si>
    <t>GOTHORITA2</t>
  </si>
  <si>
    <t>GOTHITELLE2</t>
  </si>
  <si>
    <t>TYRUNT</t>
  </si>
  <si>
    <t>TYRANTRUM</t>
  </si>
  <si>
    <t>CUBONE</t>
  </si>
  <si>
    <t>MAROWAK</t>
  </si>
  <si>
    <t>SPRITZEE2</t>
  </si>
  <si>
    <t>AROMATISSE2</t>
  </si>
  <si>
    <t>GALAXEON</t>
  </si>
  <si>
    <t>OCTAVEON</t>
  </si>
  <si>
    <t>PRISMEON</t>
  </si>
  <si>
    <t>CRESSELIA</t>
  </si>
  <si>
    <t>HORSEA2</t>
  </si>
  <si>
    <t>SEADRA2</t>
  </si>
  <si>
    <t>KINGDRA2</t>
  </si>
  <si>
    <t>CUTIEFLY</t>
  </si>
  <si>
    <t>RIBOMBEE</t>
  </si>
  <si>
    <t>OMANYTE</t>
  </si>
  <si>
    <t>OMASTAR</t>
  </si>
  <si>
    <t>SKWOVET</t>
  </si>
  <si>
    <t>GREEDENT</t>
  </si>
  <si>
    <t>GRIMER2</t>
  </si>
  <si>
    <t>MUK2</t>
  </si>
  <si>
    <t>PHANPY</t>
  </si>
  <si>
    <t>DONPHAN</t>
  </si>
  <si>
    <t>PIKIPEK</t>
  </si>
  <si>
    <t>TRUMBEAK</t>
  </si>
  <si>
    <t>TOUCANNON</t>
  </si>
  <si>
    <t>PINECO</t>
  </si>
  <si>
    <t>FORRETRESS</t>
  </si>
  <si>
    <t>HOOTHOOT2</t>
  </si>
  <si>
    <t>NOCTOWL2</t>
  </si>
  <si>
    <t>STUFFUL</t>
  </si>
  <si>
    <t>BEWEAR</t>
  </si>
  <si>
    <t>CARBINK</t>
  </si>
  <si>
    <t>GIBLE</t>
  </si>
  <si>
    <t>GABITE</t>
  </si>
  <si>
    <t>GARCHOMP</t>
  </si>
  <si>
    <t>VULPIX</t>
  </si>
  <si>
    <t>NINETALES</t>
  </si>
  <si>
    <t>BOUNSWEET2</t>
  </si>
  <si>
    <t>STEENEE2</t>
  </si>
  <si>
    <t>TSAREENA2</t>
  </si>
  <si>
    <t>PURRLOIN</t>
  </si>
  <si>
    <t>LIEPARD</t>
  </si>
  <si>
    <t>TOXEL</t>
  </si>
  <si>
    <t>TOXTRICITY</t>
  </si>
  <si>
    <t>DEWPIDER2</t>
  </si>
  <si>
    <t>ARAQUANID2</t>
  </si>
  <si>
    <t>Generation</t>
  </si>
  <si>
    <t>(blank)</t>
  </si>
  <si>
    <t>Count of Generation</t>
  </si>
  <si>
    <t>GOOMY</t>
  </si>
  <si>
    <t>SLIGGOO</t>
  </si>
  <si>
    <t>GOODRA</t>
  </si>
  <si>
    <t>MIMEJR</t>
  </si>
  <si>
    <t>MRMIME</t>
  </si>
  <si>
    <t>MRRIME</t>
  </si>
  <si>
    <t>SMEARGLE</t>
  </si>
  <si>
    <t>DIGLETT2</t>
  </si>
  <si>
    <t>DUGTRIO2</t>
  </si>
  <si>
    <t>LUVDISC</t>
  </si>
  <si>
    <t>SHIELDON</t>
  </si>
  <si>
    <t>BASTIODON</t>
  </si>
  <si>
    <t>APPLIN</t>
  </si>
  <si>
    <t>FLAPPLE</t>
  </si>
  <si>
    <t>APPLETUN</t>
  </si>
  <si>
    <t>WURMPLE2</t>
  </si>
  <si>
    <t>EEVEE2</t>
  </si>
  <si>
    <t>WOOLOO</t>
  </si>
  <si>
    <t>DUBWOOL</t>
  </si>
  <si>
    <t>ABSOL2</t>
  </si>
  <si>
    <t>FENNEKIN</t>
  </si>
  <si>
    <t>BRAIXEN</t>
  </si>
  <si>
    <t>DELPHOX</t>
  </si>
  <si>
    <t>SNIVY</t>
  </si>
  <si>
    <t>SERVINE</t>
  </si>
  <si>
    <t>SERPERIOR</t>
  </si>
  <si>
    <t>VOLTORB2</t>
  </si>
  <si>
    <t>ELECTRODE2</t>
  </si>
  <si>
    <t>SNOVER</t>
  </si>
  <si>
    <t>ABOMASNOW</t>
  </si>
  <si>
    <t>EXEGGCUTE2</t>
  </si>
  <si>
    <t>EXEGGUTOR2</t>
  </si>
  <si>
    <t>SABLEYE2</t>
  </si>
  <si>
    <t>BEEDRILL</t>
  </si>
  <si>
    <t>TRUBBISH</t>
  </si>
  <si>
    <t>GARBODOR</t>
  </si>
  <si>
    <t>SWABLU2</t>
  </si>
  <si>
    <t>ALTARIA2</t>
  </si>
  <si>
    <t>SLUGMA2</t>
  </si>
  <si>
    <t>MAGCARGO2</t>
  </si>
  <si>
    <t>MUDKIP2</t>
  </si>
  <si>
    <t>MARSHTOMP2</t>
  </si>
  <si>
    <t>SWAMPERT2</t>
  </si>
  <si>
    <t>CHESPIN</t>
  </si>
  <si>
    <t>QUILLADIN</t>
  </si>
  <si>
    <t>CHESNAUGHT</t>
  </si>
  <si>
    <t>FROAKIE</t>
  </si>
  <si>
    <t>FROGADIER</t>
  </si>
  <si>
    <t>GRENINJA</t>
  </si>
  <si>
    <t>JANGMOO</t>
  </si>
  <si>
    <t>HAKAMOO</t>
  </si>
  <si>
    <t>KOMMOO</t>
  </si>
  <si>
    <t>SCRAGGY</t>
  </si>
  <si>
    <t>SCRAFTY</t>
  </si>
  <si>
    <t>CHIKORITA2</t>
  </si>
  <si>
    <t>BAYLEEF2</t>
  </si>
  <si>
    <t>MEGANIUM2</t>
  </si>
  <si>
    <t>CYNDAQUIL2</t>
  </si>
  <si>
    <t>QUILAVA2</t>
  </si>
  <si>
    <t>TYPHLOSION2</t>
  </si>
  <si>
    <t>TOTODILE2</t>
  </si>
  <si>
    <t>CROCONAW2</t>
  </si>
  <si>
    <t>FERALIGATR2</t>
  </si>
  <si>
    <t>SURSKIT2</t>
  </si>
  <si>
    <t>MASQUERAIN2</t>
  </si>
  <si>
    <t>STANTLER2</t>
  </si>
  <si>
    <t>CLAMPERL</t>
  </si>
  <si>
    <t>GOREBYSS</t>
  </si>
  <si>
    <t>HUNTAIL</t>
  </si>
  <si>
    <t>KLINK</t>
  </si>
  <si>
    <t>KLANG</t>
  </si>
  <si>
    <t>KLINKLANG</t>
  </si>
  <si>
    <t>DARUMAKA</t>
  </si>
  <si>
    <t>DARMANITAN</t>
  </si>
  <si>
    <t>Zen Mode</t>
  </si>
  <si>
    <t>SKITTY2</t>
  </si>
  <si>
    <t>DELCATTY2</t>
  </si>
  <si>
    <t>DODUO2</t>
  </si>
  <si>
    <t>DODRIO2</t>
  </si>
  <si>
    <t>NUMEL2</t>
  </si>
  <si>
    <t>CAMERUPT2</t>
  </si>
  <si>
    <t>BINACLE</t>
  </si>
  <si>
    <t>BARBARACLE</t>
  </si>
  <si>
    <t>ARROKUDA</t>
  </si>
  <si>
    <t>BARRASKEWDA</t>
  </si>
  <si>
    <t>MACHOP2</t>
  </si>
  <si>
    <t>MACHOKE2</t>
  </si>
  <si>
    <t>MACHAMP2</t>
  </si>
  <si>
    <t>FALINKS</t>
  </si>
  <si>
    <t>SMOOCHUM</t>
  </si>
  <si>
    <t>JYNX</t>
  </si>
  <si>
    <t>CRANIDOS</t>
  </si>
  <si>
    <t>GIBLE2</t>
  </si>
  <si>
    <t>GABITE2</t>
  </si>
  <si>
    <t>GARCHOMP2</t>
  </si>
  <si>
    <t>YANMA2</t>
  </si>
  <si>
    <t>YANMEGA2</t>
  </si>
  <si>
    <t>MISDREAVUS</t>
  </si>
  <si>
    <t>MISMAGIUS</t>
  </si>
  <si>
    <t>CONKELDURR</t>
  </si>
  <si>
    <t>POLIWAG</t>
  </si>
  <si>
    <t>POLIWHIRL</t>
  </si>
  <si>
    <t>POLIWRATH</t>
  </si>
  <si>
    <t>POLITOED</t>
  </si>
  <si>
    <t>PHANTUMP</t>
  </si>
  <si>
    <t>TREVENANT</t>
  </si>
  <si>
    <t>TYROGUE</t>
  </si>
  <si>
    <t>HITMONLEE</t>
  </si>
  <si>
    <t>HITMONCHAN</t>
  </si>
  <si>
    <t>HITMONTOP</t>
  </si>
  <si>
    <t>PINCURCHIN</t>
  </si>
  <si>
    <t>SCYTHER</t>
  </si>
  <si>
    <t>SCIZOR</t>
  </si>
  <si>
    <t>Artist</t>
  </si>
  <si>
    <t>Badman</t>
  </si>
  <si>
    <t>Jos</t>
  </si>
  <si>
    <t>IndianAnimator</t>
  </si>
  <si>
    <t>Hexx_Vixtar</t>
  </si>
  <si>
    <t>Boro</t>
  </si>
  <si>
    <t>Scotsman33</t>
  </si>
  <si>
    <t>Angel</t>
  </si>
  <si>
    <t>Endless</t>
  </si>
  <si>
    <t>KingPanloco / Endless</t>
  </si>
  <si>
    <t>KingPanloco / Jos</t>
  </si>
  <si>
    <t>NocTurn / Jos</t>
  </si>
  <si>
    <t>LuRocha / Jos</t>
  </si>
  <si>
    <t>Boro / Endless</t>
  </si>
  <si>
    <t>Boro / Jos</t>
  </si>
  <si>
    <t>Plates of Arceus</t>
  </si>
  <si>
    <t>LightningStrike7 / Jos</t>
  </si>
  <si>
    <t>LuRocha / Hexx_Vixtar</t>
  </si>
  <si>
    <t>Plates of Arceus / Jos</t>
  </si>
  <si>
    <t>Maeracle / Hexx_Vixtar</t>
  </si>
  <si>
    <t>Geno / Jos</t>
  </si>
  <si>
    <t>Steelman2004 / Hexx_Vixtar</t>
  </si>
  <si>
    <t>Jos / Doowi</t>
  </si>
  <si>
    <t>Jos / Hexx_Vixtar</t>
  </si>
  <si>
    <t>Khrona</t>
  </si>
  <si>
    <t>Starry_Knight_Constellations / Jos</t>
  </si>
  <si>
    <t>Mr. Fakemon / Jos</t>
  </si>
  <si>
    <t>Scotsman33 / Jos</t>
  </si>
  <si>
    <t>PINSIR</t>
  </si>
  <si>
    <t>ROLYCOLY</t>
  </si>
  <si>
    <t>CARKOL</t>
  </si>
  <si>
    <t>COALOSSAL</t>
  </si>
  <si>
    <t>RIOLU</t>
  </si>
  <si>
    <t>LUCARIO</t>
  </si>
  <si>
    <t>TRAPINCH</t>
  </si>
  <si>
    <t>VIBRAVA</t>
  </si>
  <si>
    <t>FLYGON</t>
  </si>
  <si>
    <t>DHELMISE</t>
  </si>
  <si>
    <t>GEODUDE2</t>
  </si>
  <si>
    <t>GRAVELER2</t>
  </si>
  <si>
    <t>GOLEM2</t>
  </si>
  <si>
    <t>ROGGENROLA2</t>
  </si>
  <si>
    <t>BOLDORE2</t>
  </si>
  <si>
    <t>GIGALITH2</t>
  </si>
  <si>
    <t>VANILLITE2</t>
  </si>
  <si>
    <t>VANILLISH2</t>
  </si>
  <si>
    <t>VANILLUXE2</t>
  </si>
  <si>
    <t>DRATINI</t>
  </si>
  <si>
    <t>DRAGONAIR</t>
  </si>
  <si>
    <t>DRAGONITE</t>
  </si>
  <si>
    <t>MURKROW2</t>
  </si>
  <si>
    <t>HONCHKROW2</t>
  </si>
  <si>
    <t>CLEFFA</t>
  </si>
  <si>
    <t>CLEFAIRY</t>
  </si>
  <si>
    <t>CLEFABLE</t>
  </si>
  <si>
    <t>0/-100/10</t>
  </si>
  <si>
    <t>-60/0/0</t>
  </si>
  <si>
    <t>-50/0/0 on skin
-0/-50/-20 on hair</t>
  </si>
  <si>
    <t>140/0/0</t>
  </si>
  <si>
    <t>115/10/-10 on feathers
-35/0/0 on beak/talons</t>
  </si>
  <si>
    <t>0/-50/-10 on coat
0/-75/35 on chest</t>
  </si>
  <si>
    <t>0/-50/-20 on coat
0/-75/10 on chest</t>
  </si>
  <si>
    <t>-130/5/10</t>
  </si>
  <si>
    <t>-80/0/0</t>
  </si>
  <si>
    <t>KABUTO2</t>
  </si>
  <si>
    <t>KABUTOPS2</t>
  </si>
  <si>
    <t>ARCHEN</t>
  </si>
  <si>
    <t>ARCHEOPS</t>
  </si>
  <si>
    <t>TIRTOUGA</t>
  </si>
  <si>
    <t>CARRACOSTA</t>
  </si>
  <si>
    <t>DREEPY</t>
  </si>
  <si>
    <t>DRAKLOAK</t>
  </si>
  <si>
    <t>DRAGAPULT</t>
  </si>
  <si>
    <t>WIMPOD</t>
  </si>
  <si>
    <t>GOLISOPOD</t>
  </si>
  <si>
    <t>Female</t>
  </si>
  <si>
    <t>MUNNA</t>
  </si>
  <si>
    <t>MUSHARNA</t>
  </si>
  <si>
    <t>SHUPPET</t>
  </si>
  <si>
    <t>BANETTE</t>
  </si>
  <si>
    <t>STONJOURNER</t>
  </si>
  <si>
    <t>LAPRAS2</t>
  </si>
  <si>
    <t>-180/0/0</t>
  </si>
  <si>
    <t>Custom based on Slowpoke</t>
  </si>
  <si>
    <t>145/0/0</t>
  </si>
  <si>
    <t>180/0/0</t>
  </si>
  <si>
    <t>Custom</t>
  </si>
  <si>
    <t>-100/0/0</t>
  </si>
  <si>
    <t>90/0/10</t>
  </si>
  <si>
    <t>WOOLOO2</t>
  </si>
  <si>
    <t>DUBWOOL2</t>
  </si>
  <si>
    <t>BIDOOF</t>
  </si>
  <si>
    <t>BIBAREL</t>
  </si>
  <si>
    <t>105/0/0</t>
  </si>
  <si>
    <t>-130/0/0</t>
  </si>
  <si>
    <t>100/0/0</t>
  </si>
  <si>
    <t>-110/0/0</t>
  </si>
  <si>
    <t>50/-15/-5</t>
  </si>
  <si>
    <t>75/0/0</t>
  </si>
  <si>
    <t>-70/0/0</t>
  </si>
  <si>
    <t>85/0/0</t>
  </si>
  <si>
    <t>-15/10/5</t>
  </si>
  <si>
    <t>-40/10/10</t>
  </si>
  <si>
    <t>150/0/0</t>
  </si>
  <si>
    <t>-115/-5/0</t>
  </si>
  <si>
    <t>110/0/0</t>
  </si>
  <si>
    <t>-140/0/0</t>
  </si>
  <si>
    <t>Don't remember hue shift</t>
  </si>
  <si>
    <t>115/0/0</t>
  </si>
  <si>
    <t>DRILBUR</t>
  </si>
  <si>
    <t>EXCADRILL</t>
  </si>
  <si>
    <t>DRILBUR2</t>
  </si>
  <si>
    <t>EXCADRILL2</t>
  </si>
  <si>
    <t>SNOM</t>
  </si>
  <si>
    <t>FROSMOTH</t>
  </si>
  <si>
    <t>HOUNDOUR</t>
  </si>
  <si>
    <t>HOUNDOOM</t>
  </si>
  <si>
    <t>ZIGZAGOON</t>
  </si>
  <si>
    <t>LINOONE</t>
  </si>
  <si>
    <t>OBSTAGOON</t>
  </si>
  <si>
    <t>Mr. Fakemon / Endless / Jos</t>
  </si>
  <si>
    <t>PIPLUP</t>
  </si>
  <si>
    <t>PRINPLUP</t>
  </si>
  <si>
    <t>EMPOLEON</t>
  </si>
  <si>
    <t>SOLOSIS2</t>
  </si>
  <si>
    <t>DUOSION2</t>
  </si>
  <si>
    <t>REUNICLUS2</t>
  </si>
  <si>
    <t>MUDBRAY</t>
  </si>
  <si>
    <t>MUDSDALE</t>
  </si>
  <si>
    <t>CRAMORANT</t>
  </si>
  <si>
    <t>HOPPIP2</t>
  </si>
  <si>
    <t>SKIPLOOM2</t>
  </si>
  <si>
    <t>SEWADDLE</t>
  </si>
  <si>
    <t>SWADLOON</t>
  </si>
  <si>
    <t>LEAVANNY</t>
  </si>
  <si>
    <t>WHISMUR</t>
  </si>
  <si>
    <t>LOUDRED</t>
  </si>
  <si>
    <t>EXPLOUD</t>
  </si>
  <si>
    <t>Squirtle</t>
  </si>
  <si>
    <t>Wartortle</t>
  </si>
  <si>
    <t>Blastoise</t>
  </si>
  <si>
    <t>Sandshrew</t>
  </si>
  <si>
    <t>Sandslash</t>
  </si>
  <si>
    <t>Bulbasaur</t>
  </si>
  <si>
    <t>Ivysaur</t>
  </si>
  <si>
    <t>Venusaur</t>
  </si>
  <si>
    <t>Charmander</t>
  </si>
  <si>
    <t>Charmeleon</t>
  </si>
  <si>
    <t>Charizard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</si>
  <si>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</si>
  <si>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</si>
  <si>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</si>
  <si>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</si>
  <si>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</si>
  <si>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</si>
  <si>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</si>
  <si>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</si>
  <si>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</si>
  <si>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</si>
  <si>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</si>
  <si>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</si>
  <si>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</si>
  <si>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</si>
  <si>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</si>
  <si>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</si>
  <si>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</si>
  <si>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NidoranFE</t>
  </si>
  <si>
    <t>Nidorina</t>
  </si>
  <si>
    <t>Nidoqueen</t>
  </si>
  <si>
    <t>NidoranMA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</si>
  <si>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</si>
  <si>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</si>
  <si>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</si>
  <si>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</si>
  <si>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</si>
  <si>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</si>
  <si>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</si>
  <si>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</si>
  <si>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</si>
  <si>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</si>
  <si>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</si>
  <si>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</si>
  <si>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</si>
  <si>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</si>
  <si>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</si>
  <si>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</si>
  <si>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</si>
  <si>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</si>
  <si>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</si>
  <si>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</si>
  <si>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</si>
  <si>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</si>
  <si>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</si>
  <si>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</si>
  <si>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</si>
  <si>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</si>
  <si>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</si>
  <si>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</si>
  <si>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</si>
  <si>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</si>
  <si>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</si>
  <si>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</si>
  <si>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</si>
  <si>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</si>
  <si>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</si>
  <si>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</si>
  <si>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</si>
  <si>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</si>
  <si>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</si>
  <si>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</si>
  <si>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</si>
  <si>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</si>
  <si>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</si>
  <si>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</si>
  <si>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</si>
  <si>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</si>
  <si>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</si>
  <si>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</si>
  <si>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</si>
  <si>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</si>
  <si>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</si>
  <si>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</si>
  <si>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</si>
  <si>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</si>
  <si>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</si>
  <si>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</si>
  <si>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</si>
  <si>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</si>
  <si>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</si>
  <si>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</si>
  <si>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</si>
  <si>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</si>
  <si>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</si>
  <si>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</si>
  <si>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</si>
  <si>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</si>
  <si>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</si>
  <si>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</si>
  <si>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</si>
  <si>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</si>
  <si>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</si>
  <si>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</si>
  <si>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</si>
  <si>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</si>
  <si>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</si>
  <si>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</si>
  <si>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</si>
  <si>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</si>
  <si>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</si>
  <si>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</si>
  <si>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</si>
  <si>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</si>
  <si>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</si>
  <si>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</si>
  <si>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</si>
  <si>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</si>
  <si>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</si>
  <si>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</si>
  <si>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</si>
  <si>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</si>
  <si>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</si>
  <si>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</si>
  <si>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</si>
  <si>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</si>
  <si>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</si>
  <si>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</si>
  <si>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</si>
  <si>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</si>
  <si>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</si>
  <si>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</si>
  <si>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</si>
  <si>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</si>
  <si>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</si>
  <si>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</si>
  <si>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</si>
  <si>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</si>
  <si>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</si>
  <si>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</si>
  <si>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</si>
  <si>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</si>
  <si>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</si>
  <si>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</si>
  <si>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</si>
  <si>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</si>
  <si>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</si>
  <si>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</si>
  <si>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</si>
  <si>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</si>
  <si>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</si>
  <si>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</si>
  <si>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</si>
  <si>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</si>
  <si>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</si>
  <si>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</si>
  <si>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</si>
  <si>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</si>
  <si>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</si>
  <si>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</si>
  <si>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</si>
  <si>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</si>
  <si>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</si>
  <si>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</si>
  <si>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</si>
  <si>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</si>
  <si>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</si>
  <si>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</si>
  <si>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</si>
  <si>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</si>
  <si>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</si>
  <si>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</si>
  <si>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</si>
  <si>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</si>
  <si>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</si>
  <si>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</si>
  <si>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</si>
  <si>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</si>
  <si>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</si>
  <si>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</si>
  <si>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</si>
  <si>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</si>
  <si>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</si>
  <si>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</si>
  <si>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</si>
  <si>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</si>
  <si>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</si>
  <si>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</si>
  <si>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</si>
  <si>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</si>
  <si>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</si>
  <si>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</si>
  <si>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</si>
  <si>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</si>
  <si>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</si>
  <si>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</si>
  <si>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</si>
  <si>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</si>
  <si>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</si>
  <si>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</si>
  <si>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</si>
  <si>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</si>
  <si>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</si>
  <si>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</si>
  <si>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</si>
  <si>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</si>
  <si>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</si>
  <si>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</si>
  <si>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</si>
  <si>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</si>
  <si>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</si>
  <si>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</si>
  <si>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</si>
  <si>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</si>
  <si>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</si>
  <si>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</si>
  <si>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</si>
  <si>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</si>
  <si>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</si>
  <si>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</si>
  <si>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</si>
  <si>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</si>
  <si>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</si>
  <si>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</si>
  <si>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</si>
  <si>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</si>
  <si>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</si>
  <si>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</si>
  <si>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</si>
  <si>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</si>
  <si>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</si>
  <si>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</si>
  <si>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</si>
  <si>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</si>
  <si>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</si>
  <si>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</si>
  <si>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</si>
  <si>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</si>
  <si>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</si>
  <si>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</si>
  <si>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</si>
  <si>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</si>
  <si>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</si>
  <si>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</si>
  <si>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</si>
  <si>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</si>
  <si>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</si>
  <si>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</si>
  <si>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</si>
  <si>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</si>
  <si>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</si>
  <si>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</si>
  <si>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</si>
  <si>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</si>
  <si>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</si>
  <si>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</si>
  <si>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</si>
  <si>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</si>
  <si>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</si>
  <si>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</si>
  <si>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</si>
  <si>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</si>
  <si>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</si>
  <si>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</si>
  <si>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</si>
  <si>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</si>
  <si>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</si>
  <si>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</si>
  <si>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</si>
  <si>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</si>
  <si>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</si>
  <si>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</si>
  <si>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</si>
  <si>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</si>
  <si>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</si>
  <si>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</si>
  <si>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</si>
  <si>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</si>
  <si>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</si>
  <si>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</si>
  <si>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</si>
  <si>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</si>
  <si>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</si>
  <si>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</si>
  <si>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</si>
  <si>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</si>
  <si>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</si>
  <si>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</si>
  <si>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</si>
  <si>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</si>
  <si>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</si>
  <si>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</si>
  <si>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</si>
  <si>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</si>
  <si>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</si>
  <si>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</si>
  <si>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</si>
  <si>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</si>
  <si>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</si>
  <si>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</si>
  <si>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</si>
  <si>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</si>
  <si>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</si>
  <si>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</si>
  <si>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</si>
  <si>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</si>
  <si>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</si>
  <si>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</si>
  <si>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</si>
  <si>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</si>
  <si>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</si>
  <si>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</si>
  <si>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</si>
  <si>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</si>
  <si>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</si>
  <si>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</si>
  <si>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</si>
  <si>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</si>
  <si>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</si>
  <si>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</si>
  <si>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</si>
  <si>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</si>
  <si>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</si>
  <si>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</si>
  <si>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</si>
  <si>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</si>
  <si>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</si>
  <si>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</si>
  <si>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</si>
  <si>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</si>
  <si>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</si>
  <si>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</si>
  <si>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</si>
  <si>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</si>
  <si>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</si>
  <si>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</si>
  <si>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</si>
  <si>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</si>
  <si>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</si>
  <si>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</si>
  <si>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</si>
  <si>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</si>
  <si>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</si>
  <si>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</si>
  <si>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</si>
  <si>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</si>
  <si>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</si>
  <si>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</si>
  <si>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</si>
  <si>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</si>
  <si>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</si>
  <si>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</si>
  <si>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</si>
  <si>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</si>
  <si>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</si>
  <si>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</si>
  <si>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</si>
  <si>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</si>
  <si>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</si>
  <si>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</si>
  <si>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</si>
  <si>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</si>
  <si>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</si>
  <si>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</si>
  <si>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</si>
  <si>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</si>
  <si>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</si>
  <si>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</si>
  <si>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</si>
  <si>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</si>
  <si>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</si>
  <si>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</si>
  <si>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</si>
  <si>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</si>
  <si>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</si>
  <si>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</si>
  <si>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</si>
  <si>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</si>
  <si>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</si>
  <si>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</si>
  <si>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</si>
  <si>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</si>
  <si>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</si>
  <si>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</si>
  <si>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</si>
  <si>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</si>
  <si>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</si>
  <si>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</si>
  <si>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</si>
  <si>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</si>
  <si>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</si>
  <si>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</si>
  <si>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</si>
  <si>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</si>
  <si>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</si>
  <si>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</si>
  <si>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</si>
  <si>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</si>
  <si>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</si>
  <si>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</si>
  <si>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</si>
  <si>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</si>
  <si>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</si>
  <si>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</si>
  <si>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</si>
  <si>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</si>
  <si>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</si>
  <si>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</si>
  <si>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</si>
  <si>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</si>
  <si>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</si>
  <si>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</si>
  <si>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</si>
  <si>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</si>
  <si>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</si>
  <si>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</si>
  <si>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</si>
  <si>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</si>
  <si>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</si>
  <si>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</si>
  <si>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</si>
  <si>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</si>
  <si>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</si>
  <si>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</si>
  <si>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</si>
  <si>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</si>
  <si>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</si>
  <si>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</si>
  <si>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</si>
  <si>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</si>
  <si>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</si>
  <si>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</si>
  <si>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</si>
  <si>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</si>
  <si>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</si>
  <si>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</si>
  <si>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</si>
  <si>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</si>
  <si>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MimeJr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</si>
  <si>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</si>
  <si>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</si>
  <si>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</si>
  <si>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</si>
  <si>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</si>
  <si>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</si>
  <si>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</si>
  <si>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</si>
  <si>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</si>
  <si>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</si>
  <si>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</si>
  <si>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</si>
  <si>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</si>
  <si>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</si>
  <si>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</si>
  <si>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</si>
  <si>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</si>
  <si>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</si>
  <si>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</si>
  <si>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</si>
  <si>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</si>
  <si>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</si>
  <si>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</si>
  <si>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</si>
  <si>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</si>
  <si>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</si>
  <si>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</si>
  <si>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</si>
  <si>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</si>
  <si>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</si>
  <si>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</si>
  <si>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</si>
  <si>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</si>
  <si>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</si>
  <si>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</si>
  <si>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</si>
  <si>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</si>
  <si>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</si>
  <si>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</si>
  <si>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</si>
  <si>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</si>
  <si>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</si>
  <si>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</si>
  <si>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</si>
  <si>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</si>
  <si>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</si>
  <si>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</si>
  <si>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</si>
  <si>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</si>
  <si>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</si>
  <si>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</si>
  <si>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</si>
  <si>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</si>
  <si>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</si>
  <si>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</si>
  <si>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</si>
  <si>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</si>
  <si>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</si>
  <si>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</si>
  <si>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</si>
  <si>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</si>
  <si>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</si>
  <si>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</si>
  <si>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</si>
  <si>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</si>
  <si>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</si>
  <si>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</si>
  <si>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</si>
  <si>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</si>
  <si>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</si>
  <si>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</si>
  <si>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</si>
  <si>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</si>
  <si>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</si>
  <si>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</si>
  <si>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</si>
  <si>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</si>
  <si>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</si>
  <si>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</si>
  <si>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</si>
  <si>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</si>
  <si>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</si>
  <si>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</si>
  <si>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</si>
  <si>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</si>
  <si>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</si>
  <si>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</si>
  <si>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</si>
  <si>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</si>
  <si>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</si>
  <si>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</si>
  <si>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</si>
  <si>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</si>
  <si>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</si>
  <si>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</si>
  <si>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</si>
  <si>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</si>
  <si>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</si>
  <si>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</si>
  <si>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</si>
  <si>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</si>
  <si>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</si>
  <si>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</si>
  <si>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</si>
  <si>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</si>
  <si>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</si>
  <si>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</si>
  <si>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</si>
  <si>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</si>
  <si>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</si>
  <si>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</si>
  <si>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</si>
  <si>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</si>
  <si>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</si>
  <si>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</si>
  <si>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</si>
  <si>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</si>
  <si>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</si>
  <si>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</si>
  <si>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</si>
  <si>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</si>
  <si>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</si>
  <si>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</si>
  <si>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</si>
  <si>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</si>
  <si>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</si>
  <si>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</si>
  <si>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</si>
  <si>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</si>
  <si>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</si>
  <si>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</si>
  <si>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</si>
  <si>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</si>
  <si>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</si>
  <si>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</si>
  <si>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</si>
  <si>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</si>
  <si>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</si>
  <si>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</si>
  <si>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</si>
  <si>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</si>
  <si>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</si>
  <si>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</si>
  <si>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</si>
  <si>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</si>
  <si>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</si>
  <si>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</si>
  <si>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</si>
  <si>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</si>
  <si>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</si>
  <si>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</si>
  <si>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</si>
  <si>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</si>
  <si>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</si>
  <si>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</si>
  <si>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</si>
  <si>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</si>
  <si>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</si>
  <si>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</si>
  <si>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</si>
  <si>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</si>
  <si>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</si>
  <si>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</si>
  <si>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</si>
  <si>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</si>
  <si>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</si>
  <si>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</si>
  <si>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</si>
  <si>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</si>
  <si>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</si>
  <si>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</si>
  <si>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</si>
  <si>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</si>
  <si>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</si>
  <si>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</si>
  <si>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</si>
  <si>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</si>
  <si>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</si>
  <si>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</si>
  <si>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</si>
  <si>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</si>
  <si>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</si>
  <si>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</si>
  <si>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</si>
  <si>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</si>
  <si>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</si>
  <si>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</si>
  <si>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</si>
  <si>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</si>
  <si>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</si>
  <si>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</si>
  <si>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</si>
  <si>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</si>
  <si>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</si>
  <si>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</si>
  <si>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</si>
  <si>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</si>
  <si>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</si>
  <si>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</si>
  <si>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</si>
  <si>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</si>
  <si>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</si>
  <si>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</si>
  <si>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</si>
  <si>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</si>
  <si>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</si>
  <si>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</si>
  <si>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</si>
  <si>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</si>
  <si>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</si>
  <si>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</si>
  <si>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</si>
  <si>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</si>
  <si>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</si>
  <si>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</si>
  <si>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</si>
  <si>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</si>
  <si>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</si>
  <si>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</si>
  <si>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</si>
  <si>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</si>
  <si>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</si>
  <si>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</si>
  <si>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</si>
  <si>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</si>
  <si>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</si>
  <si>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</si>
  <si>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</si>
  <si>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</si>
  <si>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</si>
  <si>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</si>
  <si>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</si>
  <si>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</si>
  <si>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</si>
  <si>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</si>
  <si>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</si>
  <si>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</si>
  <si>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</si>
  <si>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</si>
  <si>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</si>
  <si>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</si>
  <si>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</si>
  <si>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</si>
  <si>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</si>
  <si>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</si>
  <si>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</si>
  <si>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</si>
  <si>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</si>
  <si>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</si>
  <si>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</si>
  <si>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</si>
  <si>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</si>
  <si>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</si>
  <si>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</si>
  <si>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</si>
  <si>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</si>
  <si>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</si>
  <si>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</si>
  <si>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</si>
  <si>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</si>
  <si>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</si>
  <si>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</si>
  <si>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</si>
  <si>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</si>
  <si>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</si>
  <si>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</si>
  <si>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</si>
  <si>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</si>
  <si>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</si>
  <si>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</si>
  <si>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</si>
  <si>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</si>
  <si>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</si>
  <si>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</si>
  <si>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</si>
  <si>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</si>
  <si>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</si>
  <si>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</si>
  <si>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</si>
  <si>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</si>
  <si>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</si>
  <si>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</si>
  <si>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</si>
  <si>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</si>
  <si>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</si>
  <si>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</si>
  <si>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</si>
  <si>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</si>
  <si>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</si>
  <si>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</si>
  <si>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</si>
  <si>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</si>
  <si>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</si>
  <si>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</si>
  <si>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</si>
  <si>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</si>
  <si>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</si>
  <si>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</si>
  <si>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</si>
  <si>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</si>
  <si>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</si>
  <si>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</si>
  <si>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</si>
  <si>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</si>
  <si>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</si>
  <si>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</si>
  <si>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</si>
  <si>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</si>
  <si>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</si>
  <si>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</si>
  <si>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</si>
  <si>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</si>
  <si>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</si>
  <si>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</si>
  <si>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</si>
  <si>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</si>
  <si>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</si>
  <si>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</si>
  <si>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</si>
  <si>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</si>
  <si>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</si>
  <si>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</si>
  <si>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</si>
  <si>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</si>
  <si>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</si>
  <si>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</si>
  <si>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</si>
  <si>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</si>
  <si>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</si>
  <si>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</si>
  <si>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</si>
  <si>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</si>
  <si>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</si>
  <si>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</si>
  <si>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</si>
  <si>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</si>
  <si>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</si>
  <si>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</si>
  <si>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</si>
  <si>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</si>
  <si>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</si>
  <si>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</si>
  <si>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Jangmoo</t>
  </si>
  <si>
    <t>Hakamoo</t>
  </si>
  <si>
    <t>Kommoo</t>
  </si>
  <si>
    <t>TapuKoko</t>
  </si>
  <si>
    <t>TapuLele</t>
  </si>
  <si>
    <t>TapuBulu</t>
  </si>
  <si>
    <t>TapuFini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</si>
  <si>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</si>
  <si>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</si>
  <si>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</si>
  <si>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</si>
  <si>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</si>
  <si>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</si>
  <si>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</si>
  <si>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</si>
  <si>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</si>
  <si>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</si>
  <si>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</si>
  <si>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</si>
  <si>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</si>
  <si>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</si>
  <si>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</si>
  <si>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</si>
  <si>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</si>
  <si>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</si>
  <si>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</si>
  <si>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No Variant?</t>
  </si>
  <si>
    <t>Legendary</t>
  </si>
  <si>
    <t>Noel#5229, Colin#1356</t>
  </si>
  <si>
    <t>SIZZLIPEDE</t>
  </si>
  <si>
    <t>CENTISKORCH</t>
  </si>
  <si>
    <t>SOBBLE</t>
  </si>
  <si>
    <t>DRIZZILE</t>
  </si>
  <si>
    <t>INTELEON</t>
  </si>
  <si>
    <t>TIMBURR2</t>
  </si>
  <si>
    <t>GURDURR2</t>
  </si>
  <si>
    <t>CONKELDURR2</t>
  </si>
  <si>
    <t>CORPHISH</t>
  </si>
  <si>
    <t>CRAWDAUNT</t>
  </si>
  <si>
    <t>RAMPARDOS</t>
  </si>
  <si>
    <t>ETERNATUS</t>
  </si>
  <si>
    <t>Moves in PBS</t>
  </si>
  <si>
    <t>Tutor in PBS</t>
  </si>
  <si>
    <t>Dragonfish</t>
  </si>
  <si>
    <t>ANORITH</t>
  </si>
  <si>
    <t>ARMALDO</t>
  </si>
  <si>
    <t>Temple</t>
  </si>
  <si>
    <t>INDEEDEE</t>
  </si>
  <si>
    <t>BAGON</t>
  </si>
  <si>
    <t>SHELGON</t>
  </si>
  <si>
    <t>SALAMENCE</t>
  </si>
  <si>
    <t>MIMIKYU</t>
  </si>
  <si>
    <t>-45/-15/0</t>
  </si>
  <si>
    <t>MUNCHLAX</t>
  </si>
  <si>
    <t>SNORLAX</t>
  </si>
  <si>
    <t>MANAPHY2</t>
  </si>
  <si>
    <t>PHIONE2</t>
  </si>
  <si>
    <t>LARVESTA2</t>
  </si>
  <si>
    <t>VOLCARONA2</t>
  </si>
  <si>
    <t>alba</t>
  </si>
  <si>
    <t>Otter</t>
  </si>
  <si>
    <t>Ace</t>
  </si>
  <si>
    <t>Jos / Endless</t>
  </si>
  <si>
    <t>Custom - Endless</t>
  </si>
  <si>
    <t>-120/-20/0</t>
  </si>
  <si>
    <t>TEPIG</t>
  </si>
  <si>
    <t>PIGNITE</t>
  </si>
  <si>
    <t>EMBOAR</t>
  </si>
  <si>
    <t>SNEASEL</t>
  </si>
  <si>
    <t>WEAVILE</t>
  </si>
  <si>
    <t>-55/0/0</t>
  </si>
  <si>
    <t>RBRNNova / Eeveelution Reborn</t>
  </si>
  <si>
    <t>-115/0/0</t>
  </si>
  <si>
    <t>55/0/0</t>
  </si>
  <si>
    <t>-45/0/0</t>
  </si>
  <si>
    <t>-85/0/0</t>
  </si>
  <si>
    <t>-125/0/0</t>
  </si>
  <si>
    <t>Custom - Hexx</t>
  </si>
  <si>
    <t>45/0/0</t>
  </si>
  <si>
    <t>60/0/0</t>
  </si>
  <si>
    <t>xx</t>
  </si>
  <si>
    <t>-30/25/-5</t>
  </si>
  <si>
    <t>-120/0/0</t>
  </si>
  <si>
    <t>Custom - Ace</t>
  </si>
  <si>
    <t>45/10/-5</t>
  </si>
  <si>
    <t>MILCERY</t>
  </si>
  <si>
    <t>ALCREMIE</t>
  </si>
  <si>
    <t>FRILLISH</t>
  </si>
  <si>
    <t>JELLICENT</t>
  </si>
  <si>
    <t>70/0/0</t>
  </si>
  <si>
    <t>CLOBBOPUS</t>
  </si>
  <si>
    <t>GRAPPLOCT</t>
  </si>
  <si>
    <t>NOSEPASS2</t>
  </si>
  <si>
    <t>PROBOPASS2</t>
  </si>
  <si>
    <t>CUFANT</t>
  </si>
  <si>
    <t>COPPERAJAH</t>
  </si>
  <si>
    <t>BLITZLE</t>
  </si>
  <si>
    <t>ZEBSTRIKA</t>
  </si>
  <si>
    <t>SLAKOTH</t>
  </si>
  <si>
    <t>VIGOROTH</t>
  </si>
  <si>
    <t>SLAKING</t>
  </si>
  <si>
    <t>MILTANK</t>
  </si>
  <si>
    <t>Custom - Julius Caesar</t>
  </si>
  <si>
    <t>Badman / RedEmber513 (Icon)</t>
  </si>
  <si>
    <t>Jos / RBRNNova</t>
  </si>
  <si>
    <t>HELIOPTILE</t>
  </si>
  <si>
    <t>HELIOLISK</t>
  </si>
  <si>
    <t>HATENNA</t>
  </si>
  <si>
    <t>HATTREM</t>
  </si>
  <si>
    <t>HATTERENE</t>
  </si>
  <si>
    <t>-35/0/0</t>
  </si>
  <si>
    <t>Row 28 Horizontal</t>
  </si>
  <si>
    <t>Column Y</t>
  </si>
  <si>
    <t>SWINUB2</t>
  </si>
  <si>
    <t>PILOSWINE2</t>
  </si>
  <si>
    <t>MAMOSWINE2</t>
  </si>
  <si>
    <t>CHINGLING</t>
  </si>
  <si>
    <t>CHIMECHO</t>
  </si>
  <si>
    <t>kfweagz / Jos</t>
  </si>
  <si>
    <t>-85/15/0</t>
  </si>
  <si>
    <t>REMORAID</t>
  </si>
  <si>
    <t>OCTILLERY</t>
  </si>
  <si>
    <t>80/0/0</t>
  </si>
  <si>
    <t>Need</t>
  </si>
  <si>
    <t>DITTO</t>
  </si>
  <si>
    <t>180/30/10</t>
  </si>
  <si>
    <t>MAGNEMITE2</t>
  </si>
  <si>
    <t>MAGNETON2</t>
  </si>
  <si>
    <t>MAGNEZONE2</t>
  </si>
  <si>
    <t>IMPIDIMP2</t>
  </si>
  <si>
    <t>MORGREM2</t>
  </si>
  <si>
    <t>GRIMMSNARL2</t>
  </si>
  <si>
    <t>DEDENNE</t>
  </si>
  <si>
    <t>BUDEW2</t>
  </si>
  <si>
    <t>ROSELIA2</t>
  </si>
  <si>
    <t>ROSERADE2</t>
  </si>
  <si>
    <t>Arcadian Gekkouga#8920</t>
  </si>
  <si>
    <t>LOTAD</t>
  </si>
  <si>
    <t>LOMBRE</t>
  </si>
  <si>
    <t>LUDICOLO</t>
  </si>
  <si>
    <t>-40/0/0</t>
  </si>
  <si>
    <t>WATTREL</t>
  </si>
  <si>
    <t>KILOWATTREL</t>
  </si>
  <si>
    <t>-50/0/0</t>
  </si>
  <si>
    <t>120/0/0</t>
  </si>
  <si>
    <t>-100/-25/5</t>
  </si>
  <si>
    <t>-150/0/0</t>
  </si>
  <si>
    <t>180/20/0</t>
  </si>
  <si>
    <t>-90/-10/0</t>
  </si>
  <si>
    <t>90/0/0</t>
  </si>
  <si>
    <t>50/0/0</t>
  </si>
  <si>
    <t>30/0/0</t>
  </si>
  <si>
    <t>160/0/0</t>
  </si>
  <si>
    <t>-160/0/0</t>
  </si>
  <si>
    <t>WYRDEER</t>
  </si>
  <si>
    <t>WYRDEER2</t>
  </si>
  <si>
    <t>ANNIHILAPE</t>
  </si>
  <si>
    <t>FINIZEN</t>
  </si>
  <si>
    <t>PALAFIN</t>
  </si>
  <si>
    <t>PORYGON</t>
  </si>
  <si>
    <t>PORYGON2</t>
  </si>
  <si>
    <t>PORYGONZ</t>
  </si>
  <si>
    <t>55/10/-10</t>
  </si>
  <si>
    <t>Azria (a_zerudez)</t>
  </si>
  <si>
    <t>URSALUNA</t>
  </si>
  <si>
    <t>Jos / kfweagz for Mega</t>
  </si>
  <si>
    <t>PAWMI</t>
  </si>
  <si>
    <t>PAWMO</t>
  </si>
  <si>
    <t>PAWMOT</t>
  </si>
  <si>
    <t>-30/20/0</t>
  </si>
  <si>
    <t>Custom - Badman</t>
  </si>
  <si>
    <t>FUECOCO</t>
  </si>
  <si>
    <t>CROCALOR</t>
  </si>
  <si>
    <t>SKELEDIRGE</t>
  </si>
  <si>
    <t>TINKATINK</t>
  </si>
  <si>
    <t>TINKATUFF</t>
  </si>
  <si>
    <t>TINKATON</t>
  </si>
  <si>
    <t>FEEBAS2</t>
  </si>
  <si>
    <t>MILOTIC2</t>
  </si>
  <si>
    <t>SNEASLER</t>
  </si>
  <si>
    <t>SKARMORY</t>
  </si>
  <si>
    <t>WOOPER</t>
  </si>
  <si>
    <t>QUAGSIRE</t>
  </si>
  <si>
    <t>Mega in Forms PBS?</t>
  </si>
  <si>
    <t>FLABEBE</t>
  </si>
  <si>
    <t>FLOETTE</t>
  </si>
  <si>
    <t>FLORGES</t>
  </si>
  <si>
    <t>EMOLGA</t>
  </si>
  <si>
    <t>SALANDIT</t>
  </si>
  <si>
    <t>SALAZZLE</t>
  </si>
  <si>
    <t>DUDUNSPARCE</t>
  </si>
  <si>
    <t>HOOPA</t>
  </si>
  <si>
    <t>GIMMIGHOUL</t>
  </si>
  <si>
    <t>GHOLDENGO</t>
  </si>
  <si>
    <t>JUMPLUFF2</t>
  </si>
  <si>
    <t>Custom - AmokomA</t>
  </si>
  <si>
    <t>-180/-5/10</t>
  </si>
  <si>
    <t>DELIBIRD</t>
  </si>
  <si>
    <t>TAPUKOKO</t>
  </si>
  <si>
    <t>TAPUFINI</t>
  </si>
  <si>
    <t>TAPULELE</t>
  </si>
  <si>
    <t>TAPUBULU</t>
  </si>
  <si>
    <t>Boro / Icon by Endless</t>
  </si>
  <si>
    <t>Eysselia, Cataclyptic, Anarlaurendil, Dracoyan, Amras Anarion</t>
  </si>
  <si>
    <t>Badman/Endless (icon)</t>
  </si>
  <si>
    <t>DIPPLIN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</si>
  <si>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</si>
  <si>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</si>
  <si>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</si>
  <si>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</si>
  <si>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</si>
  <si>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</si>
  <si>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</si>
  <si>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</si>
  <si>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</si>
  <si>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</si>
  <si>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</si>
  <si>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</si>
  <si>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</si>
  <si>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</si>
  <si>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</si>
  <si>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</si>
  <si>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</si>
  <si>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</si>
  <si>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</si>
  <si>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</si>
  <si>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</si>
  <si>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</si>
  <si>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</si>
  <si>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</si>
  <si>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</si>
  <si>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</si>
  <si>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</si>
  <si>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</si>
  <si>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</si>
  <si>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</si>
  <si>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</si>
  <si>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</si>
  <si>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</si>
  <si>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</si>
  <si>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</si>
  <si>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</si>
  <si>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</si>
  <si>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</si>
  <si>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</si>
  <si>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</si>
  <si>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</si>
  <si>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</si>
  <si>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</si>
  <si>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</si>
  <si>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</si>
  <si>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</si>
  <si>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</si>
  <si>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</si>
  <si>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</si>
  <si>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</si>
  <si>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</si>
  <si>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</si>
  <si>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</si>
  <si>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</si>
  <si>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</si>
  <si>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</si>
  <si>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</si>
  <si>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</si>
  <si>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</si>
  <si>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</si>
  <si>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</si>
  <si>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</si>
  <si>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</si>
  <si>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</si>
  <si>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</si>
  <si>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</si>
  <si>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</si>
  <si>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</si>
  <si>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</si>
  <si>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</si>
  <si>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</si>
  <si>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</si>
  <si>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</si>
  <si>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</si>
  <si>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</si>
  <si>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</si>
  <si>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</si>
  <si>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</si>
  <si>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</si>
  <si>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</si>
  <si>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</si>
  <si>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</si>
  <si>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</si>
  <si>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</si>
  <si>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</si>
  <si>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</si>
  <si>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</si>
  <si>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</si>
  <si>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</si>
  <si>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</si>
  <si>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</si>
  <si>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</si>
  <si>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</si>
  <si>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</si>
  <si>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</si>
  <si>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</si>
  <si>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</si>
  <si>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</si>
  <si>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</si>
  <si>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</si>
  <si>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</si>
  <si>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</si>
  <si>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</si>
  <si>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</si>
  <si>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</si>
  <si>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</si>
  <si>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</si>
  <si>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</si>
  <si>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</si>
  <si>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</si>
  <si>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</si>
  <si>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</si>
  <si>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</si>
  <si>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</si>
  <si>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</si>
  <si>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</si>
  <si>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</si>
  <si>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</si>
  <si>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</si>
  <si>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</si>
  <si>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</si>
  <si>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</si>
  <si>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</si>
  <si>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</si>
  <si>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</si>
  <si>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</si>
  <si>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</si>
  <si>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</si>
  <si>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</si>
  <si>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</si>
  <si>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</si>
  <si>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</si>
  <si>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</si>
  <si>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</si>
  <si>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</si>
  <si>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</si>
  <si>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</si>
  <si>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</si>
  <si>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</si>
  <si>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</si>
  <si>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</si>
  <si>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</si>
  <si>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</si>
  <si>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</si>
  <si>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</si>
  <si>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</si>
  <si>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</si>
  <si>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</si>
  <si>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</si>
  <si>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</si>
  <si>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</si>
  <si>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</si>
  <si>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</si>
  <si>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</si>
  <si>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</si>
  <si>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</si>
  <si>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</si>
  <si>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</si>
  <si>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</si>
  <si>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</si>
  <si>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</si>
  <si>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</si>
  <si>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</si>
  <si>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</si>
  <si>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</si>
  <si>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</si>
  <si>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</si>
  <si>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</si>
  <si>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</si>
  <si>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</si>
  <si>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</si>
  <si>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</si>
  <si>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</si>
  <si>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</si>
  <si>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</si>
  <si>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</si>
  <si>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</si>
  <si>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</si>
  <si>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</si>
  <si>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</si>
  <si>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</si>
  <si>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</si>
  <si>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</si>
  <si>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</si>
  <si>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</si>
  <si>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</si>
  <si>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</si>
  <si>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</si>
  <si>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</si>
  <si>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</si>
  <si>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</si>
  <si>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</si>
  <si>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</si>
  <si>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</si>
  <si>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</si>
  <si>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</si>
  <si>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</si>
  <si>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</si>
  <si>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</si>
  <si>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</si>
  <si>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</si>
  <si>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Meltan</t>
  </si>
  <si>
    <t>Melmetal</t>
  </si>
  <si>
    <t>Farfetch'd</t>
  </si>
  <si>
    <t>Mr. Mime</t>
  </si>
  <si>
    <t>Battle Tower PBS</t>
  </si>
  <si>
    <t>0/-45/0</t>
  </si>
  <si>
    <t>Hexx_Vixtar/Endless (icon)</t>
  </si>
  <si>
    <t>Jos/Endless (Mega)</t>
  </si>
  <si>
    <t>Custom - Boro</t>
  </si>
  <si>
    <t>Jos / Fakemon Festival Pack</t>
  </si>
  <si>
    <t>BASCULEGION</t>
  </si>
  <si>
    <t>Unbound</t>
  </si>
  <si>
    <t>Custom - Aceblade</t>
  </si>
  <si>
    <t>Hexx_Vixtar/ PDM20 (Mega)</t>
  </si>
  <si>
    <t>Jos / PDM20 (Mega)</t>
  </si>
  <si>
    <t>65/0/0</t>
  </si>
  <si>
    <t>Jos / Boro</t>
  </si>
  <si>
    <t>Jos / Boro / Badman</t>
  </si>
  <si>
    <t xml:space="preserve">30/0/-5 - Green
'30/0/-5 - Red
'30/0/-5 - Blue
'-15/20/-20 - Yellow
'-10/15/-20 - Orange
'30/0/-5 - Purple
</t>
  </si>
  <si>
    <t>Custom - Zeta</t>
  </si>
  <si>
    <t>-95/0/0</t>
  </si>
  <si>
    <t>Jos / S4's "Spicy Man" Army#3133 (currlor)</t>
  </si>
  <si>
    <t>Badman / Shiny (currlor)</t>
  </si>
  <si>
    <t>Custom - Ochako</t>
  </si>
  <si>
    <t>Jos / Agentbla</t>
  </si>
  <si>
    <t>Riptidecord</t>
  </si>
  <si>
    <t>-135/0/0</t>
  </si>
  <si>
    <t>Rock totem?</t>
  </si>
  <si>
    <t>bat - dark/flying?</t>
  </si>
  <si>
    <t>pirate</t>
  </si>
  <si>
    <t>lamp shade?</t>
  </si>
  <si>
    <t>BRONZOR2</t>
  </si>
  <si>
    <t>BRONZONG2</t>
  </si>
  <si>
    <t>PUMPKABOO</t>
  </si>
  <si>
    <t>GOURGEIST</t>
  </si>
  <si>
    <t>FOMANTIS</t>
  </si>
  <si>
    <t>LURANTIS</t>
  </si>
  <si>
    <t>COTTONEE</t>
  </si>
  <si>
    <t>WHIMSICOTT</t>
  </si>
  <si>
    <t>TAROUNTULA</t>
  </si>
  <si>
    <t>SPIDOPS</t>
  </si>
  <si>
    <t>COMBEE</t>
  </si>
  <si>
    <t>VESPIQUEN</t>
  </si>
  <si>
    <t>WISHIWASHI</t>
  </si>
  <si>
    <t>TROPIUS</t>
  </si>
  <si>
    <t>MAKUHITA</t>
  </si>
  <si>
    <t>HARIYAMA</t>
  </si>
  <si>
    <t>MIMEJR2</t>
  </si>
  <si>
    <t>MRMIME2</t>
  </si>
  <si>
    <t>MRRIME2</t>
  </si>
  <si>
    <t>PONYTA2</t>
  </si>
  <si>
    <t>RAPIDASH2</t>
  </si>
  <si>
    <t>GOLETT2</t>
  </si>
  <si>
    <t>GOLURK2</t>
  </si>
  <si>
    <t>KARRABLAST</t>
  </si>
  <si>
    <t>ESCAVALIER</t>
  </si>
  <si>
    <t>CRYOGONAL</t>
  </si>
  <si>
    <t>PAWNIARD</t>
  </si>
  <si>
    <t>BISHARP</t>
  </si>
  <si>
    <t>KINGAMBIT</t>
  </si>
  <si>
    <t>SMOLIV</t>
  </si>
  <si>
    <t>DOLLIV</t>
  </si>
  <si>
    <t>ARBOLIVA</t>
  </si>
  <si>
    <t>NICKIT</t>
  </si>
  <si>
    <t>THIEVUL</t>
  </si>
  <si>
    <t>SPHEAL2</t>
  </si>
  <si>
    <t>SEALEO2</t>
  </si>
  <si>
    <t>WALREIN2</t>
  </si>
  <si>
    <t>Zeta</t>
  </si>
  <si>
    <t>Boro/Jos (icon)</t>
  </si>
  <si>
    <t>Jos/Zeta</t>
  </si>
  <si>
    <t>Hexx_Vixtar / Velink</t>
  </si>
  <si>
    <t>BARBOACH</t>
  </si>
  <si>
    <t>WHISCASH</t>
  </si>
  <si>
    <t>ORICORIO</t>
  </si>
  <si>
    <t>Metal</t>
  </si>
  <si>
    <t>Rave</t>
  </si>
  <si>
    <t>AXEW</t>
  </si>
  <si>
    <t>FRAXURE</t>
  </si>
  <si>
    <t>HAXORUS</t>
  </si>
  <si>
    <t>PACHIRISU</t>
  </si>
  <si>
    <t>QWILFISH</t>
  </si>
  <si>
    <t>OVERQWIL</t>
  </si>
  <si>
    <t>MINIOR</t>
  </si>
  <si>
    <t>GREAVARD</t>
  </si>
  <si>
    <t>HOUNDSTONE</t>
  </si>
  <si>
    <t>SANDSHREW</t>
  </si>
  <si>
    <t>SANDSLASH</t>
  </si>
  <si>
    <t>CETODDLE</t>
  </si>
  <si>
    <t>CETITAN</t>
  </si>
  <si>
    <t>TORCHIC</t>
  </si>
  <si>
    <t>COMBUSKEN</t>
  </si>
  <si>
    <t>BLAZIKEN</t>
  </si>
  <si>
    <t>Ignotus68</t>
  </si>
  <si>
    <t>NACLI</t>
  </si>
  <si>
    <t>NACLSTACK</t>
  </si>
  <si>
    <t>GARGANACL</t>
  </si>
  <si>
    <t>FRIGIBAX</t>
  </si>
  <si>
    <t>ARCTIBAX</t>
  </si>
  <si>
    <t>BAXCALIBUR</t>
  </si>
  <si>
    <t>WYNAUT</t>
  </si>
  <si>
    <t>WOBBUFFET</t>
  </si>
  <si>
    <t>BOUFFALANT</t>
  </si>
  <si>
    <t>SPINDA</t>
  </si>
  <si>
    <t>Jos / Hexx_Vixtar / ZeneonP0 / Raffs07</t>
  </si>
  <si>
    <t>Jos / Hexx_Vixtar / Raffs07</t>
  </si>
  <si>
    <t>ZORUA2</t>
  </si>
  <si>
    <t>ZOROARK2</t>
  </si>
  <si>
    <t>CLODSIRE</t>
  </si>
  <si>
    <t>MIENFOO</t>
  </si>
  <si>
    <t>MIENSHAO</t>
  </si>
  <si>
    <t>TOGEPI</t>
  </si>
  <si>
    <t>TOGETIC</t>
  </si>
  <si>
    <t>TOGEKISS</t>
  </si>
  <si>
    <t>DONDOZO</t>
  </si>
  <si>
    <t>Jos / Pokemon Defiance</t>
  </si>
  <si>
    <t>PANCHAM</t>
  </si>
  <si>
    <t>PANGORO</t>
  </si>
  <si>
    <t>OSHAWOTT</t>
  </si>
  <si>
    <t>DEWOTT</t>
  </si>
  <si>
    <t>SAMUROTT</t>
  </si>
  <si>
    <t>YoshiGaminStuf</t>
  </si>
  <si>
    <t>BERGMITE2</t>
  </si>
  <si>
    <t>AVALUGG2</t>
  </si>
  <si>
    <t>Jos / BiggusWeeabus</t>
  </si>
  <si>
    <t>TYRUNT2</t>
  </si>
  <si>
    <t>TYRANTRUM2</t>
  </si>
  <si>
    <t>WIGLETT</t>
  </si>
  <si>
    <t>WUGTRIO</t>
  </si>
  <si>
    <t>PLUSLE</t>
  </si>
  <si>
    <t>MINUN</t>
  </si>
  <si>
    <t>Raffs07</t>
  </si>
  <si>
    <t>GROWLITHE2</t>
  </si>
  <si>
    <t>ARCANINE2</t>
  </si>
  <si>
    <t>PANSAGE</t>
  </si>
  <si>
    <t>SIMISAGE</t>
  </si>
  <si>
    <t>PANSEAR</t>
  </si>
  <si>
    <t>SIMISEAR</t>
  </si>
  <si>
    <t>PANPOUR</t>
  </si>
  <si>
    <t>SIMIPOUR</t>
  </si>
  <si>
    <t>RHYHORN</t>
  </si>
  <si>
    <t>RHYDON</t>
  </si>
  <si>
    <t>RHYPERIOR</t>
  </si>
  <si>
    <t>DUSKULL2</t>
  </si>
  <si>
    <t>DUSCLOPS2</t>
  </si>
  <si>
    <t>DUSKNOIR2</t>
  </si>
  <si>
    <t>Jos/BlueTowel/Kixur</t>
  </si>
  <si>
    <t>GLAMEOW</t>
  </si>
  <si>
    <t>PURUGLY</t>
  </si>
  <si>
    <t>A11</t>
  </si>
  <si>
    <t>SHELLDER</t>
  </si>
  <si>
    <t>CLOYSTER</t>
  </si>
  <si>
    <t>INKAY</t>
  </si>
  <si>
    <t>MALAMAR</t>
  </si>
  <si>
    <t>A11/Raffs07</t>
  </si>
  <si>
    <t>ROCKRUFF</t>
  </si>
  <si>
    <t>LYCANROC</t>
  </si>
  <si>
    <t>BUNNELBY</t>
  </si>
  <si>
    <t>DIGGERSBY</t>
  </si>
  <si>
    <t>ROWLET2</t>
  </si>
  <si>
    <t>DARTRIX2</t>
  </si>
  <si>
    <t>DECIDUEYE2</t>
  </si>
  <si>
    <t>LICKITUNG</t>
  </si>
  <si>
    <t>LICKILICKY</t>
  </si>
  <si>
    <t>SQUIRTLE</t>
  </si>
  <si>
    <t>WARTORTLE</t>
  </si>
  <si>
    <t>BLASTOISE</t>
  </si>
  <si>
    <t>CACNEA2</t>
  </si>
  <si>
    <t>CACTURNE2</t>
  </si>
  <si>
    <t>BELLSPROUT</t>
  </si>
  <si>
    <t>WEEPINBELL</t>
  </si>
  <si>
    <t>VICTREEBEL</t>
  </si>
  <si>
    <t>PETILIL</t>
  </si>
  <si>
    <t>LILLIGANT</t>
  </si>
  <si>
    <t>PHANTUMP2</t>
  </si>
  <si>
    <t>TREVENANT2</t>
  </si>
  <si>
    <t>Endless/Otter</t>
  </si>
  <si>
    <t>TATSUGIRI</t>
  </si>
  <si>
    <t>Badman/Zeta</t>
  </si>
  <si>
    <t>LightningStrike7 / Jos / Raffs07</t>
  </si>
  <si>
    <t>Scotsman33 / Raffs07</t>
  </si>
  <si>
    <t>IGGLYBUFF2</t>
  </si>
  <si>
    <t>JIGGLYPUFF2</t>
  </si>
  <si>
    <t>WIGGLYTUFF2</t>
  </si>
  <si>
    <t>-90/0/0</t>
  </si>
  <si>
    <t>Raffs07 / Star Gaazer</t>
  </si>
  <si>
    <t>Raffs07 / KingOfTheXRoad</t>
  </si>
  <si>
    <t>Jos / Raffs07 / Brylark and TheAetherPlayer</t>
  </si>
  <si>
    <t>Endless / PDM20 (Mega)</t>
  </si>
  <si>
    <t>TANDEMAUS</t>
  </si>
  <si>
    <t>MAUSHOLD</t>
  </si>
  <si>
    <t>MINIOR2</t>
  </si>
  <si>
    <t>PERRSERKER</t>
  </si>
  <si>
    <t>GRUBBIN</t>
  </si>
  <si>
    <t>CHARJABUG</t>
  </si>
  <si>
    <t>VIKAVOLT</t>
  </si>
  <si>
    <t>TEDDIURSA2</t>
  </si>
  <si>
    <t>URSARING2</t>
  </si>
  <si>
    <t>URSALUNA2</t>
  </si>
  <si>
    <t>RUNERIGUS</t>
  </si>
  <si>
    <t>SNEASEL2</t>
  </si>
  <si>
    <t>WEAVILE2</t>
  </si>
  <si>
    <t>SNEASLER2</t>
  </si>
  <si>
    <t>HEATMOR</t>
  </si>
  <si>
    <t>SHUCKLE</t>
  </si>
  <si>
    <t>TANDEMAUS2</t>
  </si>
  <si>
    <t>MAUSHOLD2</t>
  </si>
  <si>
    <t>Jos/Badman</t>
  </si>
  <si>
    <t>Badman/Jos (icon)</t>
  </si>
  <si>
    <t>Badman/Jos (icon for mega)</t>
  </si>
  <si>
    <t>Trance</t>
  </si>
  <si>
    <t>World</t>
  </si>
  <si>
    <t>-65/0/0</t>
  </si>
  <si>
    <t>ORANGURU</t>
  </si>
  <si>
    <t>PASSIMIAN</t>
  </si>
  <si>
    <t>CETODDLE2</t>
  </si>
  <si>
    <t>CETITAN2</t>
  </si>
  <si>
    <t>SCYTHER2</t>
  </si>
  <si>
    <t>SCIZOR2</t>
  </si>
  <si>
    <t>SHELMET</t>
  </si>
  <si>
    <t>ACCELGOR</t>
  </si>
  <si>
    <t>SNUBBULL</t>
  </si>
  <si>
    <t>GRANBULL</t>
  </si>
  <si>
    <t>CHEWTLE</t>
  </si>
  <si>
    <t>DREDNAW</t>
  </si>
  <si>
    <t>Bagon / Salamence</t>
  </si>
  <si>
    <t>PDM20</t>
  </si>
  <si>
    <t>Frigibax / Baxcalibur</t>
  </si>
  <si>
    <t>SKIDDO2</t>
  </si>
  <si>
    <t>GOGOAT2</t>
  </si>
  <si>
    <t>SIGILYPH</t>
  </si>
  <si>
    <t>ORTHWORM</t>
  </si>
  <si>
    <t>Badman/Aboodie (icon)</t>
  </si>
  <si>
    <t>BURMY</t>
  </si>
  <si>
    <t>WORMADAM</t>
  </si>
  <si>
    <t>MOTHIM</t>
  </si>
  <si>
    <t>Rockworm</t>
  </si>
  <si>
    <t>Snowworm</t>
  </si>
  <si>
    <t>SPRIGATITO</t>
  </si>
  <si>
    <t>FLORAGATO</t>
  </si>
  <si>
    <t>MEOWSCARADA</t>
  </si>
  <si>
    <t>KLAWF</t>
  </si>
  <si>
    <t>GLIMMET</t>
  </si>
  <si>
    <t>GLIMMORA</t>
  </si>
  <si>
    <t>MARACTUS</t>
  </si>
  <si>
    <t>CYCLIZAR</t>
  </si>
  <si>
    <t>BRAMBLIN</t>
  </si>
  <si>
    <t>BRAMBLEGHAST</t>
  </si>
  <si>
    <t>TOEDSCOOL</t>
  </si>
  <si>
    <t>TOEDSCRUEL</t>
  </si>
  <si>
    <t>Stellari</t>
  </si>
  <si>
    <t>STUNFISK</t>
  </si>
  <si>
    <t>Boro/Jos (mega)</t>
  </si>
  <si>
    <t>CAPSAKID</t>
  </si>
  <si>
    <t>SCOVILLAIN</t>
  </si>
  <si>
    <t>QUAXLY</t>
  </si>
  <si>
    <t>QUAXWELL</t>
  </si>
  <si>
    <t>QUAQUAVAL</t>
  </si>
  <si>
    <t>FOONGUS</t>
  </si>
  <si>
    <t>AMOONGUSS</t>
  </si>
  <si>
    <t>PARAS2</t>
  </si>
  <si>
    <t>PARASECT2</t>
  </si>
  <si>
    <t>PHANPY2</t>
  </si>
  <si>
    <t>DONPHAN2</t>
  </si>
  <si>
    <t>MELTAN</t>
  </si>
  <si>
    <t>MELMETAL</t>
  </si>
  <si>
    <t>UNOWN</t>
  </si>
  <si>
    <t>Fakemon Festival Pack / Jos</t>
  </si>
  <si>
    <t>ROOKIDEE2</t>
  </si>
  <si>
    <t>CORVISQUIRE2</t>
  </si>
  <si>
    <t>CORVIKNIGHT2</t>
  </si>
  <si>
    <t>LITLEO2</t>
  </si>
  <si>
    <t>PYROAR2</t>
  </si>
  <si>
    <t>TANGELA2</t>
  </si>
  <si>
    <t>TANGROWTH2</t>
  </si>
  <si>
    <t>Jos / Zeta</t>
  </si>
  <si>
    <t>TADBULB</t>
  </si>
  <si>
    <t>BELLIBOLT</t>
  </si>
  <si>
    <t>AtteaTheSilly</t>
  </si>
  <si>
    <t>MEW</t>
  </si>
  <si>
    <t>SCORBUNNY</t>
  </si>
  <si>
    <t>RABOOT</t>
  </si>
  <si>
    <t>CINDERACE</t>
  </si>
  <si>
    <t>KOMALA</t>
  </si>
  <si>
    <t>HYDRAPPLE</t>
  </si>
  <si>
    <t>Jos/Ignotus68</t>
  </si>
  <si>
    <t>BLIPBUG</t>
  </si>
  <si>
    <t>DOTTLER</t>
  </si>
  <si>
    <t>ORBEETLE</t>
  </si>
  <si>
    <t>TURTONATOR</t>
  </si>
  <si>
    <t>MUDBRAY2</t>
  </si>
  <si>
    <t>MUDSDALE2</t>
  </si>
  <si>
    <t>HAWLUCHA</t>
  </si>
  <si>
    <t>FLAMIGO</t>
  </si>
  <si>
    <t>RELICANTH</t>
  </si>
  <si>
    <t>FARFETCHD</t>
  </si>
  <si>
    <t>SIRFETCHD</t>
  </si>
  <si>
    <t>Custom - AtteaTheSilly</t>
  </si>
  <si>
    <t>ROTOM</t>
  </si>
  <si>
    <t>PIKACHU2</t>
  </si>
  <si>
    <t>PICHU2</t>
  </si>
  <si>
    <t>RAICHU2</t>
  </si>
  <si>
    <t>DURALUDON</t>
  </si>
  <si>
    <t>ARCHALUDON</t>
  </si>
  <si>
    <t>A11/Jos</t>
  </si>
  <si>
    <t>Raffs07/Jos</t>
  </si>
  <si>
    <t>Jos / Doowi / Ignotus68 (mega)</t>
  </si>
  <si>
    <t>AUDINO</t>
  </si>
  <si>
    <t>RALTS2</t>
  </si>
  <si>
    <t>KIRLIA2</t>
  </si>
  <si>
    <t>GARDEVOIR2</t>
  </si>
  <si>
    <t>GALLADE2</t>
  </si>
  <si>
    <t>DRAMPA</t>
  </si>
  <si>
    <t>BOMBIRDIER</t>
  </si>
  <si>
    <t>MASCHIFF</t>
  </si>
  <si>
    <t>MABOSSTIFF</t>
  </si>
  <si>
    <t>SQUAWKABILLY</t>
  </si>
  <si>
    <t>TREECKO2</t>
  </si>
  <si>
    <t>GROVYLE2</t>
  </si>
  <si>
    <t>SCEPTILE2</t>
  </si>
  <si>
    <t>SPIRITOMB2</t>
  </si>
  <si>
    <t>NYMBLE</t>
  </si>
  <si>
    <t>LOKIX</t>
  </si>
  <si>
    <t>Jos/Zeta/Boro</t>
  </si>
  <si>
    <t>EISCUE</t>
  </si>
  <si>
    <t>KOMALA2</t>
  </si>
  <si>
    <t>TotallyNotCalledEvan</t>
  </si>
  <si>
    <t>Jos/Endless</t>
  </si>
  <si>
    <t>Custom - Raffs07</t>
  </si>
  <si>
    <t>Custom - Sweg1b01</t>
  </si>
  <si>
    <t>Scotsman33/Jos</t>
  </si>
  <si>
    <t>BLITZLE2</t>
  </si>
  <si>
    <t>ZEBSTRIKA2</t>
  </si>
  <si>
    <t>Custom - Escav</t>
  </si>
  <si>
    <t>Escav</t>
  </si>
  <si>
    <t>TURTWIG2</t>
  </si>
  <si>
    <t>GROTLE2</t>
  </si>
  <si>
    <t>TORTERRA2</t>
  </si>
  <si>
    <t>POLTCHAGEIST</t>
  </si>
  <si>
    <t>SINISTCHA</t>
  </si>
  <si>
    <t>NACLI2</t>
  </si>
  <si>
    <t>NACLSTACK2</t>
  </si>
  <si>
    <t>GARGANACL2</t>
  </si>
  <si>
    <t>COTTONEE2</t>
  </si>
  <si>
    <t>WHIMSICOTT2</t>
  </si>
  <si>
    <t>SEVIPER</t>
  </si>
  <si>
    <t>MIMIKYU2</t>
  </si>
  <si>
    <t>TOGEDEMARU</t>
  </si>
  <si>
    <t>Custom - Otter</t>
  </si>
  <si>
    <t>GROOKEY</t>
  </si>
  <si>
    <t>THWACKEY</t>
  </si>
  <si>
    <t>RILLABOOM</t>
  </si>
  <si>
    <t>CHARCADET</t>
  </si>
  <si>
    <t>ARMAROUGE</t>
  </si>
  <si>
    <t>CERULEDGE</t>
  </si>
  <si>
    <t>SPOINK</t>
  </si>
  <si>
    <t>GRUMPIG</t>
  </si>
  <si>
    <t>Ace/AtteaTheSilly</t>
  </si>
  <si>
    <t>Toxic Orb</t>
  </si>
  <si>
    <t>Flame Orb</t>
  </si>
  <si>
    <t>BRUXISH</t>
  </si>
  <si>
    <t>VOLBEAT</t>
  </si>
  <si>
    <t>ILLUMISE</t>
  </si>
  <si>
    <t>ONIX2</t>
  </si>
  <si>
    <t>STEELIX2</t>
  </si>
  <si>
    <t>TrashGamer101</t>
  </si>
  <si>
    <t>CHARMANDER2</t>
  </si>
  <si>
    <t>CHARMELEON2</t>
  </si>
  <si>
    <t>CHARIZARD2</t>
  </si>
  <si>
    <t>POLTCHAGEIST2</t>
  </si>
  <si>
    <t>SINISTCHA2</t>
  </si>
  <si>
    <t>Custom - Riptidecord</t>
  </si>
  <si>
    <t>Custom - Alba</t>
  </si>
  <si>
    <t>Custom - Anarlaurendil</t>
  </si>
  <si>
    <t>40/0/0</t>
  </si>
  <si>
    <t>-105/0/0</t>
  </si>
  <si>
    <t>-40/15/-10</t>
  </si>
  <si>
    <t>180/20/-5</t>
  </si>
  <si>
    <t>Custom - PDM20</t>
  </si>
  <si>
    <t>AtteaTheSilly/PDM20</t>
  </si>
  <si>
    <t>S4 HOF Entries</t>
  </si>
  <si>
    <t>S5 HOF Entries</t>
  </si>
  <si>
    <t>Badman/Boro/Endless (icon)</t>
  </si>
  <si>
    <t>-175/0/0</t>
  </si>
  <si>
    <t>Jos/ Lumio(Fakemon Festival Pack)/ Endless</t>
  </si>
  <si>
    <t>Jos/Boro</t>
  </si>
  <si>
    <t>Plates of Arceus/Boro</t>
  </si>
  <si>
    <t>Anarlaurendil/Boro</t>
  </si>
  <si>
    <t>Endless/Boro (mega)</t>
  </si>
  <si>
    <t>Custom - YoshiGaminStuf</t>
  </si>
  <si>
    <t>SplittingJaws, Eysselia, Millie, Amras Anarion</t>
  </si>
  <si>
    <t>Jos/ Boro</t>
  </si>
  <si>
    <t>LuRocha / Hexx_Vixtar / PDM20 (Mega) / Boro</t>
  </si>
  <si>
    <t>Angel / Boro</t>
  </si>
  <si>
    <t>SEVIPER2</t>
  </si>
  <si>
    <t>Hypertox</t>
  </si>
  <si>
    <t>KANGASKHAN</t>
  </si>
  <si>
    <t>THROH2</t>
  </si>
  <si>
    <t>SAWK2</t>
  </si>
  <si>
    <t>TAROUNTULA2</t>
  </si>
  <si>
    <t>SPIDOPS2</t>
  </si>
  <si>
    <t>PYUKUMUKU</t>
  </si>
  <si>
    <t>FIDOUGH</t>
  </si>
  <si>
    <t>DACHSBUN</t>
  </si>
  <si>
    <t>Endless/Boro</t>
  </si>
  <si>
    <t>Badman/Boro</t>
  </si>
  <si>
    <t>Jos/Raffs07</t>
  </si>
  <si>
    <t>GIRAFARIG</t>
  </si>
  <si>
    <t>FARIGIRAF</t>
  </si>
  <si>
    <t>BULBASAUR2</t>
  </si>
  <si>
    <t>IVYSAUR2</t>
  </si>
  <si>
    <t>VENUSAUR2</t>
  </si>
  <si>
    <t>COMFEY2</t>
  </si>
  <si>
    <t>KLEAVOR2</t>
  </si>
  <si>
    <t>PDM20/YoshiGaminStuf</t>
  </si>
  <si>
    <t>95/0/0</t>
  </si>
  <si>
    <t>TotallyNotCalledEvan / Pipsqueak737 / kingofthexroad5 / CarnekVT</t>
  </si>
  <si>
    <t>SEWADDLE2</t>
  </si>
  <si>
    <t>SWADLOON2</t>
  </si>
  <si>
    <t>LEAVANNY2</t>
  </si>
  <si>
    <t>SENTRET2</t>
  </si>
  <si>
    <t>FURRET2</t>
  </si>
  <si>
    <t>NIDORANfE</t>
  </si>
  <si>
    <t>NIDORINA</t>
  </si>
  <si>
    <t>NIDOQUEEN</t>
  </si>
  <si>
    <t>NIDORANmA</t>
  </si>
  <si>
    <t>NIDORINO</t>
  </si>
  <si>
    <t>NIDOKING</t>
  </si>
  <si>
    <t>GROOKEY2</t>
  </si>
  <si>
    <t>THWACKEY2</t>
  </si>
  <si>
    <t>RILLABOOM2</t>
  </si>
  <si>
    <t>125/0/0</t>
  </si>
  <si>
    <t>CHATOT</t>
  </si>
  <si>
    <t>KECLEON</t>
  </si>
  <si>
    <t>Jos/Boro/Raffs07</t>
  </si>
  <si>
    <t>PAWNIARD2</t>
  </si>
  <si>
    <t>BISHARP2</t>
  </si>
  <si>
    <t>KINGAMBIT2</t>
  </si>
  <si>
    <t>Plates of Arceus/Zeta</t>
  </si>
  <si>
    <t>CASTFORM</t>
  </si>
  <si>
    <t>CLAUNCHER</t>
  </si>
  <si>
    <t>CLAWITZER</t>
  </si>
  <si>
    <t>SHROOMISH2</t>
  </si>
  <si>
    <t>BRELOOM2</t>
  </si>
  <si>
    <t>MUNCHLAX2</t>
  </si>
  <si>
    <t>SNORLAX2</t>
  </si>
  <si>
    <t>ALOMOMOLA</t>
  </si>
  <si>
    <t>Custom - Hypertox</t>
  </si>
  <si>
    <t>Custom - Jos</t>
  </si>
  <si>
    <t>VAROOM</t>
  </si>
  <si>
    <t>REVAVROOM</t>
  </si>
  <si>
    <t>VELUZA</t>
  </si>
  <si>
    <t>160/15/-5 (95/15/-5 for Mega)</t>
  </si>
  <si>
    <t>Jos / PDM20</t>
  </si>
  <si>
    <t>Jos / CrystalStar / PDM20</t>
  </si>
  <si>
    <t>APPLIN2</t>
  </si>
  <si>
    <t>FLAPPLE2</t>
  </si>
  <si>
    <t>APPLETUN2</t>
  </si>
  <si>
    <t>DIPPLIN2</t>
  </si>
  <si>
    <t>HYDRAPPLE2</t>
  </si>
  <si>
    <t>WIMPOD2</t>
  </si>
  <si>
    <t>GOLISOPOD2</t>
  </si>
  <si>
    <t>FLITTLE</t>
  </si>
  <si>
    <t>ESPATHRA</t>
  </si>
  <si>
    <t>CARNIVINE2</t>
  </si>
  <si>
    <t>Custom - TotallyNotCalledEvan</t>
  </si>
  <si>
    <t>YUNGOOS</t>
  </si>
  <si>
    <t>GUMSHOOS</t>
  </si>
  <si>
    <t>Riptidecord / Ignotus68</t>
  </si>
  <si>
    <t>ZANGOOSE</t>
  </si>
  <si>
    <t>MAWILE</t>
  </si>
  <si>
    <t>MORPEKO</t>
  </si>
  <si>
    <t>SKRELP2</t>
  </si>
  <si>
    <t>DRAGALGE2</t>
  </si>
  <si>
    <t>MAREEP2</t>
  </si>
  <si>
    <t>FLAAFFY2</t>
  </si>
  <si>
    <t>AMPHAROS2</t>
  </si>
  <si>
    <t>DWEBBLE2</t>
  </si>
  <si>
    <t>CRUSTLE2</t>
  </si>
  <si>
    <t>RELLOR</t>
  </si>
  <si>
    <t>RABSCA</t>
  </si>
  <si>
    <t>MAWILE2</t>
  </si>
  <si>
    <t>SCATTERBUG</t>
  </si>
  <si>
    <t>SPEWPA</t>
  </si>
  <si>
    <t>VIVILLON</t>
  </si>
  <si>
    <t>CRABRAWLER</t>
  </si>
  <si>
    <t>CRABOMINABLE</t>
  </si>
  <si>
    <t>MEOWTH2</t>
  </si>
  <si>
    <t>PERSIAN2</t>
  </si>
  <si>
    <t>PERRSERKER2</t>
  </si>
  <si>
    <t>SHROODLE</t>
  </si>
  <si>
    <t>GRAFAIAI</t>
  </si>
  <si>
    <t>KLEAVOR</t>
  </si>
  <si>
    <t>PINCURCHIN2</t>
  </si>
  <si>
    <t>LECHONK</t>
  </si>
  <si>
    <t>OINKOLOGNE</t>
  </si>
  <si>
    <t>KYUREM</t>
  </si>
  <si>
    <t>ROCKRUFF2</t>
  </si>
  <si>
    <t>LYCANROC2</t>
  </si>
  <si>
    <t>STARYU2</t>
  </si>
  <si>
    <t>STARMIE2</t>
  </si>
  <si>
    <t>Raffs07 / Jos</t>
  </si>
  <si>
    <t>Jos/ Valrex (mega)</t>
  </si>
  <si>
    <t>Custom - CrystalStar</t>
  </si>
  <si>
    <t>Custom - TrashGamer101</t>
  </si>
  <si>
    <t>S6 HOF Entries</t>
  </si>
  <si>
    <t>Horsea / Seadra</t>
  </si>
  <si>
    <t>LITWICK2</t>
  </si>
  <si>
    <t>LAMPENT2</t>
  </si>
  <si>
    <t>CHANDELURE2</t>
  </si>
  <si>
    <t>CYCLIZAR2</t>
  </si>
  <si>
    <t>AtteaTheSilly / Jos</t>
  </si>
  <si>
    <t>Jos/Hypertox</t>
  </si>
  <si>
    <t>Jos/ Draconyan (mega)</t>
  </si>
  <si>
    <t>MAD0130/Jos</t>
  </si>
  <si>
    <t>GOOMY2</t>
  </si>
  <si>
    <t>SLIGGOO2</t>
  </si>
  <si>
    <t>GOODRA2</t>
  </si>
  <si>
    <t>Ignotus68/ Badman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</si>
</sst>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pivotButton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right" wrapText="1"/>
    </xf>
    <xf numFmtId="0" fontId="1" fillId="0" borderId="6" xfId="0" applyFont="1" applyBorder="1" applyAlignment="1">
      <alignment textRotation="255"/>
    </xf>
    <xf numFmtId="0" fontId="1" fillId="6" borderId="6" xfId="0" applyFont="1" applyFill="1" applyBorder="1" applyAlignment="1">
      <alignment textRotation="255"/>
    </xf>
    <xf numFmtId="0" fontId="3" fillId="7" borderId="6" xfId="0" applyFont="1" applyFill="1" applyBorder="1" applyAlignment="1">
      <alignment textRotation="255"/>
    </xf>
    <xf numFmtId="0" fontId="1" fillId="4" borderId="6" xfId="0" applyFont="1" applyFill="1" applyBorder="1" applyAlignment="1">
      <alignment textRotation="255"/>
    </xf>
    <xf numFmtId="0" fontId="1" fillId="5" borderId="6" xfId="0" applyFont="1" applyFill="1" applyBorder="1" applyAlignment="1">
      <alignment textRotation="255"/>
    </xf>
    <xf numFmtId="0" fontId="1" fillId="8" borderId="6" xfId="0" applyFont="1" applyFill="1" applyBorder="1" applyAlignment="1">
      <alignment textRotation="255"/>
    </xf>
    <xf numFmtId="0" fontId="1" fillId="9" borderId="6" xfId="0" applyFont="1" applyFill="1" applyBorder="1" applyAlignment="1">
      <alignment textRotation="255"/>
    </xf>
    <xf numFmtId="0" fontId="3" fillId="10" borderId="6" xfId="0" applyFont="1" applyFill="1" applyBorder="1" applyAlignment="1">
      <alignment textRotation="255"/>
    </xf>
    <xf numFmtId="0" fontId="3" fillId="11" borderId="6" xfId="0" applyFont="1" applyFill="1" applyBorder="1" applyAlignment="1">
      <alignment textRotation="255"/>
    </xf>
    <xf numFmtId="0" fontId="1" fillId="12" borderId="6" xfId="0" applyFont="1" applyFill="1" applyBorder="1" applyAlignment="1">
      <alignment textRotation="255"/>
    </xf>
    <xf numFmtId="0" fontId="1" fillId="13" borderId="6" xfId="0" applyFont="1" applyFill="1" applyBorder="1" applyAlignment="1">
      <alignment textRotation="255"/>
    </xf>
    <xf numFmtId="0" fontId="3" fillId="14" borderId="6" xfId="0" applyFont="1" applyFill="1" applyBorder="1" applyAlignment="1">
      <alignment textRotation="255"/>
    </xf>
    <xf numFmtId="0" fontId="1" fillId="15" borderId="6" xfId="0" applyFont="1" applyFill="1" applyBorder="1" applyAlignment="1">
      <alignment textRotation="255"/>
    </xf>
    <xf numFmtId="0" fontId="3" fillId="16" borderId="6" xfId="0" applyFont="1" applyFill="1" applyBorder="1" applyAlignment="1">
      <alignment textRotation="255"/>
    </xf>
    <xf numFmtId="0" fontId="3" fillId="17" borderId="6" xfId="0" applyFont="1" applyFill="1" applyBorder="1" applyAlignment="1">
      <alignment textRotation="255"/>
    </xf>
    <xf numFmtId="0" fontId="3" fillId="18" borderId="6" xfId="0" applyFont="1" applyFill="1" applyBorder="1" applyAlignment="1">
      <alignment textRotation="255"/>
    </xf>
    <xf numFmtId="0" fontId="3" fillId="19" borderId="6" xfId="0" applyFont="1" applyFill="1" applyBorder="1" applyAlignment="1">
      <alignment textRotation="255"/>
    </xf>
    <xf numFmtId="0" fontId="1" fillId="20" borderId="6" xfId="0" applyFont="1" applyFill="1" applyBorder="1" applyAlignment="1">
      <alignment textRotation="255"/>
    </xf>
    <xf numFmtId="0" fontId="3" fillId="21" borderId="6" xfId="0" applyFont="1" applyFill="1" applyBorder="1" applyAlignment="1">
      <alignment textRotation="255"/>
    </xf>
    <xf numFmtId="0" fontId="1" fillId="22" borderId="6" xfId="0" applyFont="1" applyFill="1" applyBorder="1" applyAlignment="1">
      <alignment textRotation="255"/>
    </xf>
    <xf numFmtId="0" fontId="1" fillId="23" borderId="6" xfId="0" applyFont="1" applyFill="1" applyBorder="1" applyAlignment="1">
      <alignment textRotation="255"/>
    </xf>
    <xf numFmtId="0" fontId="3" fillId="14" borderId="6" xfId="0" applyFont="1" applyFill="1" applyBorder="1"/>
    <xf numFmtId="0" fontId="3" fillId="21" borderId="6" xfId="0" applyFont="1" applyFill="1" applyBorder="1"/>
    <xf numFmtId="0" fontId="3" fillId="18" borderId="6" xfId="0" applyFont="1" applyFill="1" applyBorder="1"/>
    <xf numFmtId="0" fontId="3" fillId="17" borderId="6" xfId="0" applyFont="1" applyFill="1" applyBorder="1"/>
    <xf numFmtId="0" fontId="1" fillId="4" borderId="6" xfId="0" applyFont="1" applyFill="1" applyBorder="1"/>
    <xf numFmtId="0" fontId="1" fillId="20" borderId="6" xfId="0" applyFont="1" applyFill="1" applyBorder="1"/>
    <xf numFmtId="0" fontId="1" fillId="9" borderId="6" xfId="0" applyFont="1" applyFill="1" applyBorder="1"/>
    <xf numFmtId="0" fontId="1" fillId="6" borderId="6" xfId="0" applyFont="1" applyFill="1" applyBorder="1"/>
    <xf numFmtId="0" fontId="1" fillId="12" borderId="6" xfId="0" applyFont="1" applyFill="1" applyBorder="1"/>
    <xf numFmtId="0" fontId="3" fillId="16" borderId="6" xfId="0" applyFont="1" applyFill="1" applyBorder="1"/>
    <xf numFmtId="0" fontId="1" fillId="5" borderId="6" xfId="0" applyFont="1" applyFill="1" applyBorder="1"/>
    <xf numFmtId="0" fontId="3" fillId="11" borderId="6" xfId="0" applyFont="1" applyFill="1" applyBorder="1"/>
    <xf numFmtId="0" fontId="1" fillId="8" borderId="6" xfId="0" applyFont="1" applyFill="1" applyBorder="1"/>
    <xf numFmtId="0" fontId="1" fillId="23" borderId="6" xfId="0" applyFont="1" applyFill="1" applyBorder="1"/>
    <xf numFmtId="0" fontId="1" fillId="0" borderId="6" xfId="0" applyFont="1" applyBorder="1"/>
    <xf numFmtId="0" fontId="3" fillId="10" borderId="6" xfId="0" applyFont="1" applyFill="1" applyBorder="1"/>
    <xf numFmtId="0" fontId="1" fillId="13" borderId="6" xfId="0" applyFont="1" applyFill="1" applyBorder="1"/>
    <xf numFmtId="0" fontId="1" fillId="15" borderId="6" xfId="0" applyFont="1" applyFill="1" applyBorder="1"/>
    <xf numFmtId="0" fontId="1" fillId="22" borderId="6" xfId="0" applyFont="1" applyFill="1" applyBorder="1"/>
    <xf numFmtId="0" fontId="3" fillId="19" borderId="6" xfId="0" applyFont="1" applyFill="1" applyBorder="1"/>
    <xf numFmtId="0" fontId="3" fillId="7" borderId="6" xfId="0" applyFont="1" applyFill="1" applyBorder="1"/>
    <xf numFmtId="0" fontId="1" fillId="24" borderId="0" xfId="0" applyFont="1" applyFill="1" applyAlignment="1">
      <alignment wrapText="1"/>
    </xf>
    <xf numFmtId="0" fontId="0" fillId="24" borderId="0" xfId="0" applyFill="1"/>
    <xf numFmtId="0" fontId="0" fillId="6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265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Pokemon%20Soulstones/Pokemon%20Listing.xlsx" TargetMode="External"/><Relationship Id="rId2" Type="http://schemas.openxmlformats.org/officeDocument/2006/relationships/externalLinkPath" Target="file:///C:\Users\Darren\Documents\Pokemon%20Soulstones\Pokemon%20Listing.xlsx" TargetMode="External"/><Relationship Id="rId1" Type="http://schemas.openxmlformats.org/officeDocument/2006/relationships/externalLinkPath" Target="/Users/Darren/Documents/Pokemon%20Soulstones/Pokemon%20Li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limited"/>
      <sheetName val="Pokemon"/>
      <sheetName val="Sheet3"/>
    </sheetNames>
    <sheetDataSet>
      <sheetData sheetId="0" refreshError="1"/>
      <sheetData sheetId="1" refreshError="1"/>
      <sheetData sheetId="2">
        <row r="1">
          <cell r="A1" t="str">
            <v>ID No</v>
          </cell>
          <cell r="B1" t="str">
            <v>Name</v>
          </cell>
          <cell r="C1" t="str">
            <v>Type 1</v>
          </cell>
          <cell r="D1" t="str">
            <v>Type 2</v>
          </cell>
          <cell r="E1" t="str">
            <v>Total</v>
          </cell>
          <cell r="F1" t="str">
            <v>HP</v>
          </cell>
          <cell r="G1" t="str">
            <v>Attack</v>
          </cell>
          <cell r="H1" t="str">
            <v>Defense</v>
          </cell>
          <cell r="I1" t="str">
            <v>Sp. Atk</v>
          </cell>
          <cell r="J1" t="str">
            <v>Sp. Def</v>
          </cell>
          <cell r="K1" t="str">
            <v>Speed</v>
          </cell>
          <cell r="L1" t="str">
            <v>Generation</v>
          </cell>
          <cell r="M1" t="str">
            <v>Legendary</v>
          </cell>
        </row>
        <row r="2">
          <cell r="A2">
            <v>1</v>
          </cell>
          <cell r="B2" t="str">
            <v>Bulbasaur</v>
          </cell>
          <cell r="C2" t="str">
            <v>Grass</v>
          </cell>
          <cell r="D2" t="str">
            <v>Poison</v>
          </cell>
          <cell r="E2">
            <v>318</v>
          </cell>
          <cell r="F2">
            <v>45</v>
          </cell>
          <cell r="G2">
            <v>49</v>
          </cell>
          <cell r="H2">
            <v>49</v>
          </cell>
          <cell r="I2">
            <v>65</v>
          </cell>
          <cell r="J2">
            <v>65</v>
          </cell>
          <cell r="K2">
            <v>45</v>
          </cell>
          <cell r="L2">
            <v>1</v>
          </cell>
          <cell r="M2" t="b">
            <v>0</v>
          </cell>
        </row>
        <row r="3">
          <cell r="A3">
            <v>2</v>
          </cell>
          <cell r="B3" t="str">
            <v>Ivysaur</v>
          </cell>
          <cell r="C3" t="str">
            <v>Grass</v>
          </cell>
          <cell r="D3" t="str">
            <v>Poison</v>
          </cell>
          <cell r="E3">
            <v>405</v>
          </cell>
          <cell r="F3">
            <v>60</v>
          </cell>
          <cell r="G3">
            <v>62</v>
          </cell>
          <cell r="H3">
            <v>63</v>
          </cell>
          <cell r="I3">
            <v>80</v>
          </cell>
          <cell r="J3">
            <v>80</v>
          </cell>
          <cell r="K3">
            <v>60</v>
          </cell>
          <cell r="L3">
            <v>1</v>
          </cell>
          <cell r="M3" t="b">
            <v>0</v>
          </cell>
        </row>
        <row r="4">
          <cell r="A4">
            <v>3</v>
          </cell>
          <cell r="B4" t="str">
            <v>Venusaur</v>
          </cell>
          <cell r="C4" t="str">
            <v>Grass</v>
          </cell>
          <cell r="D4" t="str">
            <v>Poison</v>
          </cell>
          <cell r="E4">
            <v>525</v>
          </cell>
          <cell r="F4">
            <v>80</v>
          </cell>
          <cell r="G4">
            <v>82</v>
          </cell>
          <cell r="H4">
            <v>83</v>
          </cell>
          <cell r="I4">
            <v>100</v>
          </cell>
          <cell r="J4">
            <v>100</v>
          </cell>
          <cell r="K4">
            <v>80</v>
          </cell>
          <cell r="L4">
            <v>1</v>
          </cell>
          <cell r="M4" t="b">
            <v>0</v>
          </cell>
        </row>
        <row r="5">
          <cell r="A5">
            <v>4</v>
          </cell>
          <cell r="B5" t="str">
            <v>Charmander</v>
          </cell>
          <cell r="C5" t="str">
            <v>Fire</v>
          </cell>
          <cell r="E5">
            <v>309</v>
          </cell>
          <cell r="F5">
            <v>39</v>
          </cell>
          <cell r="G5">
            <v>52</v>
          </cell>
          <cell r="H5">
            <v>43</v>
          </cell>
          <cell r="I5">
            <v>60</v>
          </cell>
          <cell r="J5">
            <v>50</v>
          </cell>
          <cell r="K5">
            <v>65</v>
          </cell>
          <cell r="L5">
            <v>1</v>
          </cell>
          <cell r="M5" t="b">
            <v>0</v>
          </cell>
        </row>
        <row r="6">
          <cell r="A6">
            <v>5</v>
          </cell>
          <cell r="B6" t="str">
            <v>Charmeleon</v>
          </cell>
          <cell r="C6" t="str">
            <v>Fire</v>
          </cell>
          <cell r="E6">
            <v>405</v>
          </cell>
          <cell r="F6">
            <v>58</v>
          </cell>
          <cell r="G6">
            <v>64</v>
          </cell>
          <cell r="H6">
            <v>58</v>
          </cell>
          <cell r="I6">
            <v>80</v>
          </cell>
          <cell r="J6">
            <v>65</v>
          </cell>
          <cell r="K6">
            <v>80</v>
          </cell>
          <cell r="L6">
            <v>1</v>
          </cell>
          <cell r="M6" t="b">
            <v>0</v>
          </cell>
        </row>
        <row r="7">
          <cell r="A7">
            <v>6</v>
          </cell>
          <cell r="B7" t="str">
            <v>Charizard</v>
          </cell>
          <cell r="C7" t="str">
            <v>Fire</v>
          </cell>
          <cell r="D7" t="str">
            <v>Flying</v>
          </cell>
          <cell r="E7">
            <v>534</v>
          </cell>
          <cell r="F7">
            <v>78</v>
          </cell>
          <cell r="G7">
            <v>84</v>
          </cell>
          <cell r="H7">
            <v>78</v>
          </cell>
          <cell r="I7">
            <v>109</v>
          </cell>
          <cell r="J7">
            <v>85</v>
          </cell>
          <cell r="K7">
            <v>100</v>
          </cell>
          <cell r="L7">
            <v>1</v>
          </cell>
          <cell r="M7" t="b">
            <v>0</v>
          </cell>
        </row>
        <row r="8">
          <cell r="A8">
            <v>7</v>
          </cell>
          <cell r="B8" t="str">
            <v>Squirtle</v>
          </cell>
          <cell r="C8" t="str">
            <v>Water</v>
          </cell>
          <cell r="E8">
            <v>314</v>
          </cell>
          <cell r="F8">
            <v>44</v>
          </cell>
          <cell r="G8">
            <v>48</v>
          </cell>
          <cell r="H8">
            <v>65</v>
          </cell>
          <cell r="I8">
            <v>50</v>
          </cell>
          <cell r="J8">
            <v>64</v>
          </cell>
          <cell r="K8">
            <v>43</v>
          </cell>
          <cell r="L8">
            <v>1</v>
          </cell>
          <cell r="M8" t="b">
            <v>0</v>
          </cell>
        </row>
        <row r="9">
          <cell r="A9">
            <v>8</v>
          </cell>
          <cell r="B9" t="str">
            <v>Wartortle</v>
          </cell>
          <cell r="C9" t="str">
            <v>Water</v>
          </cell>
          <cell r="E9">
            <v>405</v>
          </cell>
          <cell r="F9">
            <v>59</v>
          </cell>
          <cell r="G9">
            <v>63</v>
          </cell>
          <cell r="H9">
            <v>80</v>
          </cell>
          <cell r="I9">
            <v>65</v>
          </cell>
          <cell r="J9">
            <v>80</v>
          </cell>
          <cell r="K9">
            <v>58</v>
          </cell>
          <cell r="L9">
            <v>1</v>
          </cell>
          <cell r="M9" t="b">
            <v>0</v>
          </cell>
        </row>
        <row r="10">
          <cell r="A10">
            <v>9</v>
          </cell>
          <cell r="B10" t="str">
            <v>Blastoise</v>
          </cell>
          <cell r="C10" t="str">
            <v>Water</v>
          </cell>
          <cell r="E10">
            <v>530</v>
          </cell>
          <cell r="F10">
            <v>79</v>
          </cell>
          <cell r="G10">
            <v>83</v>
          </cell>
          <cell r="H10">
            <v>100</v>
          </cell>
          <cell r="I10">
            <v>85</v>
          </cell>
          <cell r="J10">
            <v>105</v>
          </cell>
          <cell r="K10">
            <v>78</v>
          </cell>
          <cell r="L10">
            <v>1</v>
          </cell>
          <cell r="M10" t="b">
            <v>0</v>
          </cell>
        </row>
        <row r="11">
          <cell r="A11">
            <v>10</v>
          </cell>
          <cell r="B11" t="str">
            <v>Caterpie</v>
          </cell>
          <cell r="C11" t="str">
            <v>Bug</v>
          </cell>
          <cell r="E11">
            <v>195</v>
          </cell>
          <cell r="F11">
            <v>45</v>
          </cell>
          <cell r="G11">
            <v>30</v>
          </cell>
          <cell r="H11">
            <v>35</v>
          </cell>
          <cell r="I11">
            <v>20</v>
          </cell>
          <cell r="J11">
            <v>20</v>
          </cell>
          <cell r="K11">
            <v>45</v>
          </cell>
          <cell r="L11">
            <v>1</v>
          </cell>
          <cell r="M11" t="b">
            <v>0</v>
          </cell>
        </row>
        <row r="12">
          <cell r="A12">
            <v>11</v>
          </cell>
          <cell r="B12" t="str">
            <v>Metapod</v>
          </cell>
          <cell r="C12" t="str">
            <v>Bug</v>
          </cell>
          <cell r="E12">
            <v>205</v>
          </cell>
          <cell r="F12">
            <v>50</v>
          </cell>
          <cell r="G12">
            <v>20</v>
          </cell>
          <cell r="H12">
            <v>55</v>
          </cell>
          <cell r="I12">
            <v>25</v>
          </cell>
          <cell r="J12">
            <v>25</v>
          </cell>
          <cell r="K12">
            <v>30</v>
          </cell>
          <cell r="L12">
            <v>1</v>
          </cell>
          <cell r="M12" t="b">
            <v>0</v>
          </cell>
        </row>
        <row r="13">
          <cell r="A13">
            <v>12</v>
          </cell>
          <cell r="B13" t="str">
            <v>Butterfree</v>
          </cell>
          <cell r="C13" t="str">
            <v>Bug</v>
          </cell>
          <cell r="D13" t="str">
            <v>Flying</v>
          </cell>
          <cell r="E13">
            <v>395</v>
          </cell>
          <cell r="F13">
            <v>60</v>
          </cell>
          <cell r="G13">
            <v>45</v>
          </cell>
          <cell r="H13">
            <v>50</v>
          </cell>
          <cell r="I13">
            <v>90</v>
          </cell>
          <cell r="J13">
            <v>80</v>
          </cell>
          <cell r="K13">
            <v>70</v>
          </cell>
          <cell r="L13">
            <v>1</v>
          </cell>
          <cell r="M13" t="b">
            <v>0</v>
          </cell>
        </row>
        <row r="14">
          <cell r="A14">
            <v>13</v>
          </cell>
          <cell r="B14" t="str">
            <v>Weedle</v>
          </cell>
          <cell r="C14" t="str">
            <v>Bug</v>
          </cell>
          <cell r="D14" t="str">
            <v>Poison</v>
          </cell>
          <cell r="E14">
            <v>195</v>
          </cell>
          <cell r="F14">
            <v>40</v>
          </cell>
          <cell r="G14">
            <v>35</v>
          </cell>
          <cell r="H14">
            <v>30</v>
          </cell>
          <cell r="I14">
            <v>20</v>
          </cell>
          <cell r="J14">
            <v>20</v>
          </cell>
          <cell r="K14">
            <v>50</v>
          </cell>
          <cell r="L14">
            <v>1</v>
          </cell>
          <cell r="M14" t="b">
            <v>0</v>
          </cell>
        </row>
        <row r="15">
          <cell r="A15">
            <v>14</v>
          </cell>
          <cell r="B15" t="str">
            <v>Kakuna</v>
          </cell>
          <cell r="C15" t="str">
            <v>Bug</v>
          </cell>
          <cell r="D15" t="str">
            <v>Poison</v>
          </cell>
          <cell r="E15">
            <v>205</v>
          </cell>
          <cell r="F15">
            <v>45</v>
          </cell>
          <cell r="G15">
            <v>25</v>
          </cell>
          <cell r="H15">
            <v>50</v>
          </cell>
          <cell r="I15">
            <v>25</v>
          </cell>
          <cell r="J15">
            <v>25</v>
          </cell>
          <cell r="K15">
            <v>35</v>
          </cell>
          <cell r="L15">
            <v>1</v>
          </cell>
          <cell r="M15" t="b">
            <v>0</v>
          </cell>
        </row>
        <row r="16">
          <cell r="A16">
            <v>15</v>
          </cell>
          <cell r="B16" t="str">
            <v>Beedrill</v>
          </cell>
          <cell r="C16" t="str">
            <v>Bug</v>
          </cell>
          <cell r="D16" t="str">
            <v>Poison</v>
          </cell>
          <cell r="E16">
            <v>395</v>
          </cell>
          <cell r="F16">
            <v>65</v>
          </cell>
          <cell r="G16">
            <v>90</v>
          </cell>
          <cell r="H16">
            <v>40</v>
          </cell>
          <cell r="I16">
            <v>45</v>
          </cell>
          <cell r="J16">
            <v>80</v>
          </cell>
          <cell r="K16">
            <v>75</v>
          </cell>
          <cell r="L16">
            <v>1</v>
          </cell>
          <cell r="M16" t="b">
            <v>0</v>
          </cell>
        </row>
        <row r="17">
          <cell r="A17">
            <v>16</v>
          </cell>
          <cell r="B17" t="str">
            <v>Pidgey</v>
          </cell>
          <cell r="C17" t="str">
            <v>Normal</v>
          </cell>
          <cell r="D17" t="str">
            <v>Flying</v>
          </cell>
          <cell r="E17">
            <v>251</v>
          </cell>
          <cell r="F17">
            <v>40</v>
          </cell>
          <cell r="G17">
            <v>45</v>
          </cell>
          <cell r="H17">
            <v>40</v>
          </cell>
          <cell r="I17">
            <v>35</v>
          </cell>
          <cell r="J17">
            <v>35</v>
          </cell>
          <cell r="K17">
            <v>56</v>
          </cell>
          <cell r="L17">
            <v>1</v>
          </cell>
          <cell r="M17" t="b">
            <v>0</v>
          </cell>
        </row>
        <row r="18">
          <cell r="A18">
            <v>17</v>
          </cell>
          <cell r="B18" t="str">
            <v>Pidgeotto</v>
          </cell>
          <cell r="C18" t="str">
            <v>Normal</v>
          </cell>
          <cell r="D18" t="str">
            <v>Flying</v>
          </cell>
          <cell r="E18">
            <v>349</v>
          </cell>
          <cell r="F18">
            <v>63</v>
          </cell>
          <cell r="G18">
            <v>60</v>
          </cell>
          <cell r="H18">
            <v>55</v>
          </cell>
          <cell r="I18">
            <v>50</v>
          </cell>
          <cell r="J18">
            <v>50</v>
          </cell>
          <cell r="K18">
            <v>71</v>
          </cell>
          <cell r="L18">
            <v>1</v>
          </cell>
          <cell r="M18" t="b">
            <v>0</v>
          </cell>
        </row>
        <row r="19">
          <cell r="A19">
            <v>18</v>
          </cell>
          <cell r="B19" t="str">
            <v>Pidgeot</v>
          </cell>
          <cell r="C19" t="str">
            <v>Normal</v>
          </cell>
          <cell r="D19" t="str">
            <v>Flying</v>
          </cell>
          <cell r="E19">
            <v>479</v>
          </cell>
          <cell r="F19">
            <v>83</v>
          </cell>
          <cell r="G19">
            <v>80</v>
          </cell>
          <cell r="H19">
            <v>75</v>
          </cell>
          <cell r="I19">
            <v>70</v>
          </cell>
          <cell r="J19">
            <v>70</v>
          </cell>
          <cell r="K19">
            <v>101</v>
          </cell>
          <cell r="L19">
            <v>1</v>
          </cell>
          <cell r="M19" t="b">
            <v>0</v>
          </cell>
        </row>
        <row r="20">
          <cell r="A20">
            <v>19</v>
          </cell>
          <cell r="B20" t="str">
            <v>Rattata</v>
          </cell>
          <cell r="C20" t="str">
            <v>Normal</v>
          </cell>
          <cell r="E20">
            <v>253</v>
          </cell>
          <cell r="F20">
            <v>30</v>
          </cell>
          <cell r="G20">
            <v>56</v>
          </cell>
          <cell r="H20">
            <v>35</v>
          </cell>
          <cell r="I20">
            <v>25</v>
          </cell>
          <cell r="J20">
            <v>35</v>
          </cell>
          <cell r="K20">
            <v>72</v>
          </cell>
          <cell r="L20">
            <v>1</v>
          </cell>
          <cell r="M20" t="b">
            <v>0</v>
          </cell>
        </row>
        <row r="21">
          <cell r="A21">
            <v>20</v>
          </cell>
          <cell r="B21" t="str">
            <v>Raticate</v>
          </cell>
          <cell r="C21" t="str">
            <v>Normal</v>
          </cell>
          <cell r="E21">
            <v>413</v>
          </cell>
          <cell r="F21">
            <v>55</v>
          </cell>
          <cell r="G21">
            <v>81</v>
          </cell>
          <cell r="H21">
            <v>60</v>
          </cell>
          <cell r="I21">
            <v>50</v>
          </cell>
          <cell r="J21">
            <v>70</v>
          </cell>
          <cell r="K21">
            <v>97</v>
          </cell>
          <cell r="L21">
            <v>1</v>
          </cell>
          <cell r="M21" t="b">
            <v>0</v>
          </cell>
        </row>
        <row r="22">
          <cell r="A22">
            <v>21</v>
          </cell>
          <cell r="B22" t="str">
            <v>Spearow</v>
          </cell>
          <cell r="C22" t="str">
            <v>Normal</v>
          </cell>
          <cell r="D22" t="str">
            <v>Flying</v>
          </cell>
          <cell r="E22">
            <v>262</v>
          </cell>
          <cell r="F22">
            <v>40</v>
          </cell>
          <cell r="G22">
            <v>60</v>
          </cell>
          <cell r="H22">
            <v>30</v>
          </cell>
          <cell r="I22">
            <v>31</v>
          </cell>
          <cell r="J22">
            <v>31</v>
          </cell>
          <cell r="K22">
            <v>70</v>
          </cell>
          <cell r="L22">
            <v>1</v>
          </cell>
          <cell r="M22" t="b">
            <v>0</v>
          </cell>
        </row>
        <row r="23">
          <cell r="A23">
            <v>22</v>
          </cell>
          <cell r="B23" t="str">
            <v>Fearow</v>
          </cell>
          <cell r="C23" t="str">
            <v>Normal</v>
          </cell>
          <cell r="D23" t="str">
            <v>Flying</v>
          </cell>
          <cell r="E23">
            <v>442</v>
          </cell>
          <cell r="F23">
            <v>65</v>
          </cell>
          <cell r="G23">
            <v>90</v>
          </cell>
          <cell r="H23">
            <v>65</v>
          </cell>
          <cell r="I23">
            <v>61</v>
          </cell>
          <cell r="J23">
            <v>61</v>
          </cell>
          <cell r="K23">
            <v>100</v>
          </cell>
          <cell r="L23">
            <v>1</v>
          </cell>
          <cell r="M23" t="b">
            <v>0</v>
          </cell>
        </row>
        <row r="24">
          <cell r="A24">
            <v>23</v>
          </cell>
          <cell r="B24" t="str">
            <v>Ekans</v>
          </cell>
          <cell r="C24" t="str">
            <v>Poison</v>
          </cell>
          <cell r="E24">
            <v>288</v>
          </cell>
          <cell r="F24">
            <v>35</v>
          </cell>
          <cell r="G24">
            <v>60</v>
          </cell>
          <cell r="H24">
            <v>44</v>
          </cell>
          <cell r="I24">
            <v>40</v>
          </cell>
          <cell r="J24">
            <v>54</v>
          </cell>
          <cell r="K24">
            <v>55</v>
          </cell>
          <cell r="L24">
            <v>1</v>
          </cell>
          <cell r="M24" t="b">
            <v>0</v>
          </cell>
        </row>
        <row r="25">
          <cell r="A25">
            <v>24</v>
          </cell>
          <cell r="B25" t="str">
            <v>Arbok</v>
          </cell>
          <cell r="C25" t="str">
            <v>Poison</v>
          </cell>
          <cell r="E25">
            <v>438</v>
          </cell>
          <cell r="F25">
            <v>60</v>
          </cell>
          <cell r="G25">
            <v>85</v>
          </cell>
          <cell r="H25">
            <v>69</v>
          </cell>
          <cell r="I25">
            <v>65</v>
          </cell>
          <cell r="J25">
            <v>79</v>
          </cell>
          <cell r="K25">
            <v>80</v>
          </cell>
          <cell r="L25">
            <v>1</v>
          </cell>
          <cell r="M25" t="b">
            <v>0</v>
          </cell>
        </row>
        <row r="26">
          <cell r="A26">
            <v>25</v>
          </cell>
          <cell r="B26" t="str">
            <v>Pikachu</v>
          </cell>
          <cell r="C26" t="str">
            <v>Electric</v>
          </cell>
          <cell r="E26">
            <v>320</v>
          </cell>
          <cell r="F26">
            <v>35</v>
          </cell>
          <cell r="G26">
            <v>55</v>
          </cell>
          <cell r="H26">
            <v>40</v>
          </cell>
          <cell r="I26">
            <v>50</v>
          </cell>
          <cell r="J26">
            <v>50</v>
          </cell>
          <cell r="K26">
            <v>90</v>
          </cell>
          <cell r="L26">
            <v>1</v>
          </cell>
          <cell r="M26" t="b">
            <v>0</v>
          </cell>
        </row>
        <row r="27">
          <cell r="A27">
            <v>26</v>
          </cell>
          <cell r="B27" t="str">
            <v>Raichu</v>
          </cell>
          <cell r="C27" t="str">
            <v>Electric</v>
          </cell>
          <cell r="E27">
            <v>485</v>
          </cell>
          <cell r="F27">
            <v>60</v>
          </cell>
          <cell r="G27">
            <v>90</v>
          </cell>
          <cell r="H27">
            <v>55</v>
          </cell>
          <cell r="I27">
            <v>90</v>
          </cell>
          <cell r="J27">
            <v>80</v>
          </cell>
          <cell r="K27">
            <v>110</v>
          </cell>
          <cell r="L27">
            <v>1</v>
          </cell>
          <cell r="M27" t="b">
            <v>0</v>
          </cell>
        </row>
        <row r="28">
          <cell r="A28">
            <v>27</v>
          </cell>
          <cell r="B28" t="str">
            <v>Sandshrew</v>
          </cell>
          <cell r="C28" t="str">
            <v>Ground</v>
          </cell>
          <cell r="E28">
            <v>300</v>
          </cell>
          <cell r="F28">
            <v>50</v>
          </cell>
          <cell r="G28">
            <v>75</v>
          </cell>
          <cell r="H28">
            <v>85</v>
          </cell>
          <cell r="I28">
            <v>20</v>
          </cell>
          <cell r="J28">
            <v>30</v>
          </cell>
          <cell r="K28">
            <v>40</v>
          </cell>
          <cell r="L28">
            <v>1</v>
          </cell>
          <cell r="M28" t="b">
            <v>0</v>
          </cell>
        </row>
        <row r="29">
          <cell r="A29">
            <v>28</v>
          </cell>
          <cell r="B29" t="str">
            <v>Sandslash</v>
          </cell>
          <cell r="C29" t="str">
            <v>Ground</v>
          </cell>
          <cell r="E29">
            <v>450</v>
          </cell>
          <cell r="F29">
            <v>75</v>
          </cell>
          <cell r="G29">
            <v>100</v>
          </cell>
          <cell r="H29">
            <v>110</v>
          </cell>
          <cell r="I29">
            <v>45</v>
          </cell>
          <cell r="J29">
            <v>55</v>
          </cell>
          <cell r="K29">
            <v>65</v>
          </cell>
          <cell r="L29">
            <v>1</v>
          </cell>
          <cell r="M29" t="b">
            <v>0</v>
          </cell>
        </row>
        <row r="30">
          <cell r="A30">
            <v>29</v>
          </cell>
          <cell r="B30" t="str">
            <v>NidoranFE</v>
          </cell>
          <cell r="C30" t="str">
            <v>Poison</v>
          </cell>
          <cell r="E30">
            <v>275</v>
          </cell>
          <cell r="F30">
            <v>55</v>
          </cell>
          <cell r="G30">
            <v>47</v>
          </cell>
          <cell r="H30">
            <v>52</v>
          </cell>
          <cell r="I30">
            <v>40</v>
          </cell>
          <cell r="J30">
            <v>40</v>
          </cell>
          <cell r="K30">
            <v>41</v>
          </cell>
          <cell r="L30">
            <v>1</v>
          </cell>
          <cell r="M30" t="b">
            <v>0</v>
          </cell>
        </row>
        <row r="31">
          <cell r="A31">
            <v>30</v>
          </cell>
          <cell r="B31" t="str">
            <v>Nidorina</v>
          </cell>
          <cell r="C31" t="str">
            <v>Poison</v>
          </cell>
          <cell r="E31">
            <v>365</v>
          </cell>
          <cell r="F31">
            <v>70</v>
          </cell>
          <cell r="G31">
            <v>62</v>
          </cell>
          <cell r="H31">
            <v>67</v>
          </cell>
          <cell r="I31">
            <v>55</v>
          </cell>
          <cell r="J31">
            <v>55</v>
          </cell>
          <cell r="K31">
            <v>56</v>
          </cell>
          <cell r="L31">
            <v>1</v>
          </cell>
          <cell r="M31" t="b">
            <v>0</v>
          </cell>
        </row>
        <row r="32">
          <cell r="A32">
            <v>31</v>
          </cell>
          <cell r="B32" t="str">
            <v>Nidoqueen</v>
          </cell>
          <cell r="C32" t="str">
            <v>Poison</v>
          </cell>
          <cell r="D32" t="str">
            <v>Ground</v>
          </cell>
          <cell r="E32">
            <v>505</v>
          </cell>
          <cell r="F32">
            <v>90</v>
          </cell>
          <cell r="G32">
            <v>92</v>
          </cell>
          <cell r="H32">
            <v>87</v>
          </cell>
          <cell r="I32">
            <v>75</v>
          </cell>
          <cell r="J32">
            <v>85</v>
          </cell>
          <cell r="K32">
            <v>76</v>
          </cell>
          <cell r="L32">
            <v>1</v>
          </cell>
          <cell r="M32" t="b">
            <v>0</v>
          </cell>
        </row>
        <row r="33">
          <cell r="A33">
            <v>32</v>
          </cell>
          <cell r="B33" t="str">
            <v>NidoranMA</v>
          </cell>
          <cell r="C33" t="str">
            <v>Poison</v>
          </cell>
          <cell r="E33">
            <v>273</v>
          </cell>
          <cell r="F33">
            <v>46</v>
          </cell>
          <cell r="G33">
            <v>57</v>
          </cell>
          <cell r="H33">
            <v>40</v>
          </cell>
          <cell r="I33">
            <v>40</v>
          </cell>
          <cell r="J33">
            <v>40</v>
          </cell>
          <cell r="K33">
            <v>50</v>
          </cell>
          <cell r="L33">
            <v>1</v>
          </cell>
          <cell r="M33" t="b">
            <v>0</v>
          </cell>
        </row>
        <row r="34">
          <cell r="A34">
            <v>33</v>
          </cell>
          <cell r="B34" t="str">
            <v>Nidorino</v>
          </cell>
          <cell r="C34" t="str">
            <v>Poison</v>
          </cell>
          <cell r="E34">
            <v>365</v>
          </cell>
          <cell r="F34">
            <v>61</v>
          </cell>
          <cell r="G34">
            <v>72</v>
          </cell>
          <cell r="H34">
            <v>57</v>
          </cell>
          <cell r="I34">
            <v>55</v>
          </cell>
          <cell r="J34">
            <v>55</v>
          </cell>
          <cell r="K34">
            <v>65</v>
          </cell>
          <cell r="L34">
            <v>1</v>
          </cell>
          <cell r="M34" t="b">
            <v>0</v>
          </cell>
        </row>
        <row r="35">
          <cell r="A35">
            <v>34</v>
          </cell>
          <cell r="B35" t="str">
            <v>Nidoking</v>
          </cell>
          <cell r="C35" t="str">
            <v>Poison</v>
          </cell>
          <cell r="D35" t="str">
            <v>Ground</v>
          </cell>
          <cell r="E35">
            <v>505</v>
          </cell>
          <cell r="F35">
            <v>81</v>
          </cell>
          <cell r="G35">
            <v>102</v>
          </cell>
          <cell r="H35">
            <v>77</v>
          </cell>
          <cell r="I35">
            <v>85</v>
          </cell>
          <cell r="J35">
            <v>75</v>
          </cell>
          <cell r="K35">
            <v>85</v>
          </cell>
          <cell r="L35">
            <v>1</v>
          </cell>
          <cell r="M35" t="b">
            <v>0</v>
          </cell>
        </row>
        <row r="36">
          <cell r="A36">
            <v>35</v>
          </cell>
          <cell r="B36" t="str">
            <v>Clefairy</v>
          </cell>
          <cell r="C36" t="str">
            <v>Fairy</v>
          </cell>
          <cell r="E36">
            <v>323</v>
          </cell>
          <cell r="F36">
            <v>70</v>
          </cell>
          <cell r="G36">
            <v>45</v>
          </cell>
          <cell r="H36">
            <v>48</v>
          </cell>
          <cell r="I36">
            <v>60</v>
          </cell>
          <cell r="J36">
            <v>65</v>
          </cell>
          <cell r="K36">
            <v>35</v>
          </cell>
          <cell r="L36">
            <v>1</v>
          </cell>
          <cell r="M36" t="b">
            <v>0</v>
          </cell>
        </row>
        <row r="37">
          <cell r="A37">
            <v>36</v>
          </cell>
          <cell r="B37" t="str">
            <v>Clefable</v>
          </cell>
          <cell r="C37" t="str">
            <v>Fairy</v>
          </cell>
          <cell r="E37">
            <v>483</v>
          </cell>
          <cell r="F37">
            <v>95</v>
          </cell>
          <cell r="G37">
            <v>70</v>
          </cell>
          <cell r="H37">
            <v>73</v>
          </cell>
          <cell r="I37">
            <v>95</v>
          </cell>
          <cell r="J37">
            <v>90</v>
          </cell>
          <cell r="K37">
            <v>60</v>
          </cell>
          <cell r="L37">
            <v>1</v>
          </cell>
          <cell r="M37" t="b">
            <v>0</v>
          </cell>
        </row>
        <row r="38">
          <cell r="A38">
            <v>37</v>
          </cell>
          <cell r="B38" t="str">
            <v>Vulpix</v>
          </cell>
          <cell r="C38" t="str">
            <v>Fire</v>
          </cell>
          <cell r="E38">
            <v>299</v>
          </cell>
          <cell r="F38">
            <v>38</v>
          </cell>
          <cell r="G38">
            <v>41</v>
          </cell>
          <cell r="H38">
            <v>40</v>
          </cell>
          <cell r="I38">
            <v>50</v>
          </cell>
          <cell r="J38">
            <v>65</v>
          </cell>
          <cell r="K38">
            <v>65</v>
          </cell>
          <cell r="L38">
            <v>1</v>
          </cell>
          <cell r="M38" t="b">
            <v>0</v>
          </cell>
        </row>
        <row r="39">
          <cell r="A39">
            <v>38</v>
          </cell>
          <cell r="B39" t="str">
            <v>Ninetales</v>
          </cell>
          <cell r="C39" t="str">
            <v>Fire</v>
          </cell>
          <cell r="E39">
            <v>505</v>
          </cell>
          <cell r="F39">
            <v>73</v>
          </cell>
          <cell r="G39">
            <v>76</v>
          </cell>
          <cell r="H39">
            <v>75</v>
          </cell>
          <cell r="I39">
            <v>81</v>
          </cell>
          <cell r="J39">
            <v>100</v>
          </cell>
          <cell r="K39">
            <v>100</v>
          </cell>
          <cell r="L39">
            <v>1</v>
          </cell>
          <cell r="M39" t="b">
            <v>0</v>
          </cell>
        </row>
        <row r="40">
          <cell r="A40">
            <v>39</v>
          </cell>
          <cell r="B40" t="str">
            <v>Jigglypuff</v>
          </cell>
          <cell r="C40" t="str">
            <v>Normal</v>
          </cell>
          <cell r="D40" t="str">
            <v>Fairy</v>
          </cell>
          <cell r="E40">
            <v>270</v>
          </cell>
          <cell r="F40">
            <v>115</v>
          </cell>
          <cell r="G40">
            <v>45</v>
          </cell>
          <cell r="H40">
            <v>20</v>
          </cell>
          <cell r="I40">
            <v>45</v>
          </cell>
          <cell r="J40">
            <v>25</v>
          </cell>
          <cell r="K40">
            <v>20</v>
          </cell>
          <cell r="L40">
            <v>1</v>
          </cell>
          <cell r="M40" t="b">
            <v>0</v>
          </cell>
        </row>
        <row r="41">
          <cell r="A41">
            <v>40</v>
          </cell>
          <cell r="B41" t="str">
            <v>Wigglytuff</v>
          </cell>
          <cell r="C41" t="str">
            <v>Normal</v>
          </cell>
          <cell r="D41" t="str">
            <v>Fairy</v>
          </cell>
          <cell r="E41">
            <v>435</v>
          </cell>
          <cell r="F41">
            <v>140</v>
          </cell>
          <cell r="G41">
            <v>70</v>
          </cell>
          <cell r="H41">
            <v>45</v>
          </cell>
          <cell r="I41">
            <v>85</v>
          </cell>
          <cell r="J41">
            <v>50</v>
          </cell>
          <cell r="K41">
            <v>45</v>
          </cell>
          <cell r="L41">
            <v>1</v>
          </cell>
          <cell r="M41" t="b">
            <v>0</v>
          </cell>
        </row>
        <row r="42">
          <cell r="A42">
            <v>41</v>
          </cell>
          <cell r="B42" t="str">
            <v>Zubat</v>
          </cell>
          <cell r="C42" t="str">
            <v>Poison</v>
          </cell>
          <cell r="D42" t="str">
            <v>Flying</v>
          </cell>
          <cell r="E42">
            <v>245</v>
          </cell>
          <cell r="F42">
            <v>40</v>
          </cell>
          <cell r="G42">
            <v>45</v>
          </cell>
          <cell r="H42">
            <v>35</v>
          </cell>
          <cell r="I42">
            <v>30</v>
          </cell>
          <cell r="J42">
            <v>40</v>
          </cell>
          <cell r="K42">
            <v>55</v>
          </cell>
          <cell r="L42">
            <v>1</v>
          </cell>
          <cell r="M42" t="b">
            <v>0</v>
          </cell>
        </row>
        <row r="43">
          <cell r="A43">
            <v>42</v>
          </cell>
          <cell r="B43" t="str">
            <v>Golbat</v>
          </cell>
          <cell r="C43" t="str">
            <v>Poison</v>
          </cell>
          <cell r="D43" t="str">
            <v>Flying</v>
          </cell>
          <cell r="E43">
            <v>455</v>
          </cell>
          <cell r="F43">
            <v>75</v>
          </cell>
          <cell r="G43">
            <v>80</v>
          </cell>
          <cell r="H43">
            <v>70</v>
          </cell>
          <cell r="I43">
            <v>65</v>
          </cell>
          <cell r="J43">
            <v>75</v>
          </cell>
          <cell r="K43">
            <v>90</v>
          </cell>
          <cell r="L43">
            <v>1</v>
          </cell>
          <cell r="M43" t="b">
            <v>0</v>
          </cell>
        </row>
        <row r="44">
          <cell r="A44">
            <v>43</v>
          </cell>
          <cell r="B44" t="str">
            <v>Oddish</v>
          </cell>
          <cell r="C44" t="str">
            <v>Grass</v>
          </cell>
          <cell r="D44" t="str">
            <v>Poison</v>
          </cell>
          <cell r="E44">
            <v>320</v>
          </cell>
          <cell r="F44">
            <v>45</v>
          </cell>
          <cell r="G44">
            <v>50</v>
          </cell>
          <cell r="H44">
            <v>55</v>
          </cell>
          <cell r="I44">
            <v>75</v>
          </cell>
          <cell r="J44">
            <v>65</v>
          </cell>
          <cell r="K44">
            <v>30</v>
          </cell>
          <cell r="L44">
            <v>1</v>
          </cell>
          <cell r="M44" t="b">
            <v>0</v>
          </cell>
        </row>
        <row r="45">
          <cell r="A45">
            <v>44</v>
          </cell>
          <cell r="B45" t="str">
            <v>Gloom</v>
          </cell>
          <cell r="C45" t="str">
            <v>Grass</v>
          </cell>
          <cell r="D45" t="str">
            <v>Poison</v>
          </cell>
          <cell r="E45">
            <v>395</v>
          </cell>
          <cell r="F45">
            <v>60</v>
          </cell>
          <cell r="G45">
            <v>65</v>
          </cell>
          <cell r="H45">
            <v>70</v>
          </cell>
          <cell r="I45">
            <v>85</v>
          </cell>
          <cell r="J45">
            <v>75</v>
          </cell>
          <cell r="K45">
            <v>40</v>
          </cell>
          <cell r="L45">
            <v>1</v>
          </cell>
          <cell r="M45" t="b">
            <v>0</v>
          </cell>
        </row>
        <row r="46">
          <cell r="A46">
            <v>45</v>
          </cell>
          <cell r="B46" t="str">
            <v>Vileplume</v>
          </cell>
          <cell r="C46" t="str">
            <v>Grass</v>
          </cell>
          <cell r="D46" t="str">
            <v>Poison</v>
          </cell>
          <cell r="E46">
            <v>490</v>
          </cell>
          <cell r="F46">
            <v>75</v>
          </cell>
          <cell r="G46">
            <v>80</v>
          </cell>
          <cell r="H46">
            <v>85</v>
          </cell>
          <cell r="I46">
            <v>110</v>
          </cell>
          <cell r="J46">
            <v>90</v>
          </cell>
          <cell r="K46">
            <v>50</v>
          </cell>
          <cell r="L46">
            <v>1</v>
          </cell>
          <cell r="M46" t="b">
            <v>0</v>
          </cell>
        </row>
        <row r="47">
          <cell r="A47">
            <v>46</v>
          </cell>
          <cell r="B47" t="str">
            <v>Paras</v>
          </cell>
          <cell r="C47" t="str">
            <v>Bug</v>
          </cell>
          <cell r="D47" t="str">
            <v>Grass</v>
          </cell>
          <cell r="E47">
            <v>285</v>
          </cell>
          <cell r="F47">
            <v>35</v>
          </cell>
          <cell r="G47">
            <v>70</v>
          </cell>
          <cell r="H47">
            <v>55</v>
          </cell>
          <cell r="I47">
            <v>45</v>
          </cell>
          <cell r="J47">
            <v>55</v>
          </cell>
          <cell r="K47">
            <v>25</v>
          </cell>
          <cell r="L47">
            <v>1</v>
          </cell>
          <cell r="M47" t="b">
            <v>0</v>
          </cell>
        </row>
        <row r="48">
          <cell r="A48">
            <v>47</v>
          </cell>
          <cell r="B48" t="str">
            <v>Parasect</v>
          </cell>
          <cell r="C48" t="str">
            <v>Bug</v>
          </cell>
          <cell r="D48" t="str">
            <v>Grass</v>
          </cell>
          <cell r="E48">
            <v>405</v>
          </cell>
          <cell r="F48">
            <v>60</v>
          </cell>
          <cell r="G48">
            <v>95</v>
          </cell>
          <cell r="H48">
            <v>80</v>
          </cell>
          <cell r="I48">
            <v>60</v>
          </cell>
          <cell r="J48">
            <v>80</v>
          </cell>
          <cell r="K48">
            <v>30</v>
          </cell>
          <cell r="L48">
            <v>1</v>
          </cell>
          <cell r="M48" t="b">
            <v>0</v>
          </cell>
        </row>
        <row r="49">
          <cell r="A49">
            <v>48</v>
          </cell>
          <cell r="B49" t="str">
            <v>Venonat</v>
          </cell>
          <cell r="C49" t="str">
            <v>Bug</v>
          </cell>
          <cell r="D49" t="str">
            <v>Poison</v>
          </cell>
          <cell r="E49">
            <v>305</v>
          </cell>
          <cell r="F49">
            <v>60</v>
          </cell>
          <cell r="G49">
            <v>55</v>
          </cell>
          <cell r="H49">
            <v>50</v>
          </cell>
          <cell r="I49">
            <v>40</v>
          </cell>
          <cell r="J49">
            <v>55</v>
          </cell>
          <cell r="K49">
            <v>45</v>
          </cell>
          <cell r="L49">
            <v>1</v>
          </cell>
          <cell r="M49" t="b">
            <v>0</v>
          </cell>
        </row>
        <row r="50">
          <cell r="A50">
            <v>49</v>
          </cell>
          <cell r="B50" t="str">
            <v>Venomoth</v>
          </cell>
          <cell r="C50" t="str">
            <v>Bug</v>
          </cell>
          <cell r="D50" t="str">
            <v>Poison</v>
          </cell>
          <cell r="E50">
            <v>450</v>
          </cell>
          <cell r="F50">
            <v>70</v>
          </cell>
          <cell r="G50">
            <v>65</v>
          </cell>
          <cell r="H50">
            <v>60</v>
          </cell>
          <cell r="I50">
            <v>90</v>
          </cell>
          <cell r="J50">
            <v>75</v>
          </cell>
          <cell r="K50">
            <v>90</v>
          </cell>
          <cell r="L50">
            <v>1</v>
          </cell>
          <cell r="M50" t="b">
            <v>0</v>
          </cell>
        </row>
        <row r="51">
          <cell r="A51">
            <v>50</v>
          </cell>
          <cell r="B51" t="str">
            <v>Diglett</v>
          </cell>
          <cell r="C51" t="str">
            <v>Ground</v>
          </cell>
          <cell r="E51">
            <v>265</v>
          </cell>
          <cell r="F51">
            <v>10</v>
          </cell>
          <cell r="G51">
            <v>55</v>
          </cell>
          <cell r="H51">
            <v>25</v>
          </cell>
          <cell r="I51">
            <v>35</v>
          </cell>
          <cell r="J51">
            <v>45</v>
          </cell>
          <cell r="K51">
            <v>95</v>
          </cell>
          <cell r="L51">
            <v>1</v>
          </cell>
          <cell r="M51" t="b">
            <v>0</v>
          </cell>
        </row>
        <row r="52">
          <cell r="A52">
            <v>51</v>
          </cell>
          <cell r="B52" t="str">
            <v>Dugtrio</v>
          </cell>
          <cell r="C52" t="str">
            <v>Ground</v>
          </cell>
          <cell r="E52">
            <v>405</v>
          </cell>
          <cell r="F52">
            <v>35</v>
          </cell>
          <cell r="G52">
            <v>80</v>
          </cell>
          <cell r="H52">
            <v>50</v>
          </cell>
          <cell r="I52">
            <v>50</v>
          </cell>
          <cell r="J52">
            <v>70</v>
          </cell>
          <cell r="K52">
            <v>120</v>
          </cell>
          <cell r="L52">
            <v>1</v>
          </cell>
          <cell r="M52" t="b">
            <v>0</v>
          </cell>
        </row>
        <row r="53">
          <cell r="A53">
            <v>52</v>
          </cell>
          <cell r="B53" t="str">
            <v>Meowth</v>
          </cell>
          <cell r="C53" t="str">
            <v>Normal</v>
          </cell>
          <cell r="E53">
            <v>290</v>
          </cell>
          <cell r="F53">
            <v>40</v>
          </cell>
          <cell r="G53">
            <v>45</v>
          </cell>
          <cell r="H53">
            <v>35</v>
          </cell>
          <cell r="I53">
            <v>40</v>
          </cell>
          <cell r="J53">
            <v>40</v>
          </cell>
          <cell r="K53">
            <v>90</v>
          </cell>
          <cell r="L53">
            <v>1</v>
          </cell>
          <cell r="M53" t="b">
            <v>0</v>
          </cell>
        </row>
        <row r="54">
          <cell r="A54">
            <v>53</v>
          </cell>
          <cell r="B54" t="str">
            <v>Persian</v>
          </cell>
          <cell r="C54" t="str">
            <v>Normal</v>
          </cell>
          <cell r="E54">
            <v>440</v>
          </cell>
          <cell r="F54">
            <v>65</v>
          </cell>
          <cell r="G54">
            <v>70</v>
          </cell>
          <cell r="H54">
            <v>60</v>
          </cell>
          <cell r="I54">
            <v>65</v>
          </cell>
          <cell r="J54">
            <v>65</v>
          </cell>
          <cell r="K54">
            <v>115</v>
          </cell>
          <cell r="L54">
            <v>1</v>
          </cell>
          <cell r="M54" t="b">
            <v>0</v>
          </cell>
        </row>
        <row r="55">
          <cell r="A55">
            <v>54</v>
          </cell>
          <cell r="B55" t="str">
            <v>Psyduck</v>
          </cell>
          <cell r="C55" t="str">
            <v>Water</v>
          </cell>
          <cell r="E55">
            <v>320</v>
          </cell>
          <cell r="F55">
            <v>50</v>
          </cell>
          <cell r="G55">
            <v>52</v>
          </cell>
          <cell r="H55">
            <v>48</v>
          </cell>
          <cell r="I55">
            <v>65</v>
          </cell>
          <cell r="J55">
            <v>50</v>
          </cell>
          <cell r="K55">
            <v>55</v>
          </cell>
          <cell r="L55">
            <v>1</v>
          </cell>
          <cell r="M55" t="b">
            <v>0</v>
          </cell>
        </row>
        <row r="56">
          <cell r="A56">
            <v>55</v>
          </cell>
          <cell r="B56" t="str">
            <v>Golduck</v>
          </cell>
          <cell r="C56" t="str">
            <v>Water</v>
          </cell>
          <cell r="E56">
            <v>500</v>
          </cell>
          <cell r="F56">
            <v>80</v>
          </cell>
          <cell r="G56">
            <v>82</v>
          </cell>
          <cell r="H56">
            <v>78</v>
          </cell>
          <cell r="I56">
            <v>95</v>
          </cell>
          <cell r="J56">
            <v>80</v>
          </cell>
          <cell r="K56">
            <v>85</v>
          </cell>
          <cell r="L56">
            <v>1</v>
          </cell>
          <cell r="M56" t="b">
            <v>0</v>
          </cell>
        </row>
        <row r="57">
          <cell r="A57">
            <v>56</v>
          </cell>
          <cell r="B57" t="str">
            <v>Mankey</v>
          </cell>
          <cell r="C57" t="str">
            <v>Fighting</v>
          </cell>
          <cell r="E57">
            <v>305</v>
          </cell>
          <cell r="F57">
            <v>40</v>
          </cell>
          <cell r="G57">
            <v>80</v>
          </cell>
          <cell r="H57">
            <v>35</v>
          </cell>
          <cell r="I57">
            <v>35</v>
          </cell>
          <cell r="J57">
            <v>45</v>
          </cell>
          <cell r="K57">
            <v>70</v>
          </cell>
          <cell r="L57">
            <v>1</v>
          </cell>
          <cell r="M57" t="b">
            <v>0</v>
          </cell>
        </row>
        <row r="58">
          <cell r="A58">
            <v>57</v>
          </cell>
          <cell r="B58" t="str">
            <v>Primeape</v>
          </cell>
          <cell r="C58" t="str">
            <v>Fighting</v>
          </cell>
          <cell r="E58">
            <v>455</v>
          </cell>
          <cell r="F58">
            <v>65</v>
          </cell>
          <cell r="G58">
            <v>105</v>
          </cell>
          <cell r="H58">
            <v>60</v>
          </cell>
          <cell r="I58">
            <v>60</v>
          </cell>
          <cell r="J58">
            <v>70</v>
          </cell>
          <cell r="K58">
            <v>95</v>
          </cell>
          <cell r="L58">
            <v>1</v>
          </cell>
          <cell r="M58" t="b">
            <v>0</v>
          </cell>
        </row>
        <row r="59">
          <cell r="A59">
            <v>58</v>
          </cell>
          <cell r="B59" t="str">
            <v>Growlithe</v>
          </cell>
          <cell r="C59" t="str">
            <v>Fire</v>
          </cell>
          <cell r="E59">
            <v>350</v>
          </cell>
          <cell r="F59">
            <v>55</v>
          </cell>
          <cell r="G59">
            <v>70</v>
          </cell>
          <cell r="H59">
            <v>45</v>
          </cell>
          <cell r="I59">
            <v>70</v>
          </cell>
          <cell r="J59">
            <v>50</v>
          </cell>
          <cell r="K59">
            <v>60</v>
          </cell>
          <cell r="L59">
            <v>1</v>
          </cell>
          <cell r="M59" t="b">
            <v>0</v>
          </cell>
        </row>
        <row r="60">
          <cell r="A60">
            <v>59</v>
          </cell>
          <cell r="B60" t="str">
            <v>Arcanine</v>
          </cell>
          <cell r="C60" t="str">
            <v>Fire</v>
          </cell>
          <cell r="E60">
            <v>555</v>
          </cell>
          <cell r="F60">
            <v>90</v>
          </cell>
          <cell r="G60">
            <v>110</v>
          </cell>
          <cell r="H60">
            <v>80</v>
          </cell>
          <cell r="I60">
            <v>100</v>
          </cell>
          <cell r="J60">
            <v>80</v>
          </cell>
          <cell r="K60">
            <v>95</v>
          </cell>
          <cell r="L60">
            <v>1</v>
          </cell>
          <cell r="M60" t="b">
            <v>0</v>
          </cell>
        </row>
        <row r="61">
          <cell r="A61">
            <v>60</v>
          </cell>
          <cell r="B61" t="str">
            <v>Poliwag</v>
          </cell>
          <cell r="C61" t="str">
            <v>Water</v>
          </cell>
          <cell r="E61">
            <v>300</v>
          </cell>
          <cell r="F61">
            <v>40</v>
          </cell>
          <cell r="G61">
            <v>50</v>
          </cell>
          <cell r="H61">
            <v>40</v>
          </cell>
          <cell r="I61">
            <v>40</v>
          </cell>
          <cell r="J61">
            <v>40</v>
          </cell>
          <cell r="K61">
            <v>90</v>
          </cell>
          <cell r="L61">
            <v>1</v>
          </cell>
          <cell r="M61" t="b">
            <v>0</v>
          </cell>
        </row>
        <row r="62">
          <cell r="A62">
            <v>61</v>
          </cell>
          <cell r="B62" t="str">
            <v>Poliwhirl</v>
          </cell>
          <cell r="C62" t="str">
            <v>Water</v>
          </cell>
          <cell r="E62">
            <v>385</v>
          </cell>
          <cell r="F62">
            <v>65</v>
          </cell>
          <cell r="G62">
            <v>65</v>
          </cell>
          <cell r="H62">
            <v>65</v>
          </cell>
          <cell r="I62">
            <v>50</v>
          </cell>
          <cell r="J62">
            <v>50</v>
          </cell>
          <cell r="K62">
            <v>90</v>
          </cell>
          <cell r="L62">
            <v>1</v>
          </cell>
          <cell r="M62" t="b">
            <v>0</v>
          </cell>
        </row>
        <row r="63">
          <cell r="A63">
            <v>62</v>
          </cell>
          <cell r="B63" t="str">
            <v>Poliwrath</v>
          </cell>
          <cell r="C63" t="str">
            <v>Water</v>
          </cell>
          <cell r="D63" t="str">
            <v>Fighting</v>
          </cell>
          <cell r="E63">
            <v>510</v>
          </cell>
          <cell r="F63">
            <v>90</v>
          </cell>
          <cell r="G63">
            <v>95</v>
          </cell>
          <cell r="H63">
            <v>95</v>
          </cell>
          <cell r="I63">
            <v>70</v>
          </cell>
          <cell r="J63">
            <v>90</v>
          </cell>
          <cell r="K63">
            <v>70</v>
          </cell>
          <cell r="L63">
            <v>1</v>
          </cell>
          <cell r="M63" t="b">
            <v>0</v>
          </cell>
        </row>
        <row r="64">
          <cell r="A64">
            <v>63</v>
          </cell>
          <cell r="B64" t="str">
            <v>Abra</v>
          </cell>
          <cell r="C64" t="str">
            <v>Psychic</v>
          </cell>
          <cell r="E64">
            <v>310</v>
          </cell>
          <cell r="F64">
            <v>25</v>
          </cell>
          <cell r="G64">
            <v>20</v>
          </cell>
          <cell r="H64">
            <v>15</v>
          </cell>
          <cell r="I64">
            <v>105</v>
          </cell>
          <cell r="J64">
            <v>55</v>
          </cell>
          <cell r="K64">
            <v>90</v>
          </cell>
          <cell r="L64">
            <v>1</v>
          </cell>
          <cell r="M64" t="b">
            <v>0</v>
          </cell>
        </row>
        <row r="65">
          <cell r="A65">
            <v>64</v>
          </cell>
          <cell r="B65" t="str">
            <v>Kadabra</v>
          </cell>
          <cell r="C65" t="str">
            <v>Psychic</v>
          </cell>
          <cell r="E65">
            <v>400</v>
          </cell>
          <cell r="F65">
            <v>40</v>
          </cell>
          <cell r="G65">
            <v>35</v>
          </cell>
          <cell r="H65">
            <v>30</v>
          </cell>
          <cell r="I65">
            <v>120</v>
          </cell>
          <cell r="J65">
            <v>70</v>
          </cell>
          <cell r="K65">
            <v>105</v>
          </cell>
          <cell r="L65">
            <v>1</v>
          </cell>
          <cell r="M65" t="b">
            <v>0</v>
          </cell>
        </row>
        <row r="66">
          <cell r="A66">
            <v>65</v>
          </cell>
          <cell r="B66" t="str">
            <v>Alakazam</v>
          </cell>
          <cell r="C66" t="str">
            <v>Psychic</v>
          </cell>
          <cell r="E66">
            <v>500</v>
          </cell>
          <cell r="F66">
            <v>55</v>
          </cell>
          <cell r="G66">
            <v>50</v>
          </cell>
          <cell r="H66">
            <v>45</v>
          </cell>
          <cell r="I66">
            <v>135</v>
          </cell>
          <cell r="J66">
            <v>95</v>
          </cell>
          <cell r="K66">
            <v>120</v>
          </cell>
          <cell r="L66">
            <v>1</v>
          </cell>
          <cell r="M66" t="b">
            <v>0</v>
          </cell>
        </row>
        <row r="67">
          <cell r="A67">
            <v>66</v>
          </cell>
          <cell r="B67" t="str">
            <v>Machop</v>
          </cell>
          <cell r="C67" t="str">
            <v>Fighting</v>
          </cell>
          <cell r="E67">
            <v>305</v>
          </cell>
          <cell r="F67">
            <v>70</v>
          </cell>
          <cell r="G67">
            <v>80</v>
          </cell>
          <cell r="H67">
            <v>50</v>
          </cell>
          <cell r="I67">
            <v>35</v>
          </cell>
          <cell r="J67">
            <v>35</v>
          </cell>
          <cell r="K67">
            <v>35</v>
          </cell>
          <cell r="L67">
            <v>1</v>
          </cell>
          <cell r="M67" t="b">
            <v>0</v>
          </cell>
        </row>
        <row r="68">
          <cell r="A68">
            <v>67</v>
          </cell>
          <cell r="B68" t="str">
            <v>Machoke</v>
          </cell>
          <cell r="C68" t="str">
            <v>Fighting</v>
          </cell>
          <cell r="E68">
            <v>405</v>
          </cell>
          <cell r="F68">
            <v>80</v>
          </cell>
          <cell r="G68">
            <v>100</v>
          </cell>
          <cell r="H68">
            <v>70</v>
          </cell>
          <cell r="I68">
            <v>50</v>
          </cell>
          <cell r="J68">
            <v>60</v>
          </cell>
          <cell r="K68">
            <v>45</v>
          </cell>
          <cell r="L68">
            <v>1</v>
          </cell>
          <cell r="M68" t="b">
            <v>0</v>
          </cell>
        </row>
        <row r="69">
          <cell r="A69">
            <v>68</v>
          </cell>
          <cell r="B69" t="str">
            <v>Machamp</v>
          </cell>
          <cell r="C69" t="str">
            <v>Fighting</v>
          </cell>
          <cell r="E69">
            <v>505</v>
          </cell>
          <cell r="F69">
            <v>90</v>
          </cell>
          <cell r="G69">
            <v>130</v>
          </cell>
          <cell r="H69">
            <v>80</v>
          </cell>
          <cell r="I69">
            <v>65</v>
          </cell>
          <cell r="J69">
            <v>85</v>
          </cell>
          <cell r="K69">
            <v>55</v>
          </cell>
          <cell r="L69">
            <v>1</v>
          </cell>
          <cell r="M69" t="b">
            <v>0</v>
          </cell>
        </row>
        <row r="70">
          <cell r="A70">
            <v>69</v>
          </cell>
          <cell r="B70" t="str">
            <v>Bellsprout</v>
          </cell>
          <cell r="C70" t="str">
            <v>Grass</v>
          </cell>
          <cell r="D70" t="str">
            <v>Poison</v>
          </cell>
          <cell r="E70">
            <v>300</v>
          </cell>
          <cell r="F70">
            <v>50</v>
          </cell>
          <cell r="G70">
            <v>75</v>
          </cell>
          <cell r="H70">
            <v>35</v>
          </cell>
          <cell r="I70">
            <v>70</v>
          </cell>
          <cell r="J70">
            <v>30</v>
          </cell>
          <cell r="K70">
            <v>40</v>
          </cell>
          <cell r="L70">
            <v>1</v>
          </cell>
          <cell r="M70" t="b">
            <v>0</v>
          </cell>
        </row>
        <row r="71">
          <cell r="A71">
            <v>70</v>
          </cell>
          <cell r="B71" t="str">
            <v>Weepinbell</v>
          </cell>
          <cell r="C71" t="str">
            <v>Grass</v>
          </cell>
          <cell r="D71" t="str">
            <v>Poison</v>
          </cell>
          <cell r="E71">
            <v>390</v>
          </cell>
          <cell r="F71">
            <v>65</v>
          </cell>
          <cell r="G71">
            <v>90</v>
          </cell>
          <cell r="H71">
            <v>50</v>
          </cell>
          <cell r="I71">
            <v>85</v>
          </cell>
          <cell r="J71">
            <v>45</v>
          </cell>
          <cell r="K71">
            <v>55</v>
          </cell>
          <cell r="L71">
            <v>1</v>
          </cell>
          <cell r="M71" t="b">
            <v>0</v>
          </cell>
        </row>
        <row r="72">
          <cell r="A72">
            <v>71</v>
          </cell>
          <cell r="B72" t="str">
            <v>Victreebel</v>
          </cell>
          <cell r="C72" t="str">
            <v>Grass</v>
          </cell>
          <cell r="D72" t="str">
            <v>Poison</v>
          </cell>
          <cell r="E72">
            <v>490</v>
          </cell>
          <cell r="F72">
            <v>80</v>
          </cell>
          <cell r="G72">
            <v>105</v>
          </cell>
          <cell r="H72">
            <v>65</v>
          </cell>
          <cell r="I72">
            <v>100</v>
          </cell>
          <cell r="J72">
            <v>70</v>
          </cell>
          <cell r="K72">
            <v>70</v>
          </cell>
          <cell r="L72">
            <v>1</v>
          </cell>
          <cell r="M72" t="b">
            <v>0</v>
          </cell>
        </row>
        <row r="73">
          <cell r="A73">
            <v>72</v>
          </cell>
          <cell r="B73" t="str">
            <v>Tentacool</v>
          </cell>
          <cell r="C73" t="str">
            <v>Water</v>
          </cell>
          <cell r="D73" t="str">
            <v>Poison</v>
          </cell>
          <cell r="E73">
            <v>335</v>
          </cell>
          <cell r="F73">
            <v>40</v>
          </cell>
          <cell r="G73">
            <v>40</v>
          </cell>
          <cell r="H73">
            <v>35</v>
          </cell>
          <cell r="I73">
            <v>50</v>
          </cell>
          <cell r="J73">
            <v>100</v>
          </cell>
          <cell r="K73">
            <v>70</v>
          </cell>
          <cell r="L73">
            <v>1</v>
          </cell>
          <cell r="M73" t="b">
            <v>0</v>
          </cell>
        </row>
        <row r="74">
          <cell r="A74">
            <v>73</v>
          </cell>
          <cell r="B74" t="str">
            <v>Tentacruel</v>
          </cell>
          <cell r="C74" t="str">
            <v>Water</v>
          </cell>
          <cell r="D74" t="str">
            <v>Poison</v>
          </cell>
          <cell r="E74">
            <v>515</v>
          </cell>
          <cell r="F74">
            <v>80</v>
          </cell>
          <cell r="G74">
            <v>70</v>
          </cell>
          <cell r="H74">
            <v>65</v>
          </cell>
          <cell r="I74">
            <v>80</v>
          </cell>
          <cell r="J74">
            <v>120</v>
          </cell>
          <cell r="K74">
            <v>100</v>
          </cell>
          <cell r="L74">
            <v>1</v>
          </cell>
          <cell r="M74" t="b">
            <v>0</v>
          </cell>
        </row>
        <row r="75">
          <cell r="A75">
            <v>74</v>
          </cell>
          <cell r="B75" t="str">
            <v>Geodude</v>
          </cell>
          <cell r="C75" t="str">
            <v>Rock</v>
          </cell>
          <cell r="D75" t="str">
            <v>Ground</v>
          </cell>
          <cell r="E75">
            <v>300</v>
          </cell>
          <cell r="F75">
            <v>40</v>
          </cell>
          <cell r="G75">
            <v>80</v>
          </cell>
          <cell r="H75">
            <v>100</v>
          </cell>
          <cell r="I75">
            <v>30</v>
          </cell>
          <cell r="J75">
            <v>30</v>
          </cell>
          <cell r="K75">
            <v>20</v>
          </cell>
          <cell r="L75">
            <v>1</v>
          </cell>
          <cell r="M75" t="b">
            <v>0</v>
          </cell>
        </row>
        <row r="76">
          <cell r="A76">
            <v>75</v>
          </cell>
          <cell r="B76" t="str">
            <v>Graveler</v>
          </cell>
          <cell r="C76" t="str">
            <v>Rock</v>
          </cell>
          <cell r="D76" t="str">
            <v>Ground</v>
          </cell>
          <cell r="E76">
            <v>390</v>
          </cell>
          <cell r="F76">
            <v>55</v>
          </cell>
          <cell r="G76">
            <v>95</v>
          </cell>
          <cell r="H76">
            <v>115</v>
          </cell>
          <cell r="I76">
            <v>45</v>
          </cell>
          <cell r="J76">
            <v>45</v>
          </cell>
          <cell r="K76">
            <v>35</v>
          </cell>
          <cell r="L76">
            <v>1</v>
          </cell>
          <cell r="M76" t="b">
            <v>0</v>
          </cell>
        </row>
        <row r="77">
          <cell r="A77">
            <v>76</v>
          </cell>
          <cell r="B77" t="str">
            <v>Golem</v>
          </cell>
          <cell r="C77" t="str">
            <v>Rock</v>
          </cell>
          <cell r="D77" t="str">
            <v>Ground</v>
          </cell>
          <cell r="E77">
            <v>495</v>
          </cell>
          <cell r="F77">
            <v>80</v>
          </cell>
          <cell r="G77">
            <v>120</v>
          </cell>
          <cell r="H77">
            <v>130</v>
          </cell>
          <cell r="I77">
            <v>55</v>
          </cell>
          <cell r="J77">
            <v>65</v>
          </cell>
          <cell r="K77">
            <v>45</v>
          </cell>
          <cell r="L77">
            <v>1</v>
          </cell>
          <cell r="M77" t="b">
            <v>0</v>
          </cell>
        </row>
        <row r="78">
          <cell r="A78">
            <v>77</v>
          </cell>
          <cell r="B78" t="str">
            <v>Ponyta</v>
          </cell>
          <cell r="C78" t="str">
            <v>Fire</v>
          </cell>
          <cell r="E78">
            <v>410</v>
          </cell>
          <cell r="F78">
            <v>50</v>
          </cell>
          <cell r="G78">
            <v>85</v>
          </cell>
          <cell r="H78">
            <v>55</v>
          </cell>
          <cell r="I78">
            <v>65</v>
          </cell>
          <cell r="J78">
            <v>65</v>
          </cell>
          <cell r="K78">
            <v>90</v>
          </cell>
          <cell r="L78">
            <v>1</v>
          </cell>
          <cell r="M78" t="b">
            <v>0</v>
          </cell>
        </row>
        <row r="79">
          <cell r="A79">
            <v>78</v>
          </cell>
          <cell r="B79" t="str">
            <v>Rapidash</v>
          </cell>
          <cell r="C79" t="str">
            <v>Fire</v>
          </cell>
          <cell r="E79">
            <v>500</v>
          </cell>
          <cell r="F79">
            <v>65</v>
          </cell>
          <cell r="G79">
            <v>100</v>
          </cell>
          <cell r="H79">
            <v>70</v>
          </cell>
          <cell r="I79">
            <v>80</v>
          </cell>
          <cell r="J79">
            <v>80</v>
          </cell>
          <cell r="K79">
            <v>105</v>
          </cell>
          <cell r="L79">
            <v>1</v>
          </cell>
          <cell r="M79" t="b">
            <v>0</v>
          </cell>
        </row>
        <row r="80">
          <cell r="A80">
            <v>79</v>
          </cell>
          <cell r="B80" t="str">
            <v>Slowpoke</v>
          </cell>
          <cell r="C80" t="str">
            <v>Water</v>
          </cell>
          <cell r="D80" t="str">
            <v>Psychic</v>
          </cell>
          <cell r="E80">
            <v>315</v>
          </cell>
          <cell r="F80">
            <v>90</v>
          </cell>
          <cell r="G80">
            <v>65</v>
          </cell>
          <cell r="H80">
            <v>65</v>
          </cell>
          <cell r="I80">
            <v>40</v>
          </cell>
          <cell r="J80">
            <v>40</v>
          </cell>
          <cell r="K80">
            <v>15</v>
          </cell>
          <cell r="L80">
            <v>1</v>
          </cell>
          <cell r="M80" t="b">
            <v>0</v>
          </cell>
        </row>
        <row r="81">
          <cell r="A81">
            <v>80</v>
          </cell>
          <cell r="B81" t="str">
            <v>Slowbro</v>
          </cell>
          <cell r="C81" t="str">
            <v>Water</v>
          </cell>
          <cell r="D81" t="str">
            <v>Psychic</v>
          </cell>
          <cell r="E81">
            <v>490</v>
          </cell>
          <cell r="F81">
            <v>95</v>
          </cell>
          <cell r="G81">
            <v>75</v>
          </cell>
          <cell r="H81">
            <v>110</v>
          </cell>
          <cell r="I81">
            <v>100</v>
          </cell>
          <cell r="J81">
            <v>80</v>
          </cell>
          <cell r="K81">
            <v>30</v>
          </cell>
          <cell r="L81">
            <v>1</v>
          </cell>
          <cell r="M81" t="b">
            <v>0</v>
          </cell>
        </row>
        <row r="82">
          <cell r="A82">
            <v>81</v>
          </cell>
          <cell r="B82" t="str">
            <v>Magnemite</v>
          </cell>
          <cell r="C82" t="str">
            <v>Electric</v>
          </cell>
          <cell r="D82" t="str">
            <v>Steel</v>
          </cell>
          <cell r="E82">
            <v>325</v>
          </cell>
          <cell r="F82">
            <v>25</v>
          </cell>
          <cell r="G82">
            <v>35</v>
          </cell>
          <cell r="H82">
            <v>70</v>
          </cell>
          <cell r="I82">
            <v>95</v>
          </cell>
          <cell r="J82">
            <v>55</v>
          </cell>
          <cell r="K82">
            <v>45</v>
          </cell>
          <cell r="L82">
            <v>1</v>
          </cell>
          <cell r="M82" t="b">
            <v>0</v>
          </cell>
        </row>
        <row r="83">
          <cell r="A83">
            <v>82</v>
          </cell>
          <cell r="B83" t="str">
            <v>Magneton</v>
          </cell>
          <cell r="C83" t="str">
            <v>Electric</v>
          </cell>
          <cell r="D83" t="str">
            <v>Steel</v>
          </cell>
          <cell r="E83">
            <v>465</v>
          </cell>
          <cell r="F83">
            <v>50</v>
          </cell>
          <cell r="G83">
            <v>60</v>
          </cell>
          <cell r="H83">
            <v>95</v>
          </cell>
          <cell r="I83">
            <v>120</v>
          </cell>
          <cell r="J83">
            <v>70</v>
          </cell>
          <cell r="K83">
            <v>70</v>
          </cell>
          <cell r="L83">
            <v>1</v>
          </cell>
          <cell r="M83" t="b">
            <v>0</v>
          </cell>
        </row>
        <row r="84">
          <cell r="A84">
            <v>83</v>
          </cell>
          <cell r="B84" t="str">
            <v>Farfetchd</v>
          </cell>
          <cell r="C84" t="str">
            <v>Normal</v>
          </cell>
          <cell r="D84" t="str">
            <v>Flying</v>
          </cell>
          <cell r="E84">
            <v>352</v>
          </cell>
          <cell r="F84">
            <v>52</v>
          </cell>
          <cell r="G84">
            <v>65</v>
          </cell>
          <cell r="H84">
            <v>55</v>
          </cell>
          <cell r="I84">
            <v>58</v>
          </cell>
          <cell r="J84">
            <v>62</v>
          </cell>
          <cell r="K84">
            <v>60</v>
          </cell>
          <cell r="L84">
            <v>1</v>
          </cell>
          <cell r="M84" t="b">
            <v>0</v>
          </cell>
        </row>
        <row r="85">
          <cell r="A85">
            <v>84</v>
          </cell>
          <cell r="B85" t="str">
            <v>Doduo</v>
          </cell>
          <cell r="C85" t="str">
            <v>Normal</v>
          </cell>
          <cell r="D85" t="str">
            <v>Flying</v>
          </cell>
          <cell r="E85">
            <v>310</v>
          </cell>
          <cell r="F85">
            <v>35</v>
          </cell>
          <cell r="G85">
            <v>85</v>
          </cell>
          <cell r="H85">
            <v>45</v>
          </cell>
          <cell r="I85">
            <v>35</v>
          </cell>
          <cell r="J85">
            <v>35</v>
          </cell>
          <cell r="K85">
            <v>75</v>
          </cell>
          <cell r="L85">
            <v>1</v>
          </cell>
          <cell r="M85" t="b">
            <v>0</v>
          </cell>
        </row>
        <row r="86">
          <cell r="A86">
            <v>85</v>
          </cell>
          <cell r="B86" t="str">
            <v>Dodrio</v>
          </cell>
          <cell r="C86" t="str">
            <v>Normal</v>
          </cell>
          <cell r="D86" t="str">
            <v>Flying</v>
          </cell>
          <cell r="E86">
            <v>460</v>
          </cell>
          <cell r="F86">
            <v>60</v>
          </cell>
          <cell r="G86">
            <v>110</v>
          </cell>
          <cell r="H86">
            <v>70</v>
          </cell>
          <cell r="I86">
            <v>60</v>
          </cell>
          <cell r="J86">
            <v>60</v>
          </cell>
          <cell r="K86">
            <v>100</v>
          </cell>
          <cell r="L86">
            <v>1</v>
          </cell>
          <cell r="M86" t="b">
            <v>0</v>
          </cell>
        </row>
        <row r="87">
          <cell r="A87">
            <v>86</v>
          </cell>
          <cell r="B87" t="str">
            <v>Seel</v>
          </cell>
          <cell r="C87" t="str">
            <v>Water</v>
          </cell>
          <cell r="E87">
            <v>325</v>
          </cell>
          <cell r="F87">
            <v>65</v>
          </cell>
          <cell r="G87">
            <v>45</v>
          </cell>
          <cell r="H87">
            <v>55</v>
          </cell>
          <cell r="I87">
            <v>45</v>
          </cell>
          <cell r="J87">
            <v>70</v>
          </cell>
          <cell r="K87">
            <v>45</v>
          </cell>
          <cell r="L87">
            <v>1</v>
          </cell>
          <cell r="M87" t="b">
            <v>0</v>
          </cell>
        </row>
        <row r="88">
          <cell r="A88">
            <v>87</v>
          </cell>
          <cell r="B88" t="str">
            <v>Dewgong</v>
          </cell>
          <cell r="C88" t="str">
            <v>Water</v>
          </cell>
          <cell r="D88" t="str">
            <v>Ice</v>
          </cell>
          <cell r="E88">
            <v>475</v>
          </cell>
          <cell r="F88">
            <v>90</v>
          </cell>
          <cell r="G88">
            <v>70</v>
          </cell>
          <cell r="H88">
            <v>80</v>
          </cell>
          <cell r="I88">
            <v>70</v>
          </cell>
          <cell r="J88">
            <v>95</v>
          </cell>
          <cell r="K88">
            <v>70</v>
          </cell>
          <cell r="L88">
            <v>1</v>
          </cell>
          <cell r="M88" t="b">
            <v>0</v>
          </cell>
        </row>
        <row r="89">
          <cell r="A89">
            <v>88</v>
          </cell>
          <cell r="B89" t="str">
            <v>Grimer</v>
          </cell>
          <cell r="C89" t="str">
            <v>Poison</v>
          </cell>
          <cell r="E89">
            <v>325</v>
          </cell>
          <cell r="F89">
            <v>80</v>
          </cell>
          <cell r="G89">
            <v>80</v>
          </cell>
          <cell r="H89">
            <v>50</v>
          </cell>
          <cell r="I89">
            <v>40</v>
          </cell>
          <cell r="J89">
            <v>50</v>
          </cell>
          <cell r="K89">
            <v>25</v>
          </cell>
          <cell r="L89">
            <v>1</v>
          </cell>
          <cell r="M89" t="b">
            <v>0</v>
          </cell>
        </row>
        <row r="90">
          <cell r="A90">
            <v>89</v>
          </cell>
          <cell r="B90" t="str">
            <v>Muk</v>
          </cell>
          <cell r="C90" t="str">
            <v>Poison</v>
          </cell>
          <cell r="E90">
            <v>500</v>
          </cell>
          <cell r="F90">
            <v>105</v>
          </cell>
          <cell r="G90">
            <v>105</v>
          </cell>
          <cell r="H90">
            <v>75</v>
          </cell>
          <cell r="I90">
            <v>65</v>
          </cell>
          <cell r="J90">
            <v>100</v>
          </cell>
          <cell r="K90">
            <v>50</v>
          </cell>
          <cell r="L90">
            <v>1</v>
          </cell>
          <cell r="M90" t="b">
            <v>0</v>
          </cell>
        </row>
        <row r="91">
          <cell r="A91">
            <v>90</v>
          </cell>
          <cell r="B91" t="str">
            <v>Shellder</v>
          </cell>
          <cell r="C91" t="str">
            <v>Water</v>
          </cell>
          <cell r="E91">
            <v>305</v>
          </cell>
          <cell r="F91">
            <v>30</v>
          </cell>
          <cell r="G91">
            <v>65</v>
          </cell>
          <cell r="H91">
            <v>100</v>
          </cell>
          <cell r="I91">
            <v>45</v>
          </cell>
          <cell r="J91">
            <v>25</v>
          </cell>
          <cell r="K91">
            <v>40</v>
          </cell>
          <cell r="L91">
            <v>1</v>
          </cell>
          <cell r="M91" t="b">
            <v>0</v>
          </cell>
        </row>
        <row r="92">
          <cell r="A92">
            <v>91</v>
          </cell>
          <cell r="B92" t="str">
            <v>Cloyster</v>
          </cell>
          <cell r="C92" t="str">
            <v>Water</v>
          </cell>
          <cell r="D92" t="str">
            <v>Ice</v>
          </cell>
          <cell r="E92">
            <v>525</v>
          </cell>
          <cell r="F92">
            <v>50</v>
          </cell>
          <cell r="G92">
            <v>95</v>
          </cell>
          <cell r="H92">
            <v>180</v>
          </cell>
          <cell r="I92">
            <v>85</v>
          </cell>
          <cell r="J92">
            <v>45</v>
          </cell>
          <cell r="K92">
            <v>70</v>
          </cell>
          <cell r="L92">
            <v>1</v>
          </cell>
          <cell r="M92" t="b">
            <v>0</v>
          </cell>
        </row>
        <row r="93">
          <cell r="A93">
            <v>92</v>
          </cell>
          <cell r="B93" t="str">
            <v>Gastly</v>
          </cell>
          <cell r="C93" t="str">
            <v>Ghost</v>
          </cell>
          <cell r="D93" t="str">
            <v>Poison</v>
          </cell>
          <cell r="E93">
            <v>310</v>
          </cell>
          <cell r="F93">
            <v>30</v>
          </cell>
          <cell r="G93">
            <v>35</v>
          </cell>
          <cell r="H93">
            <v>30</v>
          </cell>
          <cell r="I93">
            <v>100</v>
          </cell>
          <cell r="J93">
            <v>35</v>
          </cell>
          <cell r="K93">
            <v>80</v>
          </cell>
          <cell r="L93">
            <v>1</v>
          </cell>
          <cell r="M93" t="b">
            <v>0</v>
          </cell>
        </row>
        <row r="94">
          <cell r="A94">
            <v>93</v>
          </cell>
          <cell r="B94" t="str">
            <v>Haunter</v>
          </cell>
          <cell r="C94" t="str">
            <v>Ghost</v>
          </cell>
          <cell r="D94" t="str">
            <v>Poison</v>
          </cell>
          <cell r="E94">
            <v>405</v>
          </cell>
          <cell r="F94">
            <v>45</v>
          </cell>
          <cell r="G94">
            <v>50</v>
          </cell>
          <cell r="H94">
            <v>45</v>
          </cell>
          <cell r="I94">
            <v>115</v>
          </cell>
          <cell r="J94">
            <v>55</v>
          </cell>
          <cell r="K94">
            <v>95</v>
          </cell>
          <cell r="L94">
            <v>1</v>
          </cell>
          <cell r="M94" t="b">
            <v>0</v>
          </cell>
        </row>
        <row r="95">
          <cell r="A95">
            <v>94</v>
          </cell>
          <cell r="B95" t="str">
            <v>Gengar</v>
          </cell>
          <cell r="C95" t="str">
            <v>Ghost</v>
          </cell>
          <cell r="D95" t="str">
            <v>Poison</v>
          </cell>
          <cell r="E95">
            <v>500</v>
          </cell>
          <cell r="F95">
            <v>60</v>
          </cell>
          <cell r="G95">
            <v>65</v>
          </cell>
          <cell r="H95">
            <v>60</v>
          </cell>
          <cell r="I95">
            <v>130</v>
          </cell>
          <cell r="J95">
            <v>75</v>
          </cell>
          <cell r="K95">
            <v>110</v>
          </cell>
          <cell r="L95">
            <v>1</v>
          </cell>
          <cell r="M95" t="b">
            <v>0</v>
          </cell>
        </row>
        <row r="96">
          <cell r="A96">
            <v>95</v>
          </cell>
          <cell r="B96" t="str">
            <v>Onix</v>
          </cell>
          <cell r="C96" t="str">
            <v>Rock</v>
          </cell>
          <cell r="D96" t="str">
            <v>Ground</v>
          </cell>
          <cell r="E96">
            <v>385</v>
          </cell>
          <cell r="F96">
            <v>35</v>
          </cell>
          <cell r="G96">
            <v>45</v>
          </cell>
          <cell r="H96">
            <v>160</v>
          </cell>
          <cell r="I96">
            <v>30</v>
          </cell>
          <cell r="J96">
            <v>45</v>
          </cell>
          <cell r="K96">
            <v>70</v>
          </cell>
          <cell r="L96">
            <v>1</v>
          </cell>
          <cell r="M96" t="b">
            <v>0</v>
          </cell>
        </row>
        <row r="97">
          <cell r="A97">
            <v>96</v>
          </cell>
          <cell r="B97" t="str">
            <v>Drowzee</v>
          </cell>
          <cell r="C97" t="str">
            <v>Psychic</v>
          </cell>
          <cell r="E97">
            <v>328</v>
          </cell>
          <cell r="F97">
            <v>60</v>
          </cell>
          <cell r="G97">
            <v>48</v>
          </cell>
          <cell r="H97">
            <v>45</v>
          </cell>
          <cell r="I97">
            <v>43</v>
          </cell>
          <cell r="J97">
            <v>90</v>
          </cell>
          <cell r="K97">
            <v>42</v>
          </cell>
          <cell r="L97">
            <v>1</v>
          </cell>
          <cell r="M97" t="b">
            <v>0</v>
          </cell>
        </row>
        <row r="98">
          <cell r="A98">
            <v>97</v>
          </cell>
          <cell r="B98" t="str">
            <v>Hypno</v>
          </cell>
          <cell r="C98" t="str">
            <v>Psychic</v>
          </cell>
          <cell r="E98">
            <v>483</v>
          </cell>
          <cell r="F98">
            <v>85</v>
          </cell>
          <cell r="G98">
            <v>73</v>
          </cell>
          <cell r="H98">
            <v>70</v>
          </cell>
          <cell r="I98">
            <v>73</v>
          </cell>
          <cell r="J98">
            <v>115</v>
          </cell>
          <cell r="K98">
            <v>67</v>
          </cell>
          <cell r="L98">
            <v>1</v>
          </cell>
          <cell r="M98" t="b">
            <v>0</v>
          </cell>
        </row>
        <row r="99">
          <cell r="A99">
            <v>98</v>
          </cell>
          <cell r="B99" t="str">
            <v>Krabby</v>
          </cell>
          <cell r="C99" t="str">
            <v>Water</v>
          </cell>
          <cell r="E99">
            <v>325</v>
          </cell>
          <cell r="F99">
            <v>30</v>
          </cell>
          <cell r="G99">
            <v>105</v>
          </cell>
          <cell r="H99">
            <v>90</v>
          </cell>
          <cell r="I99">
            <v>25</v>
          </cell>
          <cell r="J99">
            <v>25</v>
          </cell>
          <cell r="K99">
            <v>50</v>
          </cell>
          <cell r="L99">
            <v>1</v>
          </cell>
          <cell r="M99" t="b">
            <v>0</v>
          </cell>
        </row>
        <row r="100">
          <cell r="A100">
            <v>99</v>
          </cell>
          <cell r="B100" t="str">
            <v>Kingler</v>
          </cell>
          <cell r="C100" t="str">
            <v>Water</v>
          </cell>
          <cell r="E100">
            <v>475</v>
          </cell>
          <cell r="F100">
            <v>55</v>
          </cell>
          <cell r="G100">
            <v>130</v>
          </cell>
          <cell r="H100">
            <v>115</v>
          </cell>
          <cell r="I100">
            <v>50</v>
          </cell>
          <cell r="J100">
            <v>50</v>
          </cell>
          <cell r="K100">
            <v>75</v>
          </cell>
          <cell r="L100">
            <v>1</v>
          </cell>
          <cell r="M100" t="b">
            <v>0</v>
          </cell>
        </row>
        <row r="101">
          <cell r="A101">
            <v>100</v>
          </cell>
          <cell r="B101" t="str">
            <v>Voltorb</v>
          </cell>
          <cell r="C101" t="str">
            <v>Electric</v>
          </cell>
          <cell r="E101">
            <v>330</v>
          </cell>
          <cell r="F101">
            <v>40</v>
          </cell>
          <cell r="G101">
            <v>30</v>
          </cell>
          <cell r="H101">
            <v>50</v>
          </cell>
          <cell r="I101">
            <v>55</v>
          </cell>
          <cell r="J101">
            <v>55</v>
          </cell>
          <cell r="K101">
            <v>100</v>
          </cell>
          <cell r="L101">
            <v>1</v>
          </cell>
          <cell r="M101" t="b">
            <v>0</v>
          </cell>
        </row>
        <row r="102">
          <cell r="A102">
            <v>101</v>
          </cell>
          <cell r="B102" t="str">
            <v>Electrode</v>
          </cell>
          <cell r="C102" t="str">
            <v>Electric</v>
          </cell>
          <cell r="E102">
            <v>480</v>
          </cell>
          <cell r="F102">
            <v>60</v>
          </cell>
          <cell r="G102">
            <v>50</v>
          </cell>
          <cell r="H102">
            <v>70</v>
          </cell>
          <cell r="I102">
            <v>80</v>
          </cell>
          <cell r="J102">
            <v>80</v>
          </cell>
          <cell r="K102">
            <v>140</v>
          </cell>
          <cell r="L102">
            <v>1</v>
          </cell>
          <cell r="M102" t="b">
            <v>0</v>
          </cell>
        </row>
        <row r="103">
          <cell r="A103">
            <v>102</v>
          </cell>
          <cell r="B103" t="str">
            <v>Exeggcute</v>
          </cell>
          <cell r="C103" t="str">
            <v>Grass</v>
          </cell>
          <cell r="D103" t="str">
            <v>Psychic</v>
          </cell>
          <cell r="E103">
            <v>325</v>
          </cell>
          <cell r="F103">
            <v>60</v>
          </cell>
          <cell r="G103">
            <v>40</v>
          </cell>
          <cell r="H103">
            <v>80</v>
          </cell>
          <cell r="I103">
            <v>60</v>
          </cell>
          <cell r="J103">
            <v>45</v>
          </cell>
          <cell r="K103">
            <v>40</v>
          </cell>
          <cell r="L103">
            <v>1</v>
          </cell>
          <cell r="M103" t="b">
            <v>0</v>
          </cell>
        </row>
        <row r="104">
          <cell r="A104">
            <v>103</v>
          </cell>
          <cell r="B104" t="str">
            <v>Exeggutor</v>
          </cell>
          <cell r="C104" t="str">
            <v>Grass</v>
          </cell>
          <cell r="D104" t="str">
            <v>Psychic</v>
          </cell>
          <cell r="E104">
            <v>520</v>
          </cell>
          <cell r="F104">
            <v>95</v>
          </cell>
          <cell r="G104">
            <v>95</v>
          </cell>
          <cell r="H104">
            <v>85</v>
          </cell>
          <cell r="I104">
            <v>125</v>
          </cell>
          <cell r="J104">
            <v>65</v>
          </cell>
          <cell r="K104">
            <v>55</v>
          </cell>
          <cell r="L104">
            <v>1</v>
          </cell>
          <cell r="M104" t="b">
            <v>0</v>
          </cell>
        </row>
        <row r="105">
          <cell r="A105">
            <v>104</v>
          </cell>
          <cell r="B105" t="str">
            <v>Cubone</v>
          </cell>
          <cell r="C105" t="str">
            <v>Ground</v>
          </cell>
          <cell r="E105">
            <v>320</v>
          </cell>
          <cell r="F105">
            <v>50</v>
          </cell>
          <cell r="G105">
            <v>50</v>
          </cell>
          <cell r="H105">
            <v>95</v>
          </cell>
          <cell r="I105">
            <v>40</v>
          </cell>
          <cell r="J105">
            <v>50</v>
          </cell>
          <cell r="K105">
            <v>35</v>
          </cell>
          <cell r="L105">
            <v>1</v>
          </cell>
          <cell r="M105" t="b">
            <v>0</v>
          </cell>
        </row>
        <row r="106">
          <cell r="A106">
            <v>105</v>
          </cell>
          <cell r="B106" t="str">
            <v>Marowak</v>
          </cell>
          <cell r="C106" t="str">
            <v>Ground</v>
          </cell>
          <cell r="E106">
            <v>425</v>
          </cell>
          <cell r="F106">
            <v>60</v>
          </cell>
          <cell r="G106">
            <v>80</v>
          </cell>
          <cell r="H106">
            <v>110</v>
          </cell>
          <cell r="I106">
            <v>50</v>
          </cell>
          <cell r="J106">
            <v>80</v>
          </cell>
          <cell r="K106">
            <v>45</v>
          </cell>
          <cell r="L106">
            <v>1</v>
          </cell>
          <cell r="M106" t="b">
            <v>0</v>
          </cell>
        </row>
        <row r="107">
          <cell r="A107">
            <v>106</v>
          </cell>
          <cell r="B107" t="str">
            <v>Hitmonlee</v>
          </cell>
          <cell r="C107" t="str">
            <v>Fighting</v>
          </cell>
          <cell r="E107">
            <v>455</v>
          </cell>
          <cell r="F107">
            <v>50</v>
          </cell>
          <cell r="G107">
            <v>120</v>
          </cell>
          <cell r="H107">
            <v>53</v>
          </cell>
          <cell r="I107">
            <v>35</v>
          </cell>
          <cell r="J107">
            <v>110</v>
          </cell>
          <cell r="K107">
            <v>87</v>
          </cell>
          <cell r="L107">
            <v>1</v>
          </cell>
          <cell r="M107" t="b">
            <v>0</v>
          </cell>
        </row>
        <row r="108">
          <cell r="A108">
            <v>107</v>
          </cell>
          <cell r="B108" t="str">
            <v>Hitmonchan</v>
          </cell>
          <cell r="C108" t="str">
            <v>Fighting</v>
          </cell>
          <cell r="E108">
            <v>455</v>
          </cell>
          <cell r="F108">
            <v>50</v>
          </cell>
          <cell r="G108">
            <v>105</v>
          </cell>
          <cell r="H108">
            <v>79</v>
          </cell>
          <cell r="I108">
            <v>35</v>
          </cell>
          <cell r="J108">
            <v>110</v>
          </cell>
          <cell r="K108">
            <v>76</v>
          </cell>
          <cell r="L108">
            <v>1</v>
          </cell>
          <cell r="M108" t="b">
            <v>0</v>
          </cell>
        </row>
        <row r="109">
          <cell r="A109">
            <v>108</v>
          </cell>
          <cell r="B109" t="str">
            <v>Lickitung</v>
          </cell>
          <cell r="C109" t="str">
            <v>Normal</v>
          </cell>
          <cell r="E109">
            <v>385</v>
          </cell>
          <cell r="F109">
            <v>90</v>
          </cell>
          <cell r="G109">
            <v>55</v>
          </cell>
          <cell r="H109">
            <v>75</v>
          </cell>
          <cell r="I109">
            <v>60</v>
          </cell>
          <cell r="J109">
            <v>75</v>
          </cell>
          <cell r="K109">
            <v>30</v>
          </cell>
          <cell r="L109">
            <v>1</v>
          </cell>
          <cell r="M109" t="b">
            <v>0</v>
          </cell>
        </row>
        <row r="110">
          <cell r="A110">
            <v>109</v>
          </cell>
          <cell r="B110" t="str">
            <v>Koffing</v>
          </cell>
          <cell r="C110" t="str">
            <v>Poison</v>
          </cell>
          <cell r="E110">
            <v>340</v>
          </cell>
          <cell r="F110">
            <v>40</v>
          </cell>
          <cell r="G110">
            <v>65</v>
          </cell>
          <cell r="H110">
            <v>95</v>
          </cell>
          <cell r="I110">
            <v>60</v>
          </cell>
          <cell r="J110">
            <v>45</v>
          </cell>
          <cell r="K110">
            <v>35</v>
          </cell>
          <cell r="L110">
            <v>1</v>
          </cell>
          <cell r="M110" t="b">
            <v>0</v>
          </cell>
        </row>
        <row r="111">
          <cell r="A111">
            <v>110</v>
          </cell>
          <cell r="B111" t="str">
            <v>Weezing</v>
          </cell>
          <cell r="C111" t="str">
            <v>Poison</v>
          </cell>
          <cell r="E111">
            <v>490</v>
          </cell>
          <cell r="F111">
            <v>65</v>
          </cell>
          <cell r="G111">
            <v>90</v>
          </cell>
          <cell r="H111">
            <v>120</v>
          </cell>
          <cell r="I111">
            <v>85</v>
          </cell>
          <cell r="J111">
            <v>70</v>
          </cell>
          <cell r="K111">
            <v>60</v>
          </cell>
          <cell r="L111">
            <v>1</v>
          </cell>
          <cell r="M111" t="b">
            <v>0</v>
          </cell>
        </row>
        <row r="112">
          <cell r="A112">
            <v>111</v>
          </cell>
          <cell r="B112" t="str">
            <v>Rhyhorn</v>
          </cell>
          <cell r="C112" t="str">
            <v>Ground</v>
          </cell>
          <cell r="D112" t="str">
            <v>Rock</v>
          </cell>
          <cell r="E112">
            <v>345</v>
          </cell>
          <cell r="F112">
            <v>80</v>
          </cell>
          <cell r="G112">
            <v>85</v>
          </cell>
          <cell r="H112">
            <v>95</v>
          </cell>
          <cell r="I112">
            <v>30</v>
          </cell>
          <cell r="J112">
            <v>30</v>
          </cell>
          <cell r="K112">
            <v>25</v>
          </cell>
          <cell r="L112">
            <v>1</v>
          </cell>
          <cell r="M112" t="b">
            <v>0</v>
          </cell>
        </row>
        <row r="113">
          <cell r="A113">
            <v>112</v>
          </cell>
          <cell r="B113" t="str">
            <v>Rhydon</v>
          </cell>
          <cell r="C113" t="str">
            <v>Ground</v>
          </cell>
          <cell r="D113" t="str">
            <v>Rock</v>
          </cell>
          <cell r="E113">
            <v>485</v>
          </cell>
          <cell r="F113">
            <v>105</v>
          </cell>
          <cell r="G113">
            <v>130</v>
          </cell>
          <cell r="H113">
            <v>120</v>
          </cell>
          <cell r="I113">
            <v>45</v>
          </cell>
          <cell r="J113">
            <v>45</v>
          </cell>
          <cell r="K113">
            <v>40</v>
          </cell>
          <cell r="L113">
            <v>1</v>
          </cell>
          <cell r="M113" t="b">
            <v>0</v>
          </cell>
        </row>
        <row r="114">
          <cell r="A114">
            <v>113</v>
          </cell>
          <cell r="B114" t="str">
            <v>Chansey</v>
          </cell>
          <cell r="C114" t="str">
            <v>Normal</v>
          </cell>
          <cell r="E114">
            <v>450</v>
          </cell>
          <cell r="F114">
            <v>250</v>
          </cell>
          <cell r="G114">
            <v>5</v>
          </cell>
          <cell r="H114">
            <v>5</v>
          </cell>
          <cell r="I114">
            <v>35</v>
          </cell>
          <cell r="J114">
            <v>105</v>
          </cell>
          <cell r="K114">
            <v>50</v>
          </cell>
          <cell r="L114">
            <v>1</v>
          </cell>
          <cell r="M114" t="b">
            <v>0</v>
          </cell>
        </row>
        <row r="115">
          <cell r="A115">
            <v>114</v>
          </cell>
          <cell r="B115" t="str">
            <v>Tangela</v>
          </cell>
          <cell r="C115" t="str">
            <v>Grass</v>
          </cell>
          <cell r="E115">
            <v>435</v>
          </cell>
          <cell r="F115">
            <v>65</v>
          </cell>
          <cell r="G115">
            <v>55</v>
          </cell>
          <cell r="H115">
            <v>115</v>
          </cell>
          <cell r="I115">
            <v>100</v>
          </cell>
          <cell r="J115">
            <v>40</v>
          </cell>
          <cell r="K115">
            <v>60</v>
          </cell>
          <cell r="L115">
            <v>1</v>
          </cell>
          <cell r="M115" t="b">
            <v>0</v>
          </cell>
        </row>
        <row r="116">
          <cell r="A116">
            <v>115</v>
          </cell>
          <cell r="B116" t="str">
            <v>Kangaskhan</v>
          </cell>
          <cell r="C116" t="str">
            <v>Normal</v>
          </cell>
          <cell r="E116">
            <v>490</v>
          </cell>
          <cell r="F116">
            <v>105</v>
          </cell>
          <cell r="G116">
            <v>95</v>
          </cell>
          <cell r="H116">
            <v>80</v>
          </cell>
          <cell r="I116">
            <v>40</v>
          </cell>
          <cell r="J116">
            <v>80</v>
          </cell>
          <cell r="K116">
            <v>90</v>
          </cell>
          <cell r="L116">
            <v>1</v>
          </cell>
          <cell r="M116" t="b">
            <v>0</v>
          </cell>
        </row>
        <row r="117">
          <cell r="A117">
            <v>116</v>
          </cell>
          <cell r="B117" t="str">
            <v>Horsea</v>
          </cell>
          <cell r="C117" t="str">
            <v>Water</v>
          </cell>
          <cell r="E117">
            <v>295</v>
          </cell>
          <cell r="F117">
            <v>30</v>
          </cell>
          <cell r="G117">
            <v>40</v>
          </cell>
          <cell r="H117">
            <v>70</v>
          </cell>
          <cell r="I117">
            <v>70</v>
          </cell>
          <cell r="J117">
            <v>25</v>
          </cell>
          <cell r="K117">
            <v>60</v>
          </cell>
          <cell r="L117">
            <v>1</v>
          </cell>
          <cell r="M117" t="b">
            <v>0</v>
          </cell>
        </row>
        <row r="118">
          <cell r="A118">
            <v>117</v>
          </cell>
          <cell r="B118" t="str">
            <v>Seadra</v>
          </cell>
          <cell r="C118" t="str">
            <v>Water</v>
          </cell>
          <cell r="E118">
            <v>440</v>
          </cell>
          <cell r="F118">
            <v>55</v>
          </cell>
          <cell r="G118">
            <v>65</v>
          </cell>
          <cell r="H118">
            <v>95</v>
          </cell>
          <cell r="I118">
            <v>95</v>
          </cell>
          <cell r="J118">
            <v>45</v>
          </cell>
          <cell r="K118">
            <v>85</v>
          </cell>
          <cell r="L118">
            <v>1</v>
          </cell>
          <cell r="M118" t="b">
            <v>0</v>
          </cell>
        </row>
        <row r="119">
          <cell r="A119">
            <v>118</v>
          </cell>
          <cell r="B119" t="str">
            <v>Goldeen</v>
          </cell>
          <cell r="C119" t="str">
            <v>Water</v>
          </cell>
          <cell r="E119">
            <v>320</v>
          </cell>
          <cell r="F119">
            <v>45</v>
          </cell>
          <cell r="G119">
            <v>67</v>
          </cell>
          <cell r="H119">
            <v>60</v>
          </cell>
          <cell r="I119">
            <v>35</v>
          </cell>
          <cell r="J119">
            <v>50</v>
          </cell>
          <cell r="K119">
            <v>63</v>
          </cell>
          <cell r="L119">
            <v>1</v>
          </cell>
          <cell r="M119" t="b">
            <v>0</v>
          </cell>
        </row>
        <row r="120">
          <cell r="A120">
            <v>119</v>
          </cell>
          <cell r="B120" t="str">
            <v>Seaking</v>
          </cell>
          <cell r="C120" t="str">
            <v>Water</v>
          </cell>
          <cell r="E120">
            <v>450</v>
          </cell>
          <cell r="F120">
            <v>80</v>
          </cell>
          <cell r="G120">
            <v>92</v>
          </cell>
          <cell r="H120">
            <v>65</v>
          </cell>
          <cell r="I120">
            <v>65</v>
          </cell>
          <cell r="J120">
            <v>80</v>
          </cell>
          <cell r="K120">
            <v>68</v>
          </cell>
          <cell r="L120">
            <v>1</v>
          </cell>
          <cell r="M120" t="b">
            <v>0</v>
          </cell>
        </row>
        <row r="121">
          <cell r="A121">
            <v>120</v>
          </cell>
          <cell r="B121" t="str">
            <v>Staryu</v>
          </cell>
          <cell r="C121" t="str">
            <v>Water</v>
          </cell>
          <cell r="E121">
            <v>340</v>
          </cell>
          <cell r="F121">
            <v>30</v>
          </cell>
          <cell r="G121">
            <v>45</v>
          </cell>
          <cell r="H121">
            <v>55</v>
          </cell>
          <cell r="I121">
            <v>70</v>
          </cell>
          <cell r="J121">
            <v>55</v>
          </cell>
          <cell r="K121">
            <v>85</v>
          </cell>
          <cell r="L121">
            <v>1</v>
          </cell>
          <cell r="M121" t="b">
            <v>0</v>
          </cell>
        </row>
        <row r="122">
          <cell r="A122">
            <v>121</v>
          </cell>
          <cell r="B122" t="str">
            <v>Starmie</v>
          </cell>
          <cell r="C122" t="str">
            <v>Water</v>
          </cell>
          <cell r="D122" t="str">
            <v>Psychic</v>
          </cell>
          <cell r="E122">
            <v>520</v>
          </cell>
          <cell r="F122">
            <v>60</v>
          </cell>
          <cell r="G122">
            <v>75</v>
          </cell>
          <cell r="H122">
            <v>85</v>
          </cell>
          <cell r="I122">
            <v>100</v>
          </cell>
          <cell r="J122">
            <v>85</v>
          </cell>
          <cell r="K122">
            <v>115</v>
          </cell>
          <cell r="L122">
            <v>1</v>
          </cell>
          <cell r="M122" t="b">
            <v>0</v>
          </cell>
        </row>
        <row r="123">
          <cell r="A123">
            <v>122</v>
          </cell>
          <cell r="B123" t="str">
            <v>MrMime</v>
          </cell>
          <cell r="C123" t="str">
            <v>Psychic</v>
          </cell>
          <cell r="D123" t="str">
            <v>Fairy</v>
          </cell>
          <cell r="E123">
            <v>460</v>
          </cell>
          <cell r="F123">
            <v>40</v>
          </cell>
          <cell r="G123">
            <v>45</v>
          </cell>
          <cell r="H123">
            <v>65</v>
          </cell>
          <cell r="I123">
            <v>100</v>
          </cell>
          <cell r="J123">
            <v>120</v>
          </cell>
          <cell r="K123">
            <v>90</v>
          </cell>
          <cell r="L123">
            <v>1</v>
          </cell>
          <cell r="M123" t="b">
            <v>0</v>
          </cell>
        </row>
        <row r="124">
          <cell r="A124">
            <v>123</v>
          </cell>
          <cell r="B124" t="str">
            <v>Scyther</v>
          </cell>
          <cell r="C124" t="str">
            <v>Bug</v>
          </cell>
          <cell r="D124" t="str">
            <v>Flying</v>
          </cell>
          <cell r="E124">
            <v>500</v>
          </cell>
          <cell r="F124">
            <v>70</v>
          </cell>
          <cell r="G124">
            <v>110</v>
          </cell>
          <cell r="H124">
            <v>80</v>
          </cell>
          <cell r="I124">
            <v>55</v>
          </cell>
          <cell r="J124">
            <v>80</v>
          </cell>
          <cell r="K124">
            <v>105</v>
          </cell>
          <cell r="L124">
            <v>1</v>
          </cell>
          <cell r="M124" t="b">
            <v>0</v>
          </cell>
        </row>
        <row r="125">
          <cell r="A125">
            <v>124</v>
          </cell>
          <cell r="B125" t="str">
            <v>Jynx</v>
          </cell>
          <cell r="C125" t="str">
            <v>Ice</v>
          </cell>
          <cell r="D125" t="str">
            <v>Psychic</v>
          </cell>
          <cell r="E125">
            <v>455</v>
          </cell>
          <cell r="F125">
            <v>65</v>
          </cell>
          <cell r="G125">
            <v>50</v>
          </cell>
          <cell r="H125">
            <v>35</v>
          </cell>
          <cell r="I125">
            <v>115</v>
          </cell>
          <cell r="J125">
            <v>95</v>
          </cell>
          <cell r="K125">
            <v>95</v>
          </cell>
          <cell r="L125">
            <v>1</v>
          </cell>
          <cell r="M125" t="b">
            <v>0</v>
          </cell>
        </row>
        <row r="126">
          <cell r="A126">
            <v>125</v>
          </cell>
          <cell r="B126" t="str">
            <v>Electabuzz</v>
          </cell>
          <cell r="C126" t="str">
            <v>Electric</v>
          </cell>
          <cell r="E126">
            <v>490</v>
          </cell>
          <cell r="F126">
            <v>65</v>
          </cell>
          <cell r="G126">
            <v>83</v>
          </cell>
          <cell r="H126">
            <v>57</v>
          </cell>
          <cell r="I126">
            <v>95</v>
          </cell>
          <cell r="J126">
            <v>85</v>
          </cell>
          <cell r="K126">
            <v>105</v>
          </cell>
          <cell r="L126">
            <v>1</v>
          </cell>
          <cell r="M126" t="b">
            <v>0</v>
          </cell>
        </row>
        <row r="127">
          <cell r="A127">
            <v>126</v>
          </cell>
          <cell r="B127" t="str">
            <v>Magmar</v>
          </cell>
          <cell r="C127" t="str">
            <v>Fire</v>
          </cell>
          <cell r="E127">
            <v>495</v>
          </cell>
          <cell r="F127">
            <v>65</v>
          </cell>
          <cell r="G127">
            <v>95</v>
          </cell>
          <cell r="H127">
            <v>57</v>
          </cell>
          <cell r="I127">
            <v>100</v>
          </cell>
          <cell r="J127">
            <v>85</v>
          </cell>
          <cell r="K127">
            <v>93</v>
          </cell>
          <cell r="L127">
            <v>1</v>
          </cell>
          <cell r="M127" t="b">
            <v>0</v>
          </cell>
        </row>
        <row r="128">
          <cell r="A128">
            <v>127</v>
          </cell>
          <cell r="B128" t="str">
            <v>Pinsir</v>
          </cell>
          <cell r="C128" t="str">
            <v>Bug</v>
          </cell>
          <cell r="E128">
            <v>500</v>
          </cell>
          <cell r="F128">
            <v>65</v>
          </cell>
          <cell r="G128">
            <v>125</v>
          </cell>
          <cell r="H128">
            <v>100</v>
          </cell>
          <cell r="I128">
            <v>55</v>
          </cell>
          <cell r="J128">
            <v>70</v>
          </cell>
          <cell r="K128">
            <v>85</v>
          </cell>
          <cell r="L128">
            <v>1</v>
          </cell>
          <cell r="M128" t="b">
            <v>0</v>
          </cell>
        </row>
        <row r="129">
          <cell r="A129">
            <v>128</v>
          </cell>
          <cell r="B129" t="str">
            <v>Tauros</v>
          </cell>
          <cell r="C129" t="str">
            <v>Normal</v>
          </cell>
          <cell r="E129">
            <v>490</v>
          </cell>
          <cell r="F129">
            <v>75</v>
          </cell>
          <cell r="G129">
            <v>100</v>
          </cell>
          <cell r="H129">
            <v>95</v>
          </cell>
          <cell r="I129">
            <v>40</v>
          </cell>
          <cell r="J129">
            <v>70</v>
          </cell>
          <cell r="K129">
            <v>110</v>
          </cell>
          <cell r="L129">
            <v>1</v>
          </cell>
          <cell r="M129" t="b">
            <v>0</v>
          </cell>
        </row>
        <row r="130">
          <cell r="A130">
            <v>129</v>
          </cell>
          <cell r="B130" t="str">
            <v>Magikarp</v>
          </cell>
          <cell r="C130" t="str">
            <v>Water</v>
          </cell>
          <cell r="E130">
            <v>200</v>
          </cell>
          <cell r="F130">
            <v>20</v>
          </cell>
          <cell r="G130">
            <v>10</v>
          </cell>
          <cell r="H130">
            <v>55</v>
          </cell>
          <cell r="I130">
            <v>15</v>
          </cell>
          <cell r="J130">
            <v>20</v>
          </cell>
          <cell r="K130">
            <v>80</v>
          </cell>
          <cell r="L130">
            <v>1</v>
          </cell>
          <cell r="M130" t="b">
            <v>0</v>
          </cell>
        </row>
        <row r="131">
          <cell r="A131">
            <v>130</v>
          </cell>
          <cell r="B131" t="str">
            <v>Gyarados</v>
          </cell>
          <cell r="C131" t="str">
            <v>Water</v>
          </cell>
          <cell r="D131" t="str">
            <v>Flying</v>
          </cell>
          <cell r="E131">
            <v>540</v>
          </cell>
          <cell r="F131">
            <v>95</v>
          </cell>
          <cell r="G131">
            <v>125</v>
          </cell>
          <cell r="H131">
            <v>79</v>
          </cell>
          <cell r="I131">
            <v>60</v>
          </cell>
          <cell r="J131">
            <v>100</v>
          </cell>
          <cell r="K131">
            <v>81</v>
          </cell>
          <cell r="L131">
            <v>1</v>
          </cell>
          <cell r="M131" t="b">
            <v>0</v>
          </cell>
        </row>
        <row r="132">
          <cell r="A132">
            <v>131</v>
          </cell>
          <cell r="B132" t="str">
            <v>Lapras</v>
          </cell>
          <cell r="C132" t="str">
            <v>Water</v>
          </cell>
          <cell r="D132" t="str">
            <v>Ice</v>
          </cell>
          <cell r="E132">
            <v>535</v>
          </cell>
          <cell r="F132">
            <v>130</v>
          </cell>
          <cell r="G132">
            <v>85</v>
          </cell>
          <cell r="H132">
            <v>80</v>
          </cell>
          <cell r="I132">
            <v>85</v>
          </cell>
          <cell r="J132">
            <v>95</v>
          </cell>
          <cell r="K132">
            <v>60</v>
          </cell>
          <cell r="L132">
            <v>1</v>
          </cell>
          <cell r="M132" t="b">
            <v>0</v>
          </cell>
        </row>
        <row r="133">
          <cell r="A133">
            <v>132</v>
          </cell>
          <cell r="B133" t="str">
            <v>Ditto</v>
          </cell>
          <cell r="C133" t="str">
            <v>Normal</v>
          </cell>
          <cell r="E133">
            <v>288</v>
          </cell>
          <cell r="F133">
            <v>48</v>
          </cell>
          <cell r="G133">
            <v>48</v>
          </cell>
          <cell r="H133">
            <v>48</v>
          </cell>
          <cell r="I133">
            <v>48</v>
          </cell>
          <cell r="J133">
            <v>48</v>
          </cell>
          <cell r="K133">
            <v>48</v>
          </cell>
          <cell r="L133">
            <v>1</v>
          </cell>
          <cell r="M133" t="b">
            <v>0</v>
          </cell>
        </row>
        <row r="134">
          <cell r="A134">
            <v>133</v>
          </cell>
          <cell r="B134" t="str">
            <v>Eevee</v>
          </cell>
          <cell r="C134" t="str">
            <v>Normal</v>
          </cell>
          <cell r="E134">
            <v>325</v>
          </cell>
          <cell r="F134">
            <v>55</v>
          </cell>
          <cell r="G134">
            <v>55</v>
          </cell>
          <cell r="H134">
            <v>50</v>
          </cell>
          <cell r="I134">
            <v>45</v>
          </cell>
          <cell r="J134">
            <v>65</v>
          </cell>
          <cell r="K134">
            <v>55</v>
          </cell>
          <cell r="L134">
            <v>1</v>
          </cell>
          <cell r="M134" t="b">
            <v>0</v>
          </cell>
        </row>
        <row r="135">
          <cell r="A135">
            <v>134</v>
          </cell>
          <cell r="B135" t="str">
            <v>Vaporeon</v>
          </cell>
          <cell r="C135" t="str">
            <v>Water</v>
          </cell>
          <cell r="E135">
            <v>525</v>
          </cell>
          <cell r="F135">
            <v>130</v>
          </cell>
          <cell r="G135">
            <v>65</v>
          </cell>
          <cell r="H135">
            <v>60</v>
          </cell>
          <cell r="I135">
            <v>110</v>
          </cell>
          <cell r="J135">
            <v>95</v>
          </cell>
          <cell r="K135">
            <v>65</v>
          </cell>
          <cell r="L135">
            <v>1</v>
          </cell>
          <cell r="M135" t="b">
            <v>0</v>
          </cell>
        </row>
        <row r="136">
          <cell r="A136">
            <v>135</v>
          </cell>
          <cell r="B136" t="str">
            <v>Jolteon</v>
          </cell>
          <cell r="C136" t="str">
            <v>Electric</v>
          </cell>
          <cell r="E136">
            <v>525</v>
          </cell>
          <cell r="F136">
            <v>65</v>
          </cell>
          <cell r="G136">
            <v>65</v>
          </cell>
          <cell r="H136">
            <v>60</v>
          </cell>
          <cell r="I136">
            <v>110</v>
          </cell>
          <cell r="J136">
            <v>95</v>
          </cell>
          <cell r="K136">
            <v>130</v>
          </cell>
          <cell r="L136">
            <v>1</v>
          </cell>
          <cell r="M136" t="b">
            <v>0</v>
          </cell>
        </row>
        <row r="137">
          <cell r="A137">
            <v>136</v>
          </cell>
          <cell r="B137" t="str">
            <v>Flareon</v>
          </cell>
          <cell r="C137" t="str">
            <v>Fire</v>
          </cell>
          <cell r="E137">
            <v>525</v>
          </cell>
          <cell r="F137">
            <v>65</v>
          </cell>
          <cell r="G137">
            <v>130</v>
          </cell>
          <cell r="H137">
            <v>60</v>
          </cell>
          <cell r="I137">
            <v>95</v>
          </cell>
          <cell r="J137">
            <v>110</v>
          </cell>
          <cell r="K137">
            <v>65</v>
          </cell>
          <cell r="L137">
            <v>1</v>
          </cell>
          <cell r="M137" t="b">
            <v>0</v>
          </cell>
        </row>
        <row r="138">
          <cell r="A138">
            <v>137</v>
          </cell>
          <cell r="B138" t="str">
            <v>Porygon</v>
          </cell>
          <cell r="C138" t="str">
            <v>Normal</v>
          </cell>
          <cell r="E138">
            <v>395</v>
          </cell>
          <cell r="F138">
            <v>65</v>
          </cell>
          <cell r="G138">
            <v>60</v>
          </cell>
          <cell r="H138">
            <v>70</v>
          </cell>
          <cell r="I138">
            <v>85</v>
          </cell>
          <cell r="J138">
            <v>75</v>
          </cell>
          <cell r="K138">
            <v>40</v>
          </cell>
          <cell r="L138">
            <v>1</v>
          </cell>
          <cell r="M138" t="b">
            <v>0</v>
          </cell>
        </row>
        <row r="139">
          <cell r="A139">
            <v>138</v>
          </cell>
          <cell r="B139" t="str">
            <v>Omanyte</v>
          </cell>
          <cell r="C139" t="str">
            <v>Rock</v>
          </cell>
          <cell r="D139" t="str">
            <v>Water</v>
          </cell>
          <cell r="E139">
            <v>355</v>
          </cell>
          <cell r="F139">
            <v>35</v>
          </cell>
          <cell r="G139">
            <v>40</v>
          </cell>
          <cell r="H139">
            <v>100</v>
          </cell>
          <cell r="I139">
            <v>90</v>
          </cell>
          <cell r="J139">
            <v>55</v>
          </cell>
          <cell r="K139">
            <v>35</v>
          </cell>
          <cell r="L139">
            <v>1</v>
          </cell>
          <cell r="M139" t="b">
            <v>0</v>
          </cell>
        </row>
        <row r="140">
          <cell r="A140">
            <v>139</v>
          </cell>
          <cell r="B140" t="str">
            <v>Omastar</v>
          </cell>
          <cell r="C140" t="str">
            <v>Rock</v>
          </cell>
          <cell r="D140" t="str">
            <v>Water</v>
          </cell>
          <cell r="E140">
            <v>495</v>
          </cell>
          <cell r="F140">
            <v>70</v>
          </cell>
          <cell r="G140">
            <v>60</v>
          </cell>
          <cell r="H140">
            <v>125</v>
          </cell>
          <cell r="I140">
            <v>115</v>
          </cell>
          <cell r="J140">
            <v>70</v>
          </cell>
          <cell r="K140">
            <v>55</v>
          </cell>
          <cell r="L140">
            <v>1</v>
          </cell>
          <cell r="M140" t="b">
            <v>0</v>
          </cell>
        </row>
        <row r="141">
          <cell r="A141">
            <v>140</v>
          </cell>
          <cell r="B141" t="str">
            <v>Kabuto</v>
          </cell>
          <cell r="C141" t="str">
            <v>Rock</v>
          </cell>
          <cell r="D141" t="str">
            <v>Water</v>
          </cell>
          <cell r="E141">
            <v>355</v>
          </cell>
          <cell r="F141">
            <v>30</v>
          </cell>
          <cell r="G141">
            <v>80</v>
          </cell>
          <cell r="H141">
            <v>90</v>
          </cell>
          <cell r="I141">
            <v>55</v>
          </cell>
          <cell r="J141">
            <v>45</v>
          </cell>
          <cell r="K141">
            <v>55</v>
          </cell>
          <cell r="L141">
            <v>1</v>
          </cell>
          <cell r="M141" t="b">
            <v>0</v>
          </cell>
        </row>
        <row r="142">
          <cell r="A142">
            <v>141</v>
          </cell>
          <cell r="B142" t="str">
            <v>Kabutops</v>
          </cell>
          <cell r="C142" t="str">
            <v>Rock</v>
          </cell>
          <cell r="D142" t="str">
            <v>Water</v>
          </cell>
          <cell r="E142">
            <v>495</v>
          </cell>
          <cell r="F142">
            <v>60</v>
          </cell>
          <cell r="G142">
            <v>115</v>
          </cell>
          <cell r="H142">
            <v>105</v>
          </cell>
          <cell r="I142">
            <v>65</v>
          </cell>
          <cell r="J142">
            <v>70</v>
          </cell>
          <cell r="K142">
            <v>80</v>
          </cell>
          <cell r="L142">
            <v>1</v>
          </cell>
          <cell r="M142" t="b">
            <v>0</v>
          </cell>
        </row>
        <row r="143">
          <cell r="A143">
            <v>142</v>
          </cell>
          <cell r="B143" t="str">
            <v>Aerodactyl</v>
          </cell>
          <cell r="C143" t="str">
            <v>Rock</v>
          </cell>
          <cell r="D143" t="str">
            <v>Flying</v>
          </cell>
          <cell r="E143">
            <v>515</v>
          </cell>
          <cell r="F143">
            <v>80</v>
          </cell>
          <cell r="G143">
            <v>105</v>
          </cell>
          <cell r="H143">
            <v>65</v>
          </cell>
          <cell r="I143">
            <v>60</v>
          </cell>
          <cell r="J143">
            <v>75</v>
          </cell>
          <cell r="K143">
            <v>130</v>
          </cell>
          <cell r="L143">
            <v>1</v>
          </cell>
          <cell r="M143" t="b">
            <v>0</v>
          </cell>
        </row>
        <row r="144">
          <cell r="A144">
            <v>143</v>
          </cell>
          <cell r="B144" t="str">
            <v>Snorlax</v>
          </cell>
          <cell r="C144" t="str">
            <v>Normal</v>
          </cell>
          <cell r="E144">
            <v>540</v>
          </cell>
          <cell r="F144">
            <v>160</v>
          </cell>
          <cell r="G144">
            <v>110</v>
          </cell>
          <cell r="H144">
            <v>65</v>
          </cell>
          <cell r="I144">
            <v>65</v>
          </cell>
          <cell r="J144">
            <v>110</v>
          </cell>
          <cell r="K144">
            <v>30</v>
          </cell>
          <cell r="L144">
            <v>1</v>
          </cell>
          <cell r="M144" t="b">
            <v>0</v>
          </cell>
        </row>
        <row r="145">
          <cell r="A145">
            <v>144</v>
          </cell>
          <cell r="B145" t="str">
            <v>Articuno</v>
          </cell>
          <cell r="C145" t="str">
            <v>Ice</v>
          </cell>
          <cell r="D145" t="str">
            <v>Flying</v>
          </cell>
          <cell r="E145">
            <v>580</v>
          </cell>
          <cell r="F145">
            <v>90</v>
          </cell>
          <cell r="G145">
            <v>85</v>
          </cell>
          <cell r="H145">
            <v>100</v>
          </cell>
          <cell r="I145">
            <v>95</v>
          </cell>
          <cell r="J145">
            <v>125</v>
          </cell>
          <cell r="K145">
            <v>85</v>
          </cell>
          <cell r="L145">
            <v>1</v>
          </cell>
          <cell r="M145" t="b">
            <v>1</v>
          </cell>
        </row>
        <row r="146">
          <cell r="A146">
            <v>145</v>
          </cell>
          <cell r="B146" t="str">
            <v>Zapdos</v>
          </cell>
          <cell r="C146" t="str">
            <v>Electric</v>
          </cell>
          <cell r="D146" t="str">
            <v>Flying</v>
          </cell>
          <cell r="E146">
            <v>580</v>
          </cell>
          <cell r="F146">
            <v>90</v>
          </cell>
          <cell r="G146">
            <v>90</v>
          </cell>
          <cell r="H146">
            <v>85</v>
          </cell>
          <cell r="I146">
            <v>125</v>
          </cell>
          <cell r="J146">
            <v>90</v>
          </cell>
          <cell r="K146">
            <v>100</v>
          </cell>
          <cell r="L146">
            <v>1</v>
          </cell>
          <cell r="M146" t="b">
            <v>1</v>
          </cell>
        </row>
        <row r="147">
          <cell r="A147">
            <v>146</v>
          </cell>
          <cell r="B147" t="str">
            <v>Moltres</v>
          </cell>
          <cell r="C147" t="str">
            <v>Fire</v>
          </cell>
          <cell r="D147" t="str">
            <v>Flying</v>
          </cell>
          <cell r="E147">
            <v>580</v>
          </cell>
          <cell r="F147">
            <v>90</v>
          </cell>
          <cell r="G147">
            <v>100</v>
          </cell>
          <cell r="H147">
            <v>90</v>
          </cell>
          <cell r="I147">
            <v>125</v>
          </cell>
          <cell r="J147">
            <v>85</v>
          </cell>
          <cell r="K147">
            <v>90</v>
          </cell>
          <cell r="L147">
            <v>1</v>
          </cell>
          <cell r="M147" t="b">
            <v>1</v>
          </cell>
        </row>
        <row r="148">
          <cell r="A148">
            <v>147</v>
          </cell>
          <cell r="B148" t="str">
            <v>Dratini</v>
          </cell>
          <cell r="C148" t="str">
            <v>Dragon</v>
          </cell>
          <cell r="E148">
            <v>300</v>
          </cell>
          <cell r="F148">
            <v>41</v>
          </cell>
          <cell r="G148">
            <v>64</v>
          </cell>
          <cell r="H148">
            <v>45</v>
          </cell>
          <cell r="I148">
            <v>50</v>
          </cell>
          <cell r="J148">
            <v>50</v>
          </cell>
          <cell r="K148">
            <v>50</v>
          </cell>
          <cell r="L148">
            <v>1</v>
          </cell>
          <cell r="M148" t="b">
            <v>0</v>
          </cell>
        </row>
        <row r="149">
          <cell r="A149">
            <v>148</v>
          </cell>
          <cell r="B149" t="str">
            <v>Dragonair</v>
          </cell>
          <cell r="C149" t="str">
            <v>Dragon</v>
          </cell>
          <cell r="E149">
            <v>420</v>
          </cell>
          <cell r="F149">
            <v>61</v>
          </cell>
          <cell r="G149">
            <v>84</v>
          </cell>
          <cell r="H149">
            <v>65</v>
          </cell>
          <cell r="I149">
            <v>70</v>
          </cell>
          <cell r="J149">
            <v>70</v>
          </cell>
          <cell r="K149">
            <v>70</v>
          </cell>
          <cell r="L149">
            <v>1</v>
          </cell>
          <cell r="M149" t="b">
            <v>0</v>
          </cell>
        </row>
        <row r="150">
          <cell r="A150">
            <v>149</v>
          </cell>
          <cell r="B150" t="str">
            <v>Dragonite</v>
          </cell>
          <cell r="C150" t="str">
            <v>Dragon</v>
          </cell>
          <cell r="D150" t="str">
            <v>Flying</v>
          </cell>
          <cell r="E150">
            <v>600</v>
          </cell>
          <cell r="F150">
            <v>91</v>
          </cell>
          <cell r="G150">
            <v>134</v>
          </cell>
          <cell r="H150">
            <v>95</v>
          </cell>
          <cell r="I150">
            <v>100</v>
          </cell>
          <cell r="J150">
            <v>100</v>
          </cell>
          <cell r="K150">
            <v>80</v>
          </cell>
          <cell r="L150">
            <v>1</v>
          </cell>
          <cell r="M150" t="b">
            <v>0</v>
          </cell>
        </row>
        <row r="151">
          <cell r="A151">
            <v>150</v>
          </cell>
          <cell r="B151" t="str">
            <v>Mewtwo</v>
          </cell>
          <cell r="C151" t="str">
            <v>Psychic</v>
          </cell>
          <cell r="E151">
            <v>680</v>
          </cell>
          <cell r="F151">
            <v>106</v>
          </cell>
          <cell r="G151">
            <v>110</v>
          </cell>
          <cell r="H151">
            <v>90</v>
          </cell>
          <cell r="I151">
            <v>154</v>
          </cell>
          <cell r="J151">
            <v>90</v>
          </cell>
          <cell r="K151">
            <v>130</v>
          </cell>
          <cell r="L151">
            <v>1</v>
          </cell>
          <cell r="M151" t="b">
            <v>1</v>
          </cell>
        </row>
        <row r="152">
          <cell r="A152">
            <v>151</v>
          </cell>
          <cell r="B152" t="str">
            <v>Mew</v>
          </cell>
          <cell r="C152" t="str">
            <v>Psychic</v>
          </cell>
          <cell r="E152">
            <v>600</v>
          </cell>
          <cell r="F152">
            <v>100</v>
          </cell>
          <cell r="G152">
            <v>100</v>
          </cell>
          <cell r="H152">
            <v>100</v>
          </cell>
          <cell r="I152">
            <v>100</v>
          </cell>
          <cell r="J152">
            <v>100</v>
          </cell>
          <cell r="K152">
            <v>100</v>
          </cell>
          <cell r="L152">
            <v>1</v>
          </cell>
          <cell r="M152" t="b">
            <v>1</v>
          </cell>
        </row>
        <row r="153">
          <cell r="A153">
            <v>152</v>
          </cell>
          <cell r="B153" t="str">
            <v>Chikorita</v>
          </cell>
          <cell r="C153" t="str">
            <v>Grass</v>
          </cell>
          <cell r="E153">
            <v>318</v>
          </cell>
          <cell r="F153">
            <v>45</v>
          </cell>
          <cell r="G153">
            <v>49</v>
          </cell>
          <cell r="H153">
            <v>65</v>
          </cell>
          <cell r="I153">
            <v>49</v>
          </cell>
          <cell r="J153">
            <v>65</v>
          </cell>
          <cell r="K153">
            <v>45</v>
          </cell>
          <cell r="L153">
            <v>2</v>
          </cell>
          <cell r="M153" t="b">
            <v>0</v>
          </cell>
        </row>
        <row r="154">
          <cell r="A154">
            <v>153</v>
          </cell>
          <cell r="B154" t="str">
            <v>Bayleef</v>
          </cell>
          <cell r="C154" t="str">
            <v>Grass</v>
          </cell>
          <cell r="E154">
            <v>405</v>
          </cell>
          <cell r="F154">
            <v>60</v>
          </cell>
          <cell r="G154">
            <v>62</v>
          </cell>
          <cell r="H154">
            <v>80</v>
          </cell>
          <cell r="I154">
            <v>63</v>
          </cell>
          <cell r="J154">
            <v>80</v>
          </cell>
          <cell r="K154">
            <v>60</v>
          </cell>
          <cell r="L154">
            <v>2</v>
          </cell>
          <cell r="M154" t="b">
            <v>0</v>
          </cell>
        </row>
        <row r="155">
          <cell r="A155">
            <v>154</v>
          </cell>
          <cell r="B155" t="str">
            <v>Meganium</v>
          </cell>
          <cell r="C155" t="str">
            <v>Grass</v>
          </cell>
          <cell r="E155">
            <v>525</v>
          </cell>
          <cell r="F155">
            <v>80</v>
          </cell>
          <cell r="G155">
            <v>82</v>
          </cell>
          <cell r="H155">
            <v>100</v>
          </cell>
          <cell r="I155">
            <v>83</v>
          </cell>
          <cell r="J155">
            <v>100</v>
          </cell>
          <cell r="K155">
            <v>80</v>
          </cell>
          <cell r="L155">
            <v>2</v>
          </cell>
          <cell r="M155" t="b">
            <v>0</v>
          </cell>
        </row>
        <row r="156">
          <cell r="A156">
            <v>155</v>
          </cell>
          <cell r="B156" t="str">
            <v>Cyndaquil</v>
          </cell>
          <cell r="C156" t="str">
            <v>Fire</v>
          </cell>
          <cell r="E156">
            <v>309</v>
          </cell>
          <cell r="F156">
            <v>39</v>
          </cell>
          <cell r="G156">
            <v>52</v>
          </cell>
          <cell r="H156">
            <v>43</v>
          </cell>
          <cell r="I156">
            <v>60</v>
          </cell>
          <cell r="J156">
            <v>50</v>
          </cell>
          <cell r="K156">
            <v>65</v>
          </cell>
          <cell r="L156">
            <v>2</v>
          </cell>
          <cell r="M156" t="b">
            <v>0</v>
          </cell>
        </row>
        <row r="157">
          <cell r="A157">
            <v>156</v>
          </cell>
          <cell r="B157" t="str">
            <v>Quilava</v>
          </cell>
          <cell r="C157" t="str">
            <v>Fire</v>
          </cell>
          <cell r="E157">
            <v>405</v>
          </cell>
          <cell r="F157">
            <v>58</v>
          </cell>
          <cell r="G157">
            <v>64</v>
          </cell>
          <cell r="H157">
            <v>58</v>
          </cell>
          <cell r="I157">
            <v>80</v>
          </cell>
          <cell r="J157">
            <v>65</v>
          </cell>
          <cell r="K157">
            <v>80</v>
          </cell>
          <cell r="L157">
            <v>2</v>
          </cell>
          <cell r="M157" t="b">
            <v>0</v>
          </cell>
        </row>
        <row r="158">
          <cell r="A158">
            <v>157</v>
          </cell>
          <cell r="B158" t="str">
            <v>Typhlosion</v>
          </cell>
          <cell r="C158" t="str">
            <v>Fire</v>
          </cell>
          <cell r="E158">
            <v>534</v>
          </cell>
          <cell r="F158">
            <v>78</v>
          </cell>
          <cell r="G158">
            <v>84</v>
          </cell>
          <cell r="H158">
            <v>78</v>
          </cell>
          <cell r="I158">
            <v>109</v>
          </cell>
          <cell r="J158">
            <v>85</v>
          </cell>
          <cell r="K158">
            <v>100</v>
          </cell>
          <cell r="L158">
            <v>2</v>
          </cell>
          <cell r="M158" t="b">
            <v>0</v>
          </cell>
        </row>
        <row r="159">
          <cell r="A159">
            <v>158</v>
          </cell>
          <cell r="B159" t="str">
            <v>Totodile</v>
          </cell>
          <cell r="C159" t="str">
            <v>Water</v>
          </cell>
          <cell r="E159">
            <v>314</v>
          </cell>
          <cell r="F159">
            <v>50</v>
          </cell>
          <cell r="G159">
            <v>65</v>
          </cell>
          <cell r="H159">
            <v>64</v>
          </cell>
          <cell r="I159">
            <v>44</v>
          </cell>
          <cell r="J159">
            <v>48</v>
          </cell>
          <cell r="K159">
            <v>43</v>
          </cell>
          <cell r="L159">
            <v>2</v>
          </cell>
          <cell r="M159" t="b">
            <v>0</v>
          </cell>
        </row>
        <row r="160">
          <cell r="A160">
            <v>159</v>
          </cell>
          <cell r="B160" t="str">
            <v>Croconaw</v>
          </cell>
          <cell r="C160" t="str">
            <v>Water</v>
          </cell>
          <cell r="E160">
            <v>405</v>
          </cell>
          <cell r="F160">
            <v>65</v>
          </cell>
          <cell r="G160">
            <v>80</v>
          </cell>
          <cell r="H160">
            <v>80</v>
          </cell>
          <cell r="I160">
            <v>59</v>
          </cell>
          <cell r="J160">
            <v>63</v>
          </cell>
          <cell r="K160">
            <v>58</v>
          </cell>
          <cell r="L160">
            <v>2</v>
          </cell>
          <cell r="M160" t="b">
            <v>0</v>
          </cell>
        </row>
        <row r="161">
          <cell r="A161">
            <v>160</v>
          </cell>
          <cell r="B161" t="str">
            <v>Feraligatr</v>
          </cell>
          <cell r="C161" t="str">
            <v>Water</v>
          </cell>
          <cell r="E161">
            <v>530</v>
          </cell>
          <cell r="F161">
            <v>85</v>
          </cell>
          <cell r="G161">
            <v>105</v>
          </cell>
          <cell r="H161">
            <v>100</v>
          </cell>
          <cell r="I161">
            <v>79</v>
          </cell>
          <cell r="J161">
            <v>83</v>
          </cell>
          <cell r="K161">
            <v>78</v>
          </cell>
          <cell r="L161">
            <v>2</v>
          </cell>
          <cell r="M161" t="b">
            <v>0</v>
          </cell>
        </row>
        <row r="162">
          <cell r="A162">
            <v>161</v>
          </cell>
          <cell r="B162" t="str">
            <v>Sentret</v>
          </cell>
          <cell r="C162" t="str">
            <v>Normal</v>
          </cell>
          <cell r="E162">
            <v>215</v>
          </cell>
          <cell r="F162">
            <v>35</v>
          </cell>
          <cell r="G162">
            <v>46</v>
          </cell>
          <cell r="H162">
            <v>34</v>
          </cell>
          <cell r="I162">
            <v>35</v>
          </cell>
          <cell r="J162">
            <v>45</v>
          </cell>
          <cell r="K162">
            <v>20</v>
          </cell>
          <cell r="L162">
            <v>2</v>
          </cell>
          <cell r="M162" t="b">
            <v>0</v>
          </cell>
        </row>
        <row r="163">
          <cell r="A163">
            <v>162</v>
          </cell>
          <cell r="B163" t="str">
            <v>Furret</v>
          </cell>
          <cell r="C163" t="str">
            <v>Normal</v>
          </cell>
          <cell r="E163">
            <v>415</v>
          </cell>
          <cell r="F163">
            <v>85</v>
          </cell>
          <cell r="G163">
            <v>76</v>
          </cell>
          <cell r="H163">
            <v>64</v>
          </cell>
          <cell r="I163">
            <v>45</v>
          </cell>
          <cell r="J163">
            <v>55</v>
          </cell>
          <cell r="K163">
            <v>90</v>
          </cell>
          <cell r="L163">
            <v>2</v>
          </cell>
          <cell r="M163" t="b">
            <v>0</v>
          </cell>
        </row>
        <row r="164">
          <cell r="A164">
            <v>163</v>
          </cell>
          <cell r="B164" t="str">
            <v>Hoothoot</v>
          </cell>
          <cell r="C164" t="str">
            <v>Normal</v>
          </cell>
          <cell r="D164" t="str">
            <v>Flying</v>
          </cell>
          <cell r="E164">
            <v>262</v>
          </cell>
          <cell r="F164">
            <v>60</v>
          </cell>
          <cell r="G164">
            <v>30</v>
          </cell>
          <cell r="H164">
            <v>30</v>
          </cell>
          <cell r="I164">
            <v>36</v>
          </cell>
          <cell r="J164">
            <v>56</v>
          </cell>
          <cell r="K164">
            <v>50</v>
          </cell>
          <cell r="L164">
            <v>2</v>
          </cell>
          <cell r="M164" t="b">
            <v>0</v>
          </cell>
        </row>
        <row r="165">
          <cell r="A165">
            <v>164</v>
          </cell>
          <cell r="B165" t="str">
            <v>Noctowl</v>
          </cell>
          <cell r="C165" t="str">
            <v>Normal</v>
          </cell>
          <cell r="D165" t="str">
            <v>Flying</v>
          </cell>
          <cell r="E165">
            <v>442</v>
          </cell>
          <cell r="F165">
            <v>100</v>
          </cell>
          <cell r="G165">
            <v>50</v>
          </cell>
          <cell r="H165">
            <v>50</v>
          </cell>
          <cell r="I165">
            <v>76</v>
          </cell>
          <cell r="J165">
            <v>96</v>
          </cell>
          <cell r="K165">
            <v>70</v>
          </cell>
          <cell r="L165">
            <v>2</v>
          </cell>
          <cell r="M165" t="b">
            <v>0</v>
          </cell>
        </row>
        <row r="166">
          <cell r="A166">
            <v>165</v>
          </cell>
          <cell r="B166" t="str">
            <v>Ledyba</v>
          </cell>
          <cell r="C166" t="str">
            <v>Bug</v>
          </cell>
          <cell r="D166" t="str">
            <v>Flying</v>
          </cell>
          <cell r="E166">
            <v>265</v>
          </cell>
          <cell r="F166">
            <v>40</v>
          </cell>
          <cell r="G166">
            <v>20</v>
          </cell>
          <cell r="H166">
            <v>30</v>
          </cell>
          <cell r="I166">
            <v>40</v>
          </cell>
          <cell r="J166">
            <v>80</v>
          </cell>
          <cell r="K166">
            <v>55</v>
          </cell>
          <cell r="L166">
            <v>2</v>
          </cell>
          <cell r="M166" t="b">
            <v>0</v>
          </cell>
        </row>
        <row r="167">
          <cell r="A167">
            <v>166</v>
          </cell>
          <cell r="B167" t="str">
            <v>Ledian</v>
          </cell>
          <cell r="C167" t="str">
            <v>Bug</v>
          </cell>
          <cell r="D167" t="str">
            <v>Flying</v>
          </cell>
          <cell r="E167">
            <v>390</v>
          </cell>
          <cell r="F167">
            <v>55</v>
          </cell>
          <cell r="G167">
            <v>35</v>
          </cell>
          <cell r="H167">
            <v>50</v>
          </cell>
          <cell r="I167">
            <v>55</v>
          </cell>
          <cell r="J167">
            <v>110</v>
          </cell>
          <cell r="K167">
            <v>85</v>
          </cell>
          <cell r="L167">
            <v>2</v>
          </cell>
          <cell r="M167" t="b">
            <v>0</v>
          </cell>
        </row>
        <row r="168">
          <cell r="A168">
            <v>167</v>
          </cell>
          <cell r="B168" t="str">
            <v>Spinarak</v>
          </cell>
          <cell r="C168" t="str">
            <v>Bug</v>
          </cell>
          <cell r="D168" t="str">
            <v>Poison</v>
          </cell>
          <cell r="E168">
            <v>250</v>
          </cell>
          <cell r="F168">
            <v>40</v>
          </cell>
          <cell r="G168">
            <v>60</v>
          </cell>
          <cell r="H168">
            <v>40</v>
          </cell>
          <cell r="I168">
            <v>40</v>
          </cell>
          <cell r="J168">
            <v>40</v>
          </cell>
          <cell r="K168">
            <v>30</v>
          </cell>
          <cell r="L168">
            <v>2</v>
          </cell>
          <cell r="M168" t="b">
            <v>0</v>
          </cell>
        </row>
        <row r="169">
          <cell r="A169">
            <v>168</v>
          </cell>
          <cell r="B169" t="str">
            <v>Ariados</v>
          </cell>
          <cell r="C169" t="str">
            <v>Bug</v>
          </cell>
          <cell r="D169" t="str">
            <v>Poison</v>
          </cell>
          <cell r="E169">
            <v>390</v>
          </cell>
          <cell r="F169">
            <v>70</v>
          </cell>
          <cell r="G169">
            <v>90</v>
          </cell>
          <cell r="H169">
            <v>70</v>
          </cell>
          <cell r="I169">
            <v>60</v>
          </cell>
          <cell r="J169">
            <v>60</v>
          </cell>
          <cell r="K169">
            <v>40</v>
          </cell>
          <cell r="L169">
            <v>2</v>
          </cell>
          <cell r="M169" t="b">
            <v>0</v>
          </cell>
        </row>
        <row r="170">
          <cell r="A170">
            <v>169</v>
          </cell>
          <cell r="B170" t="str">
            <v>Crobat</v>
          </cell>
          <cell r="C170" t="str">
            <v>Poison</v>
          </cell>
          <cell r="D170" t="str">
            <v>Flying</v>
          </cell>
          <cell r="E170">
            <v>535</v>
          </cell>
          <cell r="F170">
            <v>85</v>
          </cell>
          <cell r="G170">
            <v>90</v>
          </cell>
          <cell r="H170">
            <v>80</v>
          </cell>
          <cell r="I170">
            <v>70</v>
          </cell>
          <cell r="J170">
            <v>80</v>
          </cell>
          <cell r="K170">
            <v>130</v>
          </cell>
          <cell r="L170">
            <v>2</v>
          </cell>
          <cell r="M170" t="b">
            <v>0</v>
          </cell>
        </row>
        <row r="171">
          <cell r="A171">
            <v>170</v>
          </cell>
          <cell r="B171" t="str">
            <v>Chinchou</v>
          </cell>
          <cell r="C171" t="str">
            <v>Water</v>
          </cell>
          <cell r="D171" t="str">
            <v>Electric</v>
          </cell>
          <cell r="E171">
            <v>330</v>
          </cell>
          <cell r="F171">
            <v>75</v>
          </cell>
          <cell r="G171">
            <v>38</v>
          </cell>
          <cell r="H171">
            <v>38</v>
          </cell>
          <cell r="I171">
            <v>56</v>
          </cell>
          <cell r="J171">
            <v>56</v>
          </cell>
          <cell r="K171">
            <v>67</v>
          </cell>
          <cell r="L171">
            <v>2</v>
          </cell>
          <cell r="M171" t="b">
            <v>0</v>
          </cell>
        </row>
        <row r="172">
          <cell r="A172">
            <v>171</v>
          </cell>
          <cell r="B172" t="str">
            <v>Lanturn</v>
          </cell>
          <cell r="C172" t="str">
            <v>Water</v>
          </cell>
          <cell r="D172" t="str">
            <v>Electric</v>
          </cell>
          <cell r="E172">
            <v>460</v>
          </cell>
          <cell r="F172">
            <v>125</v>
          </cell>
          <cell r="G172">
            <v>58</v>
          </cell>
          <cell r="H172">
            <v>58</v>
          </cell>
          <cell r="I172">
            <v>76</v>
          </cell>
          <cell r="J172">
            <v>76</v>
          </cell>
          <cell r="K172">
            <v>67</v>
          </cell>
          <cell r="L172">
            <v>2</v>
          </cell>
          <cell r="M172" t="b">
            <v>0</v>
          </cell>
        </row>
        <row r="173">
          <cell r="A173">
            <v>172</v>
          </cell>
          <cell r="B173" t="str">
            <v>Pichu</v>
          </cell>
          <cell r="C173" t="str">
            <v>Electric</v>
          </cell>
          <cell r="E173">
            <v>205</v>
          </cell>
          <cell r="F173">
            <v>20</v>
          </cell>
          <cell r="G173">
            <v>40</v>
          </cell>
          <cell r="H173">
            <v>15</v>
          </cell>
          <cell r="I173">
            <v>35</v>
          </cell>
          <cell r="J173">
            <v>35</v>
          </cell>
          <cell r="K173">
            <v>60</v>
          </cell>
          <cell r="L173">
            <v>2</v>
          </cell>
          <cell r="M173" t="b">
            <v>0</v>
          </cell>
        </row>
        <row r="174">
          <cell r="A174">
            <v>173</v>
          </cell>
          <cell r="B174" t="str">
            <v>Cleffa</v>
          </cell>
          <cell r="C174" t="str">
            <v>Fairy</v>
          </cell>
          <cell r="E174">
            <v>218</v>
          </cell>
          <cell r="F174">
            <v>50</v>
          </cell>
          <cell r="G174">
            <v>25</v>
          </cell>
          <cell r="H174">
            <v>28</v>
          </cell>
          <cell r="I174">
            <v>45</v>
          </cell>
          <cell r="J174">
            <v>55</v>
          </cell>
          <cell r="K174">
            <v>15</v>
          </cell>
          <cell r="L174">
            <v>2</v>
          </cell>
          <cell r="M174" t="b">
            <v>0</v>
          </cell>
        </row>
        <row r="175">
          <cell r="A175">
            <v>174</v>
          </cell>
          <cell r="B175" t="str">
            <v>Igglybuff</v>
          </cell>
          <cell r="C175" t="str">
            <v>Normal</v>
          </cell>
          <cell r="D175" t="str">
            <v>Fairy</v>
          </cell>
          <cell r="E175">
            <v>210</v>
          </cell>
          <cell r="F175">
            <v>90</v>
          </cell>
          <cell r="G175">
            <v>30</v>
          </cell>
          <cell r="H175">
            <v>15</v>
          </cell>
          <cell r="I175">
            <v>40</v>
          </cell>
          <cell r="J175">
            <v>20</v>
          </cell>
          <cell r="K175">
            <v>15</v>
          </cell>
          <cell r="L175">
            <v>2</v>
          </cell>
          <cell r="M175" t="b">
            <v>0</v>
          </cell>
        </row>
        <row r="176">
          <cell r="A176">
            <v>175</v>
          </cell>
          <cell r="B176" t="str">
            <v>Togepi</v>
          </cell>
          <cell r="C176" t="str">
            <v>Fairy</v>
          </cell>
          <cell r="E176">
            <v>245</v>
          </cell>
          <cell r="F176">
            <v>35</v>
          </cell>
          <cell r="G176">
            <v>20</v>
          </cell>
          <cell r="H176">
            <v>65</v>
          </cell>
          <cell r="I176">
            <v>40</v>
          </cell>
          <cell r="J176">
            <v>65</v>
          </cell>
          <cell r="K176">
            <v>20</v>
          </cell>
          <cell r="L176">
            <v>2</v>
          </cell>
          <cell r="M176" t="b">
            <v>0</v>
          </cell>
        </row>
        <row r="177">
          <cell r="A177">
            <v>176</v>
          </cell>
          <cell r="B177" t="str">
            <v>Togetic</v>
          </cell>
          <cell r="C177" t="str">
            <v>Fairy</v>
          </cell>
          <cell r="D177" t="str">
            <v>Flying</v>
          </cell>
          <cell r="E177">
            <v>405</v>
          </cell>
          <cell r="F177">
            <v>55</v>
          </cell>
          <cell r="G177">
            <v>40</v>
          </cell>
          <cell r="H177">
            <v>85</v>
          </cell>
          <cell r="I177">
            <v>80</v>
          </cell>
          <cell r="J177">
            <v>105</v>
          </cell>
          <cell r="K177">
            <v>40</v>
          </cell>
          <cell r="L177">
            <v>2</v>
          </cell>
          <cell r="M177" t="b">
            <v>0</v>
          </cell>
        </row>
        <row r="178">
          <cell r="A178">
            <v>177</v>
          </cell>
          <cell r="B178" t="str">
            <v>Natu</v>
          </cell>
          <cell r="C178" t="str">
            <v>Psychic</v>
          </cell>
          <cell r="D178" t="str">
            <v>Flying</v>
          </cell>
          <cell r="E178">
            <v>320</v>
          </cell>
          <cell r="F178">
            <v>40</v>
          </cell>
          <cell r="G178">
            <v>50</v>
          </cell>
          <cell r="H178">
            <v>45</v>
          </cell>
          <cell r="I178">
            <v>70</v>
          </cell>
          <cell r="J178">
            <v>45</v>
          </cell>
          <cell r="K178">
            <v>70</v>
          </cell>
          <cell r="L178">
            <v>2</v>
          </cell>
          <cell r="M178" t="b">
            <v>0</v>
          </cell>
        </row>
        <row r="179">
          <cell r="A179">
            <v>178</v>
          </cell>
          <cell r="B179" t="str">
            <v>Xatu</v>
          </cell>
          <cell r="C179" t="str">
            <v>Psychic</v>
          </cell>
          <cell r="D179" t="str">
            <v>Flying</v>
          </cell>
          <cell r="E179">
            <v>470</v>
          </cell>
          <cell r="F179">
            <v>65</v>
          </cell>
          <cell r="G179">
            <v>75</v>
          </cell>
          <cell r="H179">
            <v>70</v>
          </cell>
          <cell r="I179">
            <v>95</v>
          </cell>
          <cell r="J179">
            <v>70</v>
          </cell>
          <cell r="K179">
            <v>95</v>
          </cell>
          <cell r="L179">
            <v>2</v>
          </cell>
          <cell r="M179" t="b">
            <v>0</v>
          </cell>
        </row>
        <row r="180">
          <cell r="A180">
            <v>179</v>
          </cell>
          <cell r="B180" t="str">
            <v>Mareep</v>
          </cell>
          <cell r="C180" t="str">
            <v>Electric</v>
          </cell>
          <cell r="E180">
            <v>280</v>
          </cell>
          <cell r="F180">
            <v>55</v>
          </cell>
          <cell r="G180">
            <v>40</v>
          </cell>
          <cell r="H180">
            <v>40</v>
          </cell>
          <cell r="I180">
            <v>65</v>
          </cell>
          <cell r="J180">
            <v>45</v>
          </cell>
          <cell r="K180">
            <v>35</v>
          </cell>
          <cell r="L180">
            <v>2</v>
          </cell>
          <cell r="M180" t="b">
            <v>0</v>
          </cell>
        </row>
        <row r="181">
          <cell r="A181">
            <v>180</v>
          </cell>
          <cell r="B181" t="str">
            <v>Flaaffy</v>
          </cell>
          <cell r="C181" t="str">
            <v>Electric</v>
          </cell>
          <cell r="E181">
            <v>365</v>
          </cell>
          <cell r="F181">
            <v>70</v>
          </cell>
          <cell r="G181">
            <v>55</v>
          </cell>
          <cell r="H181">
            <v>55</v>
          </cell>
          <cell r="I181">
            <v>80</v>
          </cell>
          <cell r="J181">
            <v>60</v>
          </cell>
          <cell r="K181">
            <v>45</v>
          </cell>
          <cell r="L181">
            <v>2</v>
          </cell>
          <cell r="M181" t="b">
            <v>0</v>
          </cell>
        </row>
        <row r="182">
          <cell r="A182">
            <v>181</v>
          </cell>
          <cell r="B182" t="str">
            <v>Ampharos</v>
          </cell>
          <cell r="C182" t="str">
            <v>Electric</v>
          </cell>
          <cell r="E182">
            <v>510</v>
          </cell>
          <cell r="F182">
            <v>90</v>
          </cell>
          <cell r="G182">
            <v>75</v>
          </cell>
          <cell r="H182">
            <v>85</v>
          </cell>
          <cell r="I182">
            <v>115</v>
          </cell>
          <cell r="J182">
            <v>90</v>
          </cell>
          <cell r="K182">
            <v>55</v>
          </cell>
          <cell r="L182">
            <v>2</v>
          </cell>
          <cell r="M182" t="b">
            <v>0</v>
          </cell>
        </row>
        <row r="183">
          <cell r="A183">
            <v>182</v>
          </cell>
          <cell r="B183" t="str">
            <v>Bellossom</v>
          </cell>
          <cell r="C183" t="str">
            <v>Grass</v>
          </cell>
          <cell r="E183">
            <v>490</v>
          </cell>
          <cell r="F183">
            <v>75</v>
          </cell>
          <cell r="G183">
            <v>80</v>
          </cell>
          <cell r="H183">
            <v>95</v>
          </cell>
          <cell r="I183">
            <v>90</v>
          </cell>
          <cell r="J183">
            <v>100</v>
          </cell>
          <cell r="K183">
            <v>50</v>
          </cell>
          <cell r="L183">
            <v>2</v>
          </cell>
          <cell r="M183" t="b">
            <v>0</v>
          </cell>
        </row>
        <row r="184">
          <cell r="A184">
            <v>183</v>
          </cell>
          <cell r="B184" t="str">
            <v>Marill</v>
          </cell>
          <cell r="C184" t="str">
            <v>Water</v>
          </cell>
          <cell r="D184" t="str">
            <v>Fairy</v>
          </cell>
          <cell r="E184">
            <v>250</v>
          </cell>
          <cell r="F184">
            <v>70</v>
          </cell>
          <cell r="G184">
            <v>20</v>
          </cell>
          <cell r="H184">
            <v>50</v>
          </cell>
          <cell r="I184">
            <v>20</v>
          </cell>
          <cell r="J184">
            <v>50</v>
          </cell>
          <cell r="K184">
            <v>40</v>
          </cell>
          <cell r="L184">
            <v>2</v>
          </cell>
          <cell r="M184" t="b">
            <v>0</v>
          </cell>
        </row>
        <row r="185">
          <cell r="A185">
            <v>184</v>
          </cell>
          <cell r="B185" t="str">
            <v>Azumarill</v>
          </cell>
          <cell r="C185" t="str">
            <v>Water</v>
          </cell>
          <cell r="D185" t="str">
            <v>Fairy</v>
          </cell>
          <cell r="E185">
            <v>420</v>
          </cell>
          <cell r="F185">
            <v>100</v>
          </cell>
          <cell r="G185">
            <v>50</v>
          </cell>
          <cell r="H185">
            <v>80</v>
          </cell>
          <cell r="I185">
            <v>60</v>
          </cell>
          <cell r="J185">
            <v>80</v>
          </cell>
          <cell r="K185">
            <v>50</v>
          </cell>
          <cell r="L185">
            <v>2</v>
          </cell>
          <cell r="M185" t="b">
            <v>0</v>
          </cell>
        </row>
        <row r="186">
          <cell r="A186">
            <v>185</v>
          </cell>
          <cell r="B186" t="str">
            <v>Sudowoodo</v>
          </cell>
          <cell r="C186" t="str">
            <v>Rock</v>
          </cell>
          <cell r="E186">
            <v>410</v>
          </cell>
          <cell r="F186">
            <v>70</v>
          </cell>
          <cell r="G186">
            <v>100</v>
          </cell>
          <cell r="H186">
            <v>115</v>
          </cell>
          <cell r="I186">
            <v>30</v>
          </cell>
          <cell r="J186">
            <v>65</v>
          </cell>
          <cell r="K186">
            <v>30</v>
          </cell>
          <cell r="L186">
            <v>2</v>
          </cell>
          <cell r="M186" t="b">
            <v>0</v>
          </cell>
        </row>
        <row r="187">
          <cell r="A187">
            <v>186</v>
          </cell>
          <cell r="B187" t="str">
            <v>Politoed</v>
          </cell>
          <cell r="C187" t="str">
            <v>Water</v>
          </cell>
          <cell r="E187">
            <v>500</v>
          </cell>
          <cell r="F187">
            <v>90</v>
          </cell>
          <cell r="G187">
            <v>75</v>
          </cell>
          <cell r="H187">
            <v>75</v>
          </cell>
          <cell r="I187">
            <v>90</v>
          </cell>
          <cell r="J187">
            <v>100</v>
          </cell>
          <cell r="K187">
            <v>70</v>
          </cell>
          <cell r="L187">
            <v>2</v>
          </cell>
          <cell r="M187" t="b">
            <v>0</v>
          </cell>
        </row>
        <row r="188">
          <cell r="A188">
            <v>187</v>
          </cell>
          <cell r="B188" t="str">
            <v>Hoppip</v>
          </cell>
          <cell r="C188" t="str">
            <v>Grass</v>
          </cell>
          <cell r="D188" t="str">
            <v>Flying</v>
          </cell>
          <cell r="E188">
            <v>250</v>
          </cell>
          <cell r="F188">
            <v>35</v>
          </cell>
          <cell r="G188">
            <v>35</v>
          </cell>
          <cell r="H188">
            <v>40</v>
          </cell>
          <cell r="I188">
            <v>35</v>
          </cell>
          <cell r="J188">
            <v>55</v>
          </cell>
          <cell r="K188">
            <v>50</v>
          </cell>
          <cell r="L188">
            <v>2</v>
          </cell>
          <cell r="M188" t="b">
            <v>0</v>
          </cell>
        </row>
        <row r="189">
          <cell r="A189">
            <v>188</v>
          </cell>
          <cell r="B189" t="str">
            <v>Skiploom</v>
          </cell>
          <cell r="C189" t="str">
            <v>Grass</v>
          </cell>
          <cell r="D189" t="str">
            <v>Flying</v>
          </cell>
          <cell r="E189">
            <v>340</v>
          </cell>
          <cell r="F189">
            <v>55</v>
          </cell>
          <cell r="G189">
            <v>45</v>
          </cell>
          <cell r="H189">
            <v>50</v>
          </cell>
          <cell r="I189">
            <v>45</v>
          </cell>
          <cell r="J189">
            <v>65</v>
          </cell>
          <cell r="K189">
            <v>80</v>
          </cell>
          <cell r="L189">
            <v>2</v>
          </cell>
          <cell r="M189" t="b">
            <v>0</v>
          </cell>
        </row>
        <row r="190">
          <cell r="A190">
            <v>189</v>
          </cell>
          <cell r="B190" t="str">
            <v>Jumpluff</v>
          </cell>
          <cell r="C190" t="str">
            <v>Grass</v>
          </cell>
          <cell r="D190" t="str">
            <v>Flying</v>
          </cell>
          <cell r="E190">
            <v>460</v>
          </cell>
          <cell r="F190">
            <v>75</v>
          </cell>
          <cell r="G190">
            <v>55</v>
          </cell>
          <cell r="H190">
            <v>70</v>
          </cell>
          <cell r="I190">
            <v>55</v>
          </cell>
          <cell r="J190">
            <v>95</v>
          </cell>
          <cell r="K190">
            <v>110</v>
          </cell>
          <cell r="L190">
            <v>2</v>
          </cell>
          <cell r="M190" t="b">
            <v>0</v>
          </cell>
        </row>
        <row r="191">
          <cell r="A191">
            <v>190</v>
          </cell>
          <cell r="B191" t="str">
            <v>Aipom</v>
          </cell>
          <cell r="C191" t="str">
            <v>Normal</v>
          </cell>
          <cell r="E191">
            <v>360</v>
          </cell>
          <cell r="F191">
            <v>55</v>
          </cell>
          <cell r="G191">
            <v>70</v>
          </cell>
          <cell r="H191">
            <v>55</v>
          </cell>
          <cell r="I191">
            <v>40</v>
          </cell>
          <cell r="J191">
            <v>55</v>
          </cell>
          <cell r="K191">
            <v>85</v>
          </cell>
          <cell r="L191">
            <v>2</v>
          </cell>
          <cell r="M191" t="b">
            <v>0</v>
          </cell>
        </row>
        <row r="192">
          <cell r="A192">
            <v>191</v>
          </cell>
          <cell r="B192" t="str">
            <v>Sunkern</v>
          </cell>
          <cell r="C192" t="str">
            <v>Grass</v>
          </cell>
          <cell r="E192">
            <v>180</v>
          </cell>
          <cell r="F192">
            <v>30</v>
          </cell>
          <cell r="G192">
            <v>30</v>
          </cell>
          <cell r="H192">
            <v>30</v>
          </cell>
          <cell r="I192">
            <v>30</v>
          </cell>
          <cell r="J192">
            <v>30</v>
          </cell>
          <cell r="K192">
            <v>30</v>
          </cell>
          <cell r="L192">
            <v>2</v>
          </cell>
          <cell r="M192" t="b">
            <v>0</v>
          </cell>
        </row>
        <row r="193">
          <cell r="A193">
            <v>192</v>
          </cell>
          <cell r="B193" t="str">
            <v>Sunflora</v>
          </cell>
          <cell r="C193" t="str">
            <v>Grass</v>
          </cell>
          <cell r="E193">
            <v>425</v>
          </cell>
          <cell r="F193">
            <v>75</v>
          </cell>
          <cell r="G193">
            <v>75</v>
          </cell>
          <cell r="H193">
            <v>55</v>
          </cell>
          <cell r="I193">
            <v>105</v>
          </cell>
          <cell r="J193">
            <v>85</v>
          </cell>
          <cell r="K193">
            <v>30</v>
          </cell>
          <cell r="L193">
            <v>2</v>
          </cell>
          <cell r="M193" t="b">
            <v>0</v>
          </cell>
        </row>
        <row r="194">
          <cell r="A194">
            <v>193</v>
          </cell>
          <cell r="B194" t="str">
            <v>Yanma</v>
          </cell>
          <cell r="C194" t="str">
            <v>Bug</v>
          </cell>
          <cell r="D194" t="str">
            <v>Flying</v>
          </cell>
          <cell r="E194">
            <v>390</v>
          </cell>
          <cell r="F194">
            <v>65</v>
          </cell>
          <cell r="G194">
            <v>65</v>
          </cell>
          <cell r="H194">
            <v>45</v>
          </cell>
          <cell r="I194">
            <v>75</v>
          </cell>
          <cell r="J194">
            <v>45</v>
          </cell>
          <cell r="K194">
            <v>95</v>
          </cell>
          <cell r="L194">
            <v>2</v>
          </cell>
          <cell r="M194" t="b">
            <v>0</v>
          </cell>
        </row>
        <row r="195">
          <cell r="A195">
            <v>194</v>
          </cell>
          <cell r="B195" t="str">
            <v>Wooper</v>
          </cell>
          <cell r="C195" t="str">
            <v>Water</v>
          </cell>
          <cell r="D195" t="str">
            <v>Ground</v>
          </cell>
          <cell r="E195">
            <v>210</v>
          </cell>
          <cell r="F195">
            <v>55</v>
          </cell>
          <cell r="G195">
            <v>45</v>
          </cell>
          <cell r="H195">
            <v>45</v>
          </cell>
          <cell r="I195">
            <v>25</v>
          </cell>
          <cell r="J195">
            <v>25</v>
          </cell>
          <cell r="K195">
            <v>15</v>
          </cell>
          <cell r="L195">
            <v>2</v>
          </cell>
          <cell r="M195" t="b">
            <v>0</v>
          </cell>
        </row>
        <row r="196">
          <cell r="A196">
            <v>195</v>
          </cell>
          <cell r="B196" t="str">
            <v>Quagsire</v>
          </cell>
          <cell r="C196" t="str">
            <v>Water</v>
          </cell>
          <cell r="D196" t="str">
            <v>Ground</v>
          </cell>
          <cell r="E196">
            <v>430</v>
          </cell>
          <cell r="F196">
            <v>95</v>
          </cell>
          <cell r="G196">
            <v>85</v>
          </cell>
          <cell r="H196">
            <v>85</v>
          </cell>
          <cell r="I196">
            <v>65</v>
          </cell>
          <cell r="J196">
            <v>65</v>
          </cell>
          <cell r="K196">
            <v>35</v>
          </cell>
          <cell r="L196">
            <v>2</v>
          </cell>
          <cell r="M196" t="b">
            <v>0</v>
          </cell>
        </row>
        <row r="197">
          <cell r="A197">
            <v>196</v>
          </cell>
          <cell r="B197" t="str">
            <v>Espeon</v>
          </cell>
          <cell r="C197" t="str">
            <v>Psychic</v>
          </cell>
          <cell r="E197">
            <v>525</v>
          </cell>
          <cell r="F197">
            <v>65</v>
          </cell>
          <cell r="G197">
            <v>65</v>
          </cell>
          <cell r="H197">
            <v>60</v>
          </cell>
          <cell r="I197">
            <v>130</v>
          </cell>
          <cell r="J197">
            <v>95</v>
          </cell>
          <cell r="K197">
            <v>110</v>
          </cell>
          <cell r="L197">
            <v>2</v>
          </cell>
          <cell r="M197" t="b">
            <v>0</v>
          </cell>
        </row>
        <row r="198">
          <cell r="A198">
            <v>197</v>
          </cell>
          <cell r="B198" t="str">
            <v>Umbreon</v>
          </cell>
          <cell r="C198" t="str">
            <v>Dark</v>
          </cell>
          <cell r="E198">
            <v>525</v>
          </cell>
          <cell r="F198">
            <v>95</v>
          </cell>
          <cell r="G198">
            <v>65</v>
          </cell>
          <cell r="H198">
            <v>110</v>
          </cell>
          <cell r="I198">
            <v>60</v>
          </cell>
          <cell r="J198">
            <v>130</v>
          </cell>
          <cell r="K198">
            <v>65</v>
          </cell>
          <cell r="L198">
            <v>2</v>
          </cell>
          <cell r="M198" t="b">
            <v>0</v>
          </cell>
        </row>
        <row r="199">
          <cell r="A199">
            <v>198</v>
          </cell>
          <cell r="B199" t="str">
            <v>Murkrow</v>
          </cell>
          <cell r="C199" t="str">
            <v>Dark</v>
          </cell>
          <cell r="D199" t="str">
            <v>Flying</v>
          </cell>
          <cell r="E199">
            <v>405</v>
          </cell>
          <cell r="F199">
            <v>60</v>
          </cell>
          <cell r="G199">
            <v>85</v>
          </cell>
          <cell r="H199">
            <v>42</v>
          </cell>
          <cell r="I199">
            <v>85</v>
          </cell>
          <cell r="J199">
            <v>42</v>
          </cell>
          <cell r="K199">
            <v>91</v>
          </cell>
          <cell r="L199">
            <v>2</v>
          </cell>
          <cell r="M199" t="b">
            <v>0</v>
          </cell>
        </row>
        <row r="200">
          <cell r="A200">
            <v>199</v>
          </cell>
          <cell r="B200" t="str">
            <v>Slowking</v>
          </cell>
          <cell r="C200" t="str">
            <v>Water</v>
          </cell>
          <cell r="D200" t="str">
            <v>Psychic</v>
          </cell>
          <cell r="E200">
            <v>490</v>
          </cell>
          <cell r="F200">
            <v>95</v>
          </cell>
          <cell r="G200">
            <v>75</v>
          </cell>
          <cell r="H200">
            <v>80</v>
          </cell>
          <cell r="I200">
            <v>100</v>
          </cell>
          <cell r="J200">
            <v>110</v>
          </cell>
          <cell r="K200">
            <v>30</v>
          </cell>
          <cell r="L200">
            <v>2</v>
          </cell>
          <cell r="M200" t="b">
            <v>0</v>
          </cell>
        </row>
        <row r="201">
          <cell r="A201">
            <v>200</v>
          </cell>
          <cell r="B201" t="str">
            <v>Misdreavus</v>
          </cell>
          <cell r="C201" t="str">
            <v>Ghost</v>
          </cell>
          <cell r="E201">
            <v>435</v>
          </cell>
          <cell r="F201">
            <v>60</v>
          </cell>
          <cell r="G201">
            <v>60</v>
          </cell>
          <cell r="H201">
            <v>60</v>
          </cell>
          <cell r="I201">
            <v>85</v>
          </cell>
          <cell r="J201">
            <v>85</v>
          </cell>
          <cell r="K201">
            <v>85</v>
          </cell>
          <cell r="L201">
            <v>2</v>
          </cell>
          <cell r="M201" t="b">
            <v>0</v>
          </cell>
        </row>
        <row r="202">
          <cell r="A202">
            <v>201</v>
          </cell>
          <cell r="B202" t="str">
            <v>Unown</v>
          </cell>
          <cell r="C202" t="str">
            <v>Psychic</v>
          </cell>
          <cell r="E202">
            <v>336</v>
          </cell>
          <cell r="F202">
            <v>48</v>
          </cell>
          <cell r="G202">
            <v>72</v>
          </cell>
          <cell r="H202">
            <v>48</v>
          </cell>
          <cell r="I202">
            <v>72</v>
          </cell>
          <cell r="J202">
            <v>48</v>
          </cell>
          <cell r="K202">
            <v>48</v>
          </cell>
          <cell r="L202">
            <v>2</v>
          </cell>
          <cell r="M202" t="b">
            <v>0</v>
          </cell>
        </row>
        <row r="203">
          <cell r="A203">
            <v>202</v>
          </cell>
          <cell r="B203" t="str">
            <v>Wobbuffet</v>
          </cell>
          <cell r="C203" t="str">
            <v>Psychic</v>
          </cell>
          <cell r="E203">
            <v>405</v>
          </cell>
          <cell r="F203">
            <v>190</v>
          </cell>
          <cell r="G203">
            <v>33</v>
          </cell>
          <cell r="H203">
            <v>58</v>
          </cell>
          <cell r="I203">
            <v>33</v>
          </cell>
          <cell r="J203">
            <v>58</v>
          </cell>
          <cell r="K203">
            <v>33</v>
          </cell>
          <cell r="L203">
            <v>2</v>
          </cell>
          <cell r="M203" t="b">
            <v>0</v>
          </cell>
        </row>
        <row r="204">
          <cell r="A204">
            <v>203</v>
          </cell>
          <cell r="B204" t="str">
            <v>Girafarig</v>
          </cell>
          <cell r="C204" t="str">
            <v>Normal</v>
          </cell>
          <cell r="D204" t="str">
            <v>Psychic</v>
          </cell>
          <cell r="E204">
            <v>455</v>
          </cell>
          <cell r="F204">
            <v>70</v>
          </cell>
          <cell r="G204">
            <v>80</v>
          </cell>
          <cell r="H204">
            <v>65</v>
          </cell>
          <cell r="I204">
            <v>90</v>
          </cell>
          <cell r="J204">
            <v>65</v>
          </cell>
          <cell r="K204">
            <v>85</v>
          </cell>
          <cell r="L204">
            <v>2</v>
          </cell>
          <cell r="M204" t="b">
            <v>0</v>
          </cell>
        </row>
        <row r="205">
          <cell r="A205">
            <v>204</v>
          </cell>
          <cell r="B205" t="str">
            <v>Pineco</v>
          </cell>
          <cell r="C205" t="str">
            <v>Bug</v>
          </cell>
          <cell r="E205">
            <v>290</v>
          </cell>
          <cell r="F205">
            <v>50</v>
          </cell>
          <cell r="G205">
            <v>65</v>
          </cell>
          <cell r="H205">
            <v>90</v>
          </cell>
          <cell r="I205">
            <v>35</v>
          </cell>
          <cell r="J205">
            <v>35</v>
          </cell>
          <cell r="K205">
            <v>15</v>
          </cell>
          <cell r="L205">
            <v>2</v>
          </cell>
          <cell r="M205" t="b">
            <v>0</v>
          </cell>
        </row>
        <row r="206">
          <cell r="A206">
            <v>205</v>
          </cell>
          <cell r="B206" t="str">
            <v>Forretress</v>
          </cell>
          <cell r="C206" t="str">
            <v>Bug</v>
          </cell>
          <cell r="D206" t="str">
            <v>Steel</v>
          </cell>
          <cell r="E206">
            <v>465</v>
          </cell>
          <cell r="F206">
            <v>75</v>
          </cell>
          <cell r="G206">
            <v>90</v>
          </cell>
          <cell r="H206">
            <v>140</v>
          </cell>
          <cell r="I206">
            <v>60</v>
          </cell>
          <cell r="J206">
            <v>60</v>
          </cell>
          <cell r="K206">
            <v>40</v>
          </cell>
          <cell r="L206">
            <v>2</v>
          </cell>
          <cell r="M206" t="b">
            <v>0</v>
          </cell>
        </row>
        <row r="207">
          <cell r="A207">
            <v>206</v>
          </cell>
          <cell r="B207" t="str">
            <v>Dunsparce</v>
          </cell>
          <cell r="C207" t="str">
            <v>Normal</v>
          </cell>
          <cell r="E207">
            <v>415</v>
          </cell>
          <cell r="F207">
            <v>100</v>
          </cell>
          <cell r="G207">
            <v>70</v>
          </cell>
          <cell r="H207">
            <v>70</v>
          </cell>
          <cell r="I207">
            <v>65</v>
          </cell>
          <cell r="J207">
            <v>65</v>
          </cell>
          <cell r="K207">
            <v>45</v>
          </cell>
          <cell r="L207">
            <v>2</v>
          </cell>
          <cell r="M207" t="b">
            <v>0</v>
          </cell>
        </row>
        <row r="208">
          <cell r="A208">
            <v>207</v>
          </cell>
          <cell r="B208" t="str">
            <v>Gligar</v>
          </cell>
          <cell r="C208" t="str">
            <v>Ground</v>
          </cell>
          <cell r="D208" t="str">
            <v>Flying</v>
          </cell>
          <cell r="E208">
            <v>430</v>
          </cell>
          <cell r="F208">
            <v>65</v>
          </cell>
          <cell r="G208">
            <v>75</v>
          </cell>
          <cell r="H208">
            <v>105</v>
          </cell>
          <cell r="I208">
            <v>35</v>
          </cell>
          <cell r="J208">
            <v>65</v>
          </cell>
          <cell r="K208">
            <v>85</v>
          </cell>
          <cell r="L208">
            <v>2</v>
          </cell>
          <cell r="M208" t="b">
            <v>0</v>
          </cell>
        </row>
        <row r="209">
          <cell r="A209">
            <v>208</v>
          </cell>
          <cell r="B209" t="str">
            <v>Steelix</v>
          </cell>
          <cell r="C209" t="str">
            <v>Steel</v>
          </cell>
          <cell r="D209" t="str">
            <v>Ground</v>
          </cell>
          <cell r="E209">
            <v>510</v>
          </cell>
          <cell r="F209">
            <v>75</v>
          </cell>
          <cell r="G209">
            <v>85</v>
          </cell>
          <cell r="H209">
            <v>200</v>
          </cell>
          <cell r="I209">
            <v>55</v>
          </cell>
          <cell r="J209">
            <v>65</v>
          </cell>
          <cell r="K209">
            <v>30</v>
          </cell>
          <cell r="L209">
            <v>2</v>
          </cell>
          <cell r="M209" t="b">
            <v>0</v>
          </cell>
        </row>
        <row r="210">
          <cell r="A210">
            <v>209</v>
          </cell>
          <cell r="B210" t="str">
            <v>Snubbull</v>
          </cell>
          <cell r="C210" t="str">
            <v>Fairy</v>
          </cell>
          <cell r="E210">
            <v>300</v>
          </cell>
          <cell r="F210">
            <v>60</v>
          </cell>
          <cell r="G210">
            <v>80</v>
          </cell>
          <cell r="H210">
            <v>50</v>
          </cell>
          <cell r="I210">
            <v>40</v>
          </cell>
          <cell r="J210">
            <v>40</v>
          </cell>
          <cell r="K210">
            <v>30</v>
          </cell>
          <cell r="L210">
            <v>2</v>
          </cell>
          <cell r="M210" t="b">
            <v>0</v>
          </cell>
        </row>
        <row r="211">
          <cell r="A211">
            <v>210</v>
          </cell>
          <cell r="B211" t="str">
            <v>Granbull</v>
          </cell>
          <cell r="C211" t="str">
            <v>Fairy</v>
          </cell>
          <cell r="E211">
            <v>450</v>
          </cell>
          <cell r="F211">
            <v>90</v>
          </cell>
          <cell r="G211">
            <v>120</v>
          </cell>
          <cell r="H211">
            <v>75</v>
          </cell>
          <cell r="I211">
            <v>60</v>
          </cell>
          <cell r="J211">
            <v>60</v>
          </cell>
          <cell r="K211">
            <v>45</v>
          </cell>
          <cell r="L211">
            <v>2</v>
          </cell>
          <cell r="M211" t="b">
            <v>0</v>
          </cell>
        </row>
        <row r="212">
          <cell r="A212">
            <v>211</v>
          </cell>
          <cell r="B212" t="str">
            <v>Qwilfish</v>
          </cell>
          <cell r="C212" t="str">
            <v>Water</v>
          </cell>
          <cell r="D212" t="str">
            <v>Poison</v>
          </cell>
          <cell r="E212">
            <v>430</v>
          </cell>
          <cell r="F212">
            <v>65</v>
          </cell>
          <cell r="G212">
            <v>95</v>
          </cell>
          <cell r="H212">
            <v>75</v>
          </cell>
          <cell r="I212">
            <v>55</v>
          </cell>
          <cell r="J212">
            <v>55</v>
          </cell>
          <cell r="K212">
            <v>85</v>
          </cell>
          <cell r="L212">
            <v>2</v>
          </cell>
          <cell r="M212" t="b">
            <v>0</v>
          </cell>
        </row>
        <row r="213">
          <cell r="A213">
            <v>212</v>
          </cell>
          <cell r="B213" t="str">
            <v>Scizor</v>
          </cell>
          <cell r="C213" t="str">
            <v>Bug</v>
          </cell>
          <cell r="D213" t="str">
            <v>Steel</v>
          </cell>
          <cell r="E213">
            <v>500</v>
          </cell>
          <cell r="F213">
            <v>70</v>
          </cell>
          <cell r="G213">
            <v>130</v>
          </cell>
          <cell r="H213">
            <v>100</v>
          </cell>
          <cell r="I213">
            <v>55</v>
          </cell>
          <cell r="J213">
            <v>80</v>
          </cell>
          <cell r="K213">
            <v>65</v>
          </cell>
          <cell r="L213">
            <v>2</v>
          </cell>
          <cell r="M213" t="b">
            <v>0</v>
          </cell>
        </row>
        <row r="214">
          <cell r="A214">
            <v>213</v>
          </cell>
          <cell r="B214" t="str">
            <v>Shuckle</v>
          </cell>
          <cell r="C214" t="str">
            <v>Bug</v>
          </cell>
          <cell r="D214" t="str">
            <v>Rock</v>
          </cell>
          <cell r="E214">
            <v>505</v>
          </cell>
          <cell r="F214">
            <v>20</v>
          </cell>
          <cell r="G214">
            <v>10</v>
          </cell>
          <cell r="H214">
            <v>230</v>
          </cell>
          <cell r="I214">
            <v>10</v>
          </cell>
          <cell r="J214">
            <v>230</v>
          </cell>
          <cell r="K214">
            <v>5</v>
          </cell>
          <cell r="L214">
            <v>2</v>
          </cell>
          <cell r="M214" t="b">
            <v>0</v>
          </cell>
        </row>
        <row r="215">
          <cell r="A215">
            <v>214</v>
          </cell>
          <cell r="B215" t="str">
            <v>Heracross</v>
          </cell>
          <cell r="C215" t="str">
            <v>Bug</v>
          </cell>
          <cell r="D215" t="str">
            <v>Fighting</v>
          </cell>
          <cell r="E215">
            <v>500</v>
          </cell>
          <cell r="F215">
            <v>80</v>
          </cell>
          <cell r="G215">
            <v>125</v>
          </cell>
          <cell r="H215">
            <v>75</v>
          </cell>
          <cell r="I215">
            <v>40</v>
          </cell>
          <cell r="J215">
            <v>95</v>
          </cell>
          <cell r="K215">
            <v>85</v>
          </cell>
          <cell r="L215">
            <v>2</v>
          </cell>
          <cell r="M215" t="b">
            <v>0</v>
          </cell>
        </row>
        <row r="216">
          <cell r="A216">
            <v>215</v>
          </cell>
          <cell r="B216" t="str">
            <v>Sneasel</v>
          </cell>
          <cell r="C216" t="str">
            <v>Dark</v>
          </cell>
          <cell r="D216" t="str">
            <v>Ice</v>
          </cell>
          <cell r="E216">
            <v>430</v>
          </cell>
          <cell r="F216">
            <v>55</v>
          </cell>
          <cell r="G216">
            <v>95</v>
          </cell>
          <cell r="H216">
            <v>55</v>
          </cell>
          <cell r="I216">
            <v>35</v>
          </cell>
          <cell r="J216">
            <v>75</v>
          </cell>
          <cell r="K216">
            <v>115</v>
          </cell>
          <cell r="L216">
            <v>2</v>
          </cell>
          <cell r="M216" t="b">
            <v>0</v>
          </cell>
        </row>
        <row r="217">
          <cell r="A217">
            <v>216</v>
          </cell>
          <cell r="B217" t="str">
            <v>Teddiursa</v>
          </cell>
          <cell r="C217" t="str">
            <v>Normal</v>
          </cell>
          <cell r="E217">
            <v>330</v>
          </cell>
          <cell r="F217">
            <v>60</v>
          </cell>
          <cell r="G217">
            <v>80</v>
          </cell>
          <cell r="H217">
            <v>50</v>
          </cell>
          <cell r="I217">
            <v>50</v>
          </cell>
          <cell r="J217">
            <v>50</v>
          </cell>
          <cell r="K217">
            <v>40</v>
          </cell>
          <cell r="L217">
            <v>2</v>
          </cell>
          <cell r="M217" t="b">
            <v>0</v>
          </cell>
        </row>
        <row r="218">
          <cell r="A218">
            <v>217</v>
          </cell>
          <cell r="B218" t="str">
            <v>Ursaring</v>
          </cell>
          <cell r="C218" t="str">
            <v>Normal</v>
          </cell>
          <cell r="E218">
            <v>500</v>
          </cell>
          <cell r="F218">
            <v>90</v>
          </cell>
          <cell r="G218">
            <v>130</v>
          </cell>
          <cell r="H218">
            <v>75</v>
          </cell>
          <cell r="I218">
            <v>75</v>
          </cell>
          <cell r="J218">
            <v>75</v>
          </cell>
          <cell r="K218">
            <v>55</v>
          </cell>
          <cell r="L218">
            <v>2</v>
          </cell>
          <cell r="M218" t="b">
            <v>0</v>
          </cell>
        </row>
        <row r="219">
          <cell r="A219">
            <v>218</v>
          </cell>
          <cell r="B219" t="str">
            <v>Slugma</v>
          </cell>
          <cell r="C219" t="str">
            <v>Fire</v>
          </cell>
          <cell r="E219">
            <v>250</v>
          </cell>
          <cell r="F219">
            <v>40</v>
          </cell>
          <cell r="G219">
            <v>40</v>
          </cell>
          <cell r="H219">
            <v>40</v>
          </cell>
          <cell r="I219">
            <v>70</v>
          </cell>
          <cell r="J219">
            <v>40</v>
          </cell>
          <cell r="K219">
            <v>20</v>
          </cell>
          <cell r="L219">
            <v>2</v>
          </cell>
          <cell r="M219" t="b">
            <v>0</v>
          </cell>
        </row>
        <row r="220">
          <cell r="A220">
            <v>219</v>
          </cell>
          <cell r="B220" t="str">
            <v>Magcargo</v>
          </cell>
          <cell r="C220" t="str">
            <v>Fire</v>
          </cell>
          <cell r="D220" t="str">
            <v>Rock</v>
          </cell>
          <cell r="E220">
            <v>410</v>
          </cell>
          <cell r="F220">
            <v>50</v>
          </cell>
          <cell r="G220">
            <v>50</v>
          </cell>
          <cell r="H220">
            <v>120</v>
          </cell>
          <cell r="I220">
            <v>80</v>
          </cell>
          <cell r="J220">
            <v>80</v>
          </cell>
          <cell r="K220">
            <v>30</v>
          </cell>
          <cell r="L220">
            <v>2</v>
          </cell>
          <cell r="M220" t="b">
            <v>0</v>
          </cell>
        </row>
        <row r="221">
          <cell r="A221">
            <v>220</v>
          </cell>
          <cell r="B221" t="str">
            <v>Swinub</v>
          </cell>
          <cell r="C221" t="str">
            <v>Ice</v>
          </cell>
          <cell r="D221" t="str">
            <v>Ground</v>
          </cell>
          <cell r="E221">
            <v>250</v>
          </cell>
          <cell r="F221">
            <v>50</v>
          </cell>
          <cell r="G221">
            <v>50</v>
          </cell>
          <cell r="H221">
            <v>40</v>
          </cell>
          <cell r="I221">
            <v>30</v>
          </cell>
          <cell r="J221">
            <v>30</v>
          </cell>
          <cell r="K221">
            <v>50</v>
          </cell>
          <cell r="L221">
            <v>2</v>
          </cell>
          <cell r="M221" t="b">
            <v>0</v>
          </cell>
        </row>
        <row r="222">
          <cell r="A222">
            <v>221</v>
          </cell>
          <cell r="B222" t="str">
            <v>Piloswine</v>
          </cell>
          <cell r="C222" t="str">
            <v>Ice</v>
          </cell>
          <cell r="D222" t="str">
            <v>Ground</v>
          </cell>
          <cell r="E222">
            <v>450</v>
          </cell>
          <cell r="F222">
            <v>100</v>
          </cell>
          <cell r="G222">
            <v>100</v>
          </cell>
          <cell r="H222">
            <v>80</v>
          </cell>
          <cell r="I222">
            <v>60</v>
          </cell>
          <cell r="J222">
            <v>60</v>
          </cell>
          <cell r="K222">
            <v>50</v>
          </cell>
          <cell r="L222">
            <v>2</v>
          </cell>
          <cell r="M222" t="b">
            <v>0</v>
          </cell>
        </row>
        <row r="223">
          <cell r="A223">
            <v>222</v>
          </cell>
          <cell r="B223" t="str">
            <v>Corsola</v>
          </cell>
          <cell r="C223" t="str">
            <v>Water</v>
          </cell>
          <cell r="D223" t="str">
            <v>Rock</v>
          </cell>
          <cell r="E223">
            <v>380</v>
          </cell>
          <cell r="F223">
            <v>55</v>
          </cell>
          <cell r="G223">
            <v>55</v>
          </cell>
          <cell r="H223">
            <v>85</v>
          </cell>
          <cell r="I223">
            <v>65</v>
          </cell>
          <cell r="J223">
            <v>85</v>
          </cell>
          <cell r="K223">
            <v>35</v>
          </cell>
          <cell r="L223">
            <v>2</v>
          </cell>
          <cell r="M223" t="b">
            <v>0</v>
          </cell>
        </row>
        <row r="224">
          <cell r="A224">
            <v>223</v>
          </cell>
          <cell r="B224" t="str">
            <v>Remoraid</v>
          </cell>
          <cell r="C224" t="str">
            <v>Water</v>
          </cell>
          <cell r="E224">
            <v>300</v>
          </cell>
          <cell r="F224">
            <v>35</v>
          </cell>
          <cell r="G224">
            <v>65</v>
          </cell>
          <cell r="H224">
            <v>35</v>
          </cell>
          <cell r="I224">
            <v>65</v>
          </cell>
          <cell r="J224">
            <v>35</v>
          </cell>
          <cell r="K224">
            <v>65</v>
          </cell>
          <cell r="L224">
            <v>2</v>
          </cell>
          <cell r="M224" t="b">
            <v>0</v>
          </cell>
        </row>
        <row r="225">
          <cell r="A225">
            <v>224</v>
          </cell>
          <cell r="B225" t="str">
            <v>Octillery</v>
          </cell>
          <cell r="C225" t="str">
            <v>Water</v>
          </cell>
          <cell r="E225">
            <v>480</v>
          </cell>
          <cell r="F225">
            <v>75</v>
          </cell>
          <cell r="G225">
            <v>105</v>
          </cell>
          <cell r="H225">
            <v>75</v>
          </cell>
          <cell r="I225">
            <v>105</v>
          </cell>
          <cell r="J225">
            <v>75</v>
          </cell>
          <cell r="K225">
            <v>45</v>
          </cell>
          <cell r="L225">
            <v>2</v>
          </cell>
          <cell r="M225" t="b">
            <v>0</v>
          </cell>
        </row>
        <row r="226">
          <cell r="A226">
            <v>225</v>
          </cell>
          <cell r="B226" t="str">
            <v>Delibird</v>
          </cell>
          <cell r="C226" t="str">
            <v>Ice</v>
          </cell>
          <cell r="D226" t="str">
            <v>Flying</v>
          </cell>
          <cell r="E226">
            <v>330</v>
          </cell>
          <cell r="F226">
            <v>45</v>
          </cell>
          <cell r="G226">
            <v>55</v>
          </cell>
          <cell r="H226">
            <v>45</v>
          </cell>
          <cell r="I226">
            <v>65</v>
          </cell>
          <cell r="J226">
            <v>45</v>
          </cell>
          <cell r="K226">
            <v>75</v>
          </cell>
          <cell r="L226">
            <v>2</v>
          </cell>
          <cell r="M226" t="b">
            <v>0</v>
          </cell>
        </row>
        <row r="227">
          <cell r="A227">
            <v>226</v>
          </cell>
          <cell r="B227" t="str">
            <v>Mantine</v>
          </cell>
          <cell r="C227" t="str">
            <v>Water</v>
          </cell>
          <cell r="D227" t="str">
            <v>Flying</v>
          </cell>
          <cell r="E227">
            <v>465</v>
          </cell>
          <cell r="F227">
            <v>65</v>
          </cell>
          <cell r="G227">
            <v>40</v>
          </cell>
          <cell r="H227">
            <v>70</v>
          </cell>
          <cell r="I227">
            <v>80</v>
          </cell>
          <cell r="J227">
            <v>140</v>
          </cell>
          <cell r="K227">
            <v>70</v>
          </cell>
          <cell r="L227">
            <v>2</v>
          </cell>
          <cell r="M227" t="b">
            <v>0</v>
          </cell>
        </row>
        <row r="228">
          <cell r="A228">
            <v>227</v>
          </cell>
          <cell r="B228" t="str">
            <v>Skarmory</v>
          </cell>
          <cell r="C228" t="str">
            <v>Steel</v>
          </cell>
          <cell r="D228" t="str">
            <v>Flying</v>
          </cell>
          <cell r="E228">
            <v>465</v>
          </cell>
          <cell r="F228">
            <v>65</v>
          </cell>
          <cell r="G228">
            <v>80</v>
          </cell>
          <cell r="H228">
            <v>140</v>
          </cell>
          <cell r="I228">
            <v>40</v>
          </cell>
          <cell r="J228">
            <v>70</v>
          </cell>
          <cell r="K228">
            <v>70</v>
          </cell>
          <cell r="L228">
            <v>2</v>
          </cell>
          <cell r="M228" t="b">
            <v>0</v>
          </cell>
        </row>
        <row r="229">
          <cell r="A229">
            <v>228</v>
          </cell>
          <cell r="B229" t="str">
            <v>Houndour</v>
          </cell>
          <cell r="C229" t="str">
            <v>Dark</v>
          </cell>
          <cell r="D229" t="str">
            <v>Fire</v>
          </cell>
          <cell r="E229">
            <v>330</v>
          </cell>
          <cell r="F229">
            <v>45</v>
          </cell>
          <cell r="G229">
            <v>60</v>
          </cell>
          <cell r="H229">
            <v>30</v>
          </cell>
          <cell r="I229">
            <v>80</v>
          </cell>
          <cell r="J229">
            <v>50</v>
          </cell>
          <cell r="K229">
            <v>65</v>
          </cell>
          <cell r="L229">
            <v>2</v>
          </cell>
          <cell r="M229" t="b">
            <v>0</v>
          </cell>
        </row>
        <row r="230">
          <cell r="A230">
            <v>229</v>
          </cell>
          <cell r="B230" t="str">
            <v>Houndoom</v>
          </cell>
          <cell r="C230" t="str">
            <v>Dark</v>
          </cell>
          <cell r="D230" t="str">
            <v>Fire</v>
          </cell>
          <cell r="E230">
            <v>500</v>
          </cell>
          <cell r="F230">
            <v>75</v>
          </cell>
          <cell r="G230">
            <v>90</v>
          </cell>
          <cell r="H230">
            <v>50</v>
          </cell>
          <cell r="I230">
            <v>110</v>
          </cell>
          <cell r="J230">
            <v>80</v>
          </cell>
          <cell r="K230">
            <v>95</v>
          </cell>
          <cell r="L230">
            <v>2</v>
          </cell>
          <cell r="M230" t="b">
            <v>0</v>
          </cell>
        </row>
        <row r="231">
          <cell r="A231">
            <v>230</v>
          </cell>
          <cell r="B231" t="str">
            <v>Kingdra</v>
          </cell>
          <cell r="C231" t="str">
            <v>Water</v>
          </cell>
          <cell r="D231" t="str">
            <v>Dragon</v>
          </cell>
          <cell r="E231">
            <v>540</v>
          </cell>
          <cell r="F231">
            <v>75</v>
          </cell>
          <cell r="G231">
            <v>95</v>
          </cell>
          <cell r="H231">
            <v>95</v>
          </cell>
          <cell r="I231">
            <v>95</v>
          </cell>
          <cell r="J231">
            <v>95</v>
          </cell>
          <cell r="K231">
            <v>85</v>
          </cell>
          <cell r="L231">
            <v>2</v>
          </cell>
          <cell r="M231" t="b">
            <v>0</v>
          </cell>
        </row>
        <row r="232">
          <cell r="A232">
            <v>231</v>
          </cell>
          <cell r="B232" t="str">
            <v>Phanpy</v>
          </cell>
          <cell r="C232" t="str">
            <v>Ground</v>
          </cell>
          <cell r="E232">
            <v>330</v>
          </cell>
          <cell r="F232">
            <v>90</v>
          </cell>
          <cell r="G232">
            <v>60</v>
          </cell>
          <cell r="H232">
            <v>60</v>
          </cell>
          <cell r="I232">
            <v>40</v>
          </cell>
          <cell r="J232">
            <v>40</v>
          </cell>
          <cell r="K232">
            <v>40</v>
          </cell>
          <cell r="L232">
            <v>2</v>
          </cell>
          <cell r="M232" t="b">
            <v>0</v>
          </cell>
        </row>
        <row r="233">
          <cell r="A233">
            <v>232</v>
          </cell>
          <cell r="B233" t="str">
            <v>Donphan</v>
          </cell>
          <cell r="C233" t="str">
            <v>Ground</v>
          </cell>
          <cell r="E233">
            <v>500</v>
          </cell>
          <cell r="F233">
            <v>90</v>
          </cell>
          <cell r="G233">
            <v>120</v>
          </cell>
          <cell r="H233">
            <v>120</v>
          </cell>
          <cell r="I233">
            <v>60</v>
          </cell>
          <cell r="J233">
            <v>60</v>
          </cell>
          <cell r="K233">
            <v>50</v>
          </cell>
          <cell r="L233">
            <v>2</v>
          </cell>
          <cell r="M233" t="b">
            <v>0</v>
          </cell>
        </row>
        <row r="234">
          <cell r="A234">
            <v>233</v>
          </cell>
          <cell r="B234" t="str">
            <v>Porygon2</v>
          </cell>
          <cell r="C234" t="str">
            <v>Normal</v>
          </cell>
          <cell r="E234">
            <v>515</v>
          </cell>
          <cell r="F234">
            <v>85</v>
          </cell>
          <cell r="G234">
            <v>80</v>
          </cell>
          <cell r="H234">
            <v>90</v>
          </cell>
          <cell r="I234">
            <v>105</v>
          </cell>
          <cell r="J234">
            <v>95</v>
          </cell>
          <cell r="K234">
            <v>60</v>
          </cell>
          <cell r="L234">
            <v>2</v>
          </cell>
          <cell r="M234" t="b">
            <v>0</v>
          </cell>
        </row>
        <row r="235">
          <cell r="A235">
            <v>234</v>
          </cell>
          <cell r="B235" t="str">
            <v>Stantler</v>
          </cell>
          <cell r="C235" t="str">
            <v>Normal</v>
          </cell>
          <cell r="E235">
            <v>465</v>
          </cell>
          <cell r="F235">
            <v>73</v>
          </cell>
          <cell r="G235">
            <v>95</v>
          </cell>
          <cell r="H235">
            <v>62</v>
          </cell>
          <cell r="I235">
            <v>85</v>
          </cell>
          <cell r="J235">
            <v>65</v>
          </cell>
          <cell r="K235">
            <v>85</v>
          </cell>
          <cell r="L235">
            <v>2</v>
          </cell>
          <cell r="M235" t="b">
            <v>0</v>
          </cell>
        </row>
        <row r="236">
          <cell r="A236">
            <v>235</v>
          </cell>
          <cell r="B236" t="str">
            <v>Smeargle</v>
          </cell>
          <cell r="C236" t="str">
            <v>Normal</v>
          </cell>
          <cell r="E236">
            <v>250</v>
          </cell>
          <cell r="F236">
            <v>55</v>
          </cell>
          <cell r="G236">
            <v>20</v>
          </cell>
          <cell r="H236">
            <v>35</v>
          </cell>
          <cell r="I236">
            <v>20</v>
          </cell>
          <cell r="J236">
            <v>45</v>
          </cell>
          <cell r="K236">
            <v>75</v>
          </cell>
          <cell r="L236">
            <v>2</v>
          </cell>
          <cell r="M236" t="b">
            <v>0</v>
          </cell>
        </row>
        <row r="237">
          <cell r="A237">
            <v>236</v>
          </cell>
          <cell r="B237" t="str">
            <v>Tyrogue</v>
          </cell>
          <cell r="C237" t="str">
            <v>Fighting</v>
          </cell>
          <cell r="E237">
            <v>210</v>
          </cell>
          <cell r="F237">
            <v>35</v>
          </cell>
          <cell r="G237">
            <v>35</v>
          </cell>
          <cell r="H237">
            <v>35</v>
          </cell>
          <cell r="I237">
            <v>35</v>
          </cell>
          <cell r="J237">
            <v>35</v>
          </cell>
          <cell r="K237">
            <v>35</v>
          </cell>
          <cell r="L237">
            <v>2</v>
          </cell>
          <cell r="M237" t="b">
            <v>0</v>
          </cell>
        </row>
        <row r="238">
          <cell r="A238">
            <v>237</v>
          </cell>
          <cell r="B238" t="str">
            <v>Hitmontop</v>
          </cell>
          <cell r="C238" t="str">
            <v>Fighting</v>
          </cell>
          <cell r="E238">
            <v>455</v>
          </cell>
          <cell r="F238">
            <v>50</v>
          </cell>
          <cell r="G238">
            <v>95</v>
          </cell>
          <cell r="H238">
            <v>95</v>
          </cell>
          <cell r="I238">
            <v>35</v>
          </cell>
          <cell r="J238">
            <v>110</v>
          </cell>
          <cell r="K238">
            <v>70</v>
          </cell>
          <cell r="L238">
            <v>2</v>
          </cell>
          <cell r="M238" t="b">
            <v>0</v>
          </cell>
        </row>
        <row r="239">
          <cell r="A239">
            <v>238</v>
          </cell>
          <cell r="B239" t="str">
            <v>Smoochum</v>
          </cell>
          <cell r="C239" t="str">
            <v>Ice</v>
          </cell>
          <cell r="D239" t="str">
            <v>Psychic</v>
          </cell>
          <cell r="E239">
            <v>305</v>
          </cell>
          <cell r="F239">
            <v>45</v>
          </cell>
          <cell r="G239">
            <v>30</v>
          </cell>
          <cell r="H239">
            <v>15</v>
          </cell>
          <cell r="I239">
            <v>85</v>
          </cell>
          <cell r="J239">
            <v>65</v>
          </cell>
          <cell r="K239">
            <v>65</v>
          </cell>
          <cell r="L239">
            <v>2</v>
          </cell>
          <cell r="M239" t="b">
            <v>0</v>
          </cell>
        </row>
        <row r="240">
          <cell r="A240">
            <v>239</v>
          </cell>
          <cell r="B240" t="str">
            <v>Elekid</v>
          </cell>
          <cell r="C240" t="str">
            <v>Electric</v>
          </cell>
          <cell r="E240">
            <v>360</v>
          </cell>
          <cell r="F240">
            <v>45</v>
          </cell>
          <cell r="G240">
            <v>63</v>
          </cell>
          <cell r="H240">
            <v>37</v>
          </cell>
          <cell r="I240">
            <v>65</v>
          </cell>
          <cell r="J240">
            <v>55</v>
          </cell>
          <cell r="K240">
            <v>95</v>
          </cell>
          <cell r="L240">
            <v>2</v>
          </cell>
          <cell r="M240" t="b">
            <v>0</v>
          </cell>
        </row>
        <row r="241">
          <cell r="A241">
            <v>240</v>
          </cell>
          <cell r="B241" t="str">
            <v>Magby</v>
          </cell>
          <cell r="C241" t="str">
            <v>Fire</v>
          </cell>
          <cell r="E241">
            <v>365</v>
          </cell>
          <cell r="F241">
            <v>45</v>
          </cell>
          <cell r="G241">
            <v>75</v>
          </cell>
          <cell r="H241">
            <v>37</v>
          </cell>
          <cell r="I241">
            <v>70</v>
          </cell>
          <cell r="J241">
            <v>55</v>
          </cell>
          <cell r="K241">
            <v>83</v>
          </cell>
          <cell r="L241">
            <v>2</v>
          </cell>
          <cell r="M241" t="b">
            <v>0</v>
          </cell>
        </row>
        <row r="242">
          <cell r="A242">
            <v>241</v>
          </cell>
          <cell r="B242" t="str">
            <v>Miltank</v>
          </cell>
          <cell r="C242" t="str">
            <v>Normal</v>
          </cell>
          <cell r="E242">
            <v>490</v>
          </cell>
          <cell r="F242">
            <v>95</v>
          </cell>
          <cell r="G242">
            <v>80</v>
          </cell>
          <cell r="H242">
            <v>105</v>
          </cell>
          <cell r="I242">
            <v>40</v>
          </cell>
          <cell r="J242">
            <v>70</v>
          </cell>
          <cell r="K242">
            <v>100</v>
          </cell>
          <cell r="L242">
            <v>2</v>
          </cell>
          <cell r="M242" t="b">
            <v>0</v>
          </cell>
        </row>
        <row r="243">
          <cell r="A243">
            <v>242</v>
          </cell>
          <cell r="B243" t="str">
            <v>Blissey</v>
          </cell>
          <cell r="C243" t="str">
            <v>Normal</v>
          </cell>
          <cell r="E243">
            <v>540</v>
          </cell>
          <cell r="F243">
            <v>255</v>
          </cell>
          <cell r="G243">
            <v>10</v>
          </cell>
          <cell r="H243">
            <v>10</v>
          </cell>
          <cell r="I243">
            <v>75</v>
          </cell>
          <cell r="J243">
            <v>135</v>
          </cell>
          <cell r="K243">
            <v>55</v>
          </cell>
          <cell r="L243">
            <v>2</v>
          </cell>
          <cell r="M243" t="b">
            <v>0</v>
          </cell>
        </row>
        <row r="244">
          <cell r="A244">
            <v>243</v>
          </cell>
          <cell r="B244" t="str">
            <v>Raikou</v>
          </cell>
          <cell r="C244" t="str">
            <v>Electric</v>
          </cell>
          <cell r="E244">
            <v>580</v>
          </cell>
          <cell r="F244">
            <v>90</v>
          </cell>
          <cell r="G244">
            <v>85</v>
          </cell>
          <cell r="H244">
            <v>75</v>
          </cell>
          <cell r="I244">
            <v>115</v>
          </cell>
          <cell r="J244">
            <v>100</v>
          </cell>
          <cell r="K244">
            <v>115</v>
          </cell>
          <cell r="L244">
            <v>2</v>
          </cell>
          <cell r="M244" t="b">
            <v>1</v>
          </cell>
        </row>
        <row r="245">
          <cell r="A245">
            <v>244</v>
          </cell>
          <cell r="B245" t="str">
            <v>Entei</v>
          </cell>
          <cell r="C245" t="str">
            <v>Fire</v>
          </cell>
          <cell r="E245">
            <v>580</v>
          </cell>
          <cell r="F245">
            <v>115</v>
          </cell>
          <cell r="G245">
            <v>115</v>
          </cell>
          <cell r="H245">
            <v>85</v>
          </cell>
          <cell r="I245">
            <v>90</v>
          </cell>
          <cell r="J245">
            <v>75</v>
          </cell>
          <cell r="K245">
            <v>100</v>
          </cell>
          <cell r="L245">
            <v>2</v>
          </cell>
          <cell r="M245" t="b">
            <v>1</v>
          </cell>
        </row>
        <row r="246">
          <cell r="A246">
            <v>245</v>
          </cell>
          <cell r="B246" t="str">
            <v>Suicune</v>
          </cell>
          <cell r="C246" t="str">
            <v>Water</v>
          </cell>
          <cell r="E246">
            <v>580</v>
          </cell>
          <cell r="F246">
            <v>100</v>
          </cell>
          <cell r="G246">
            <v>75</v>
          </cell>
          <cell r="H246">
            <v>115</v>
          </cell>
          <cell r="I246">
            <v>90</v>
          </cell>
          <cell r="J246">
            <v>115</v>
          </cell>
          <cell r="K246">
            <v>85</v>
          </cell>
          <cell r="L246">
            <v>2</v>
          </cell>
          <cell r="M246" t="b">
            <v>1</v>
          </cell>
        </row>
        <row r="247">
          <cell r="A247">
            <v>246</v>
          </cell>
          <cell r="B247" t="str">
            <v>Larvitar</v>
          </cell>
          <cell r="C247" t="str">
            <v>Rock</v>
          </cell>
          <cell r="D247" t="str">
            <v>Ground</v>
          </cell>
          <cell r="E247">
            <v>300</v>
          </cell>
          <cell r="F247">
            <v>50</v>
          </cell>
          <cell r="G247">
            <v>64</v>
          </cell>
          <cell r="H247">
            <v>50</v>
          </cell>
          <cell r="I247">
            <v>45</v>
          </cell>
          <cell r="J247">
            <v>50</v>
          </cell>
          <cell r="K247">
            <v>41</v>
          </cell>
          <cell r="L247">
            <v>2</v>
          </cell>
          <cell r="M247" t="b">
            <v>0</v>
          </cell>
        </row>
        <row r="248">
          <cell r="A248">
            <v>247</v>
          </cell>
          <cell r="B248" t="str">
            <v>Pupitar</v>
          </cell>
          <cell r="C248" t="str">
            <v>Rock</v>
          </cell>
          <cell r="D248" t="str">
            <v>Ground</v>
          </cell>
          <cell r="E248">
            <v>410</v>
          </cell>
          <cell r="F248">
            <v>70</v>
          </cell>
          <cell r="G248">
            <v>84</v>
          </cell>
          <cell r="H248">
            <v>70</v>
          </cell>
          <cell r="I248">
            <v>65</v>
          </cell>
          <cell r="J248">
            <v>70</v>
          </cell>
          <cell r="K248">
            <v>51</v>
          </cell>
          <cell r="L248">
            <v>2</v>
          </cell>
          <cell r="M248" t="b">
            <v>0</v>
          </cell>
        </row>
        <row r="249">
          <cell r="A249">
            <v>248</v>
          </cell>
          <cell r="B249" t="str">
            <v>Tyranitar</v>
          </cell>
          <cell r="C249" t="str">
            <v>Rock</v>
          </cell>
          <cell r="D249" t="str">
            <v>Dark</v>
          </cell>
          <cell r="E249">
            <v>600</v>
          </cell>
          <cell r="F249">
            <v>100</v>
          </cell>
          <cell r="G249">
            <v>134</v>
          </cell>
          <cell r="H249">
            <v>110</v>
          </cell>
          <cell r="I249">
            <v>95</v>
          </cell>
          <cell r="J249">
            <v>100</v>
          </cell>
          <cell r="K249">
            <v>61</v>
          </cell>
          <cell r="L249">
            <v>2</v>
          </cell>
          <cell r="M249" t="b">
            <v>0</v>
          </cell>
        </row>
        <row r="250">
          <cell r="A250">
            <v>249</v>
          </cell>
          <cell r="B250" t="str">
            <v>Lugia</v>
          </cell>
          <cell r="C250" t="str">
            <v>Psychic</v>
          </cell>
          <cell r="D250" t="str">
            <v>Flying</v>
          </cell>
          <cell r="E250">
            <v>680</v>
          </cell>
          <cell r="F250">
            <v>106</v>
          </cell>
          <cell r="G250">
            <v>90</v>
          </cell>
          <cell r="H250">
            <v>130</v>
          </cell>
          <cell r="I250">
            <v>90</v>
          </cell>
          <cell r="J250">
            <v>154</v>
          </cell>
          <cell r="K250">
            <v>110</v>
          </cell>
          <cell r="L250">
            <v>2</v>
          </cell>
          <cell r="M250" t="b">
            <v>1</v>
          </cell>
        </row>
        <row r="251">
          <cell r="A251">
            <v>250</v>
          </cell>
          <cell r="B251" t="str">
            <v>Ho-oh</v>
          </cell>
          <cell r="C251" t="str">
            <v>Fire</v>
          </cell>
          <cell r="D251" t="str">
            <v>Flying</v>
          </cell>
          <cell r="E251">
            <v>680</v>
          </cell>
          <cell r="F251">
            <v>106</v>
          </cell>
          <cell r="G251">
            <v>130</v>
          </cell>
          <cell r="H251">
            <v>90</v>
          </cell>
          <cell r="I251">
            <v>110</v>
          </cell>
          <cell r="J251">
            <v>154</v>
          </cell>
          <cell r="K251">
            <v>90</v>
          </cell>
          <cell r="L251">
            <v>2</v>
          </cell>
          <cell r="M251" t="b">
            <v>1</v>
          </cell>
        </row>
        <row r="252">
          <cell r="A252">
            <v>251</v>
          </cell>
          <cell r="B252" t="str">
            <v>Celebi</v>
          </cell>
          <cell r="C252" t="str">
            <v>Psychic</v>
          </cell>
          <cell r="D252" t="str">
            <v>Grass</v>
          </cell>
          <cell r="E252">
            <v>600</v>
          </cell>
          <cell r="F252">
            <v>100</v>
          </cell>
          <cell r="G252">
            <v>100</v>
          </cell>
          <cell r="H252">
            <v>100</v>
          </cell>
          <cell r="I252">
            <v>100</v>
          </cell>
          <cell r="J252">
            <v>100</v>
          </cell>
          <cell r="K252">
            <v>100</v>
          </cell>
          <cell r="L252">
            <v>2</v>
          </cell>
          <cell r="M252" t="b">
            <v>1</v>
          </cell>
        </row>
        <row r="253">
          <cell r="A253">
            <v>252</v>
          </cell>
          <cell r="B253" t="str">
            <v>Treecko</v>
          </cell>
          <cell r="C253" t="str">
            <v>Grass</v>
          </cell>
          <cell r="E253">
            <v>310</v>
          </cell>
          <cell r="F253">
            <v>40</v>
          </cell>
          <cell r="G253">
            <v>45</v>
          </cell>
          <cell r="H253">
            <v>35</v>
          </cell>
          <cell r="I253">
            <v>65</v>
          </cell>
          <cell r="J253">
            <v>55</v>
          </cell>
          <cell r="K253">
            <v>70</v>
          </cell>
          <cell r="L253">
            <v>3</v>
          </cell>
          <cell r="M253" t="b">
            <v>0</v>
          </cell>
        </row>
        <row r="254">
          <cell r="A254">
            <v>253</v>
          </cell>
          <cell r="B254" t="str">
            <v>Grovyle</v>
          </cell>
          <cell r="C254" t="str">
            <v>Grass</v>
          </cell>
          <cell r="E254">
            <v>405</v>
          </cell>
          <cell r="F254">
            <v>50</v>
          </cell>
          <cell r="G254">
            <v>65</v>
          </cell>
          <cell r="H254">
            <v>45</v>
          </cell>
          <cell r="I254">
            <v>85</v>
          </cell>
          <cell r="J254">
            <v>65</v>
          </cell>
          <cell r="K254">
            <v>95</v>
          </cell>
          <cell r="L254">
            <v>3</v>
          </cell>
          <cell r="M254" t="b">
            <v>0</v>
          </cell>
        </row>
        <row r="255">
          <cell r="A255">
            <v>254</v>
          </cell>
          <cell r="B255" t="str">
            <v>Sceptile</v>
          </cell>
          <cell r="C255" t="str">
            <v>Grass</v>
          </cell>
          <cell r="E255">
            <v>530</v>
          </cell>
          <cell r="F255">
            <v>70</v>
          </cell>
          <cell r="G255">
            <v>85</v>
          </cell>
          <cell r="H255">
            <v>65</v>
          </cell>
          <cell r="I255">
            <v>105</v>
          </cell>
          <cell r="J255">
            <v>85</v>
          </cell>
          <cell r="K255">
            <v>120</v>
          </cell>
          <cell r="L255">
            <v>3</v>
          </cell>
          <cell r="M255" t="b">
            <v>0</v>
          </cell>
        </row>
        <row r="256">
          <cell r="A256">
            <v>255</v>
          </cell>
          <cell r="B256" t="str">
            <v>Torchic</v>
          </cell>
          <cell r="C256" t="str">
            <v>Fire</v>
          </cell>
          <cell r="E256">
            <v>310</v>
          </cell>
          <cell r="F256">
            <v>45</v>
          </cell>
          <cell r="G256">
            <v>60</v>
          </cell>
          <cell r="H256">
            <v>40</v>
          </cell>
          <cell r="I256">
            <v>70</v>
          </cell>
          <cell r="J256">
            <v>50</v>
          </cell>
          <cell r="K256">
            <v>45</v>
          </cell>
          <cell r="L256">
            <v>3</v>
          </cell>
          <cell r="M256" t="b">
            <v>0</v>
          </cell>
        </row>
        <row r="257">
          <cell r="A257">
            <v>256</v>
          </cell>
          <cell r="B257" t="str">
            <v>Combusken</v>
          </cell>
          <cell r="C257" t="str">
            <v>Fire</v>
          </cell>
          <cell r="D257" t="str">
            <v>Fighting</v>
          </cell>
          <cell r="E257">
            <v>405</v>
          </cell>
          <cell r="F257">
            <v>60</v>
          </cell>
          <cell r="G257">
            <v>85</v>
          </cell>
          <cell r="H257">
            <v>60</v>
          </cell>
          <cell r="I257">
            <v>85</v>
          </cell>
          <cell r="J257">
            <v>60</v>
          </cell>
          <cell r="K257">
            <v>55</v>
          </cell>
          <cell r="L257">
            <v>3</v>
          </cell>
          <cell r="M257" t="b">
            <v>0</v>
          </cell>
        </row>
        <row r="258">
          <cell r="A258">
            <v>257</v>
          </cell>
          <cell r="B258" t="str">
            <v>Blaziken</v>
          </cell>
          <cell r="C258" t="str">
            <v>Fire</v>
          </cell>
          <cell r="D258" t="str">
            <v>Fighting</v>
          </cell>
          <cell r="E258">
            <v>530</v>
          </cell>
          <cell r="F258">
            <v>80</v>
          </cell>
          <cell r="G258">
            <v>120</v>
          </cell>
          <cell r="H258">
            <v>70</v>
          </cell>
          <cell r="I258">
            <v>110</v>
          </cell>
          <cell r="J258">
            <v>70</v>
          </cell>
          <cell r="K258">
            <v>80</v>
          </cell>
          <cell r="L258">
            <v>3</v>
          </cell>
          <cell r="M258" t="b">
            <v>0</v>
          </cell>
        </row>
        <row r="259">
          <cell r="A259">
            <v>258</v>
          </cell>
          <cell r="B259" t="str">
            <v>Mudkip</v>
          </cell>
          <cell r="C259" t="str">
            <v>Water</v>
          </cell>
          <cell r="E259">
            <v>310</v>
          </cell>
          <cell r="F259">
            <v>50</v>
          </cell>
          <cell r="G259">
            <v>70</v>
          </cell>
          <cell r="H259">
            <v>50</v>
          </cell>
          <cell r="I259">
            <v>50</v>
          </cell>
          <cell r="J259">
            <v>50</v>
          </cell>
          <cell r="K259">
            <v>40</v>
          </cell>
          <cell r="L259">
            <v>3</v>
          </cell>
          <cell r="M259" t="b">
            <v>0</v>
          </cell>
        </row>
        <row r="260">
          <cell r="A260">
            <v>259</v>
          </cell>
          <cell r="B260" t="str">
            <v>Marshtomp</v>
          </cell>
          <cell r="C260" t="str">
            <v>Water</v>
          </cell>
          <cell r="D260" t="str">
            <v>Ground</v>
          </cell>
          <cell r="E260">
            <v>405</v>
          </cell>
          <cell r="F260">
            <v>70</v>
          </cell>
          <cell r="G260">
            <v>85</v>
          </cell>
          <cell r="H260">
            <v>70</v>
          </cell>
          <cell r="I260">
            <v>60</v>
          </cell>
          <cell r="J260">
            <v>70</v>
          </cell>
          <cell r="K260">
            <v>50</v>
          </cell>
          <cell r="L260">
            <v>3</v>
          </cell>
          <cell r="M260" t="b">
            <v>0</v>
          </cell>
        </row>
        <row r="261">
          <cell r="A261">
            <v>260</v>
          </cell>
          <cell r="B261" t="str">
            <v>Swampert</v>
          </cell>
          <cell r="C261" t="str">
            <v>Water</v>
          </cell>
          <cell r="D261" t="str">
            <v>Ground</v>
          </cell>
          <cell r="E261">
            <v>535</v>
          </cell>
          <cell r="F261">
            <v>100</v>
          </cell>
          <cell r="G261">
            <v>110</v>
          </cell>
          <cell r="H261">
            <v>90</v>
          </cell>
          <cell r="I261">
            <v>85</v>
          </cell>
          <cell r="J261">
            <v>90</v>
          </cell>
          <cell r="K261">
            <v>60</v>
          </cell>
          <cell r="L261">
            <v>3</v>
          </cell>
          <cell r="M261" t="b">
            <v>0</v>
          </cell>
        </row>
        <row r="262">
          <cell r="A262">
            <v>261</v>
          </cell>
          <cell r="B262" t="str">
            <v>Poochyena</v>
          </cell>
          <cell r="C262" t="str">
            <v>Dark</v>
          </cell>
          <cell r="E262">
            <v>220</v>
          </cell>
          <cell r="F262">
            <v>35</v>
          </cell>
          <cell r="G262">
            <v>55</v>
          </cell>
          <cell r="H262">
            <v>35</v>
          </cell>
          <cell r="I262">
            <v>30</v>
          </cell>
          <cell r="J262">
            <v>30</v>
          </cell>
          <cell r="K262">
            <v>35</v>
          </cell>
          <cell r="L262">
            <v>3</v>
          </cell>
          <cell r="M262" t="b">
            <v>0</v>
          </cell>
        </row>
        <row r="263">
          <cell r="A263">
            <v>262</v>
          </cell>
          <cell r="B263" t="str">
            <v>Mightyena</v>
          </cell>
          <cell r="C263" t="str">
            <v>Dark</v>
          </cell>
          <cell r="E263">
            <v>420</v>
          </cell>
          <cell r="F263">
            <v>70</v>
          </cell>
          <cell r="G263">
            <v>90</v>
          </cell>
          <cell r="H263">
            <v>70</v>
          </cell>
          <cell r="I263">
            <v>60</v>
          </cell>
          <cell r="J263">
            <v>60</v>
          </cell>
          <cell r="K263">
            <v>70</v>
          </cell>
          <cell r="L263">
            <v>3</v>
          </cell>
          <cell r="M263" t="b">
            <v>0</v>
          </cell>
        </row>
        <row r="264">
          <cell r="A264">
            <v>263</v>
          </cell>
          <cell r="B264" t="str">
            <v>Zigzagoon</v>
          </cell>
          <cell r="C264" t="str">
            <v>Normal</v>
          </cell>
          <cell r="E264">
            <v>240</v>
          </cell>
          <cell r="F264">
            <v>38</v>
          </cell>
          <cell r="G264">
            <v>30</v>
          </cell>
          <cell r="H264">
            <v>41</v>
          </cell>
          <cell r="I264">
            <v>30</v>
          </cell>
          <cell r="J264">
            <v>41</v>
          </cell>
          <cell r="K264">
            <v>60</v>
          </cell>
          <cell r="L264">
            <v>3</v>
          </cell>
          <cell r="M264" t="b">
            <v>0</v>
          </cell>
        </row>
        <row r="265">
          <cell r="A265">
            <v>264</v>
          </cell>
          <cell r="B265" t="str">
            <v>Linoone</v>
          </cell>
          <cell r="C265" t="str">
            <v>Normal</v>
          </cell>
          <cell r="E265">
            <v>420</v>
          </cell>
          <cell r="F265">
            <v>78</v>
          </cell>
          <cell r="G265">
            <v>70</v>
          </cell>
          <cell r="H265">
            <v>61</v>
          </cell>
          <cell r="I265">
            <v>50</v>
          </cell>
          <cell r="J265">
            <v>61</v>
          </cell>
          <cell r="K265">
            <v>100</v>
          </cell>
          <cell r="L265">
            <v>3</v>
          </cell>
          <cell r="M265" t="b">
            <v>0</v>
          </cell>
        </row>
        <row r="266">
          <cell r="A266">
            <v>265</v>
          </cell>
          <cell r="B266" t="str">
            <v>Wurmple</v>
          </cell>
          <cell r="C266" t="str">
            <v>Bug</v>
          </cell>
          <cell r="E266">
            <v>195</v>
          </cell>
          <cell r="F266">
            <v>45</v>
          </cell>
          <cell r="G266">
            <v>45</v>
          </cell>
          <cell r="H266">
            <v>35</v>
          </cell>
          <cell r="I266">
            <v>20</v>
          </cell>
          <cell r="J266">
            <v>30</v>
          </cell>
          <cell r="K266">
            <v>20</v>
          </cell>
          <cell r="L266">
            <v>3</v>
          </cell>
          <cell r="M266" t="b">
            <v>0</v>
          </cell>
        </row>
        <row r="267">
          <cell r="A267">
            <v>266</v>
          </cell>
          <cell r="B267" t="str">
            <v>Silcoon</v>
          </cell>
          <cell r="C267" t="str">
            <v>Bug</v>
          </cell>
          <cell r="E267">
            <v>205</v>
          </cell>
          <cell r="F267">
            <v>50</v>
          </cell>
          <cell r="G267">
            <v>35</v>
          </cell>
          <cell r="H267">
            <v>55</v>
          </cell>
          <cell r="I267">
            <v>25</v>
          </cell>
          <cell r="J267">
            <v>25</v>
          </cell>
          <cell r="K267">
            <v>15</v>
          </cell>
          <cell r="L267">
            <v>3</v>
          </cell>
          <cell r="M267" t="b">
            <v>0</v>
          </cell>
        </row>
        <row r="268">
          <cell r="A268">
            <v>267</v>
          </cell>
          <cell r="B268" t="str">
            <v>Beautifly</v>
          </cell>
          <cell r="C268" t="str">
            <v>Bug</v>
          </cell>
          <cell r="D268" t="str">
            <v>Flying</v>
          </cell>
          <cell r="E268">
            <v>395</v>
          </cell>
          <cell r="F268">
            <v>60</v>
          </cell>
          <cell r="G268">
            <v>70</v>
          </cell>
          <cell r="H268">
            <v>50</v>
          </cell>
          <cell r="I268">
            <v>100</v>
          </cell>
          <cell r="J268">
            <v>50</v>
          </cell>
          <cell r="K268">
            <v>65</v>
          </cell>
          <cell r="L268">
            <v>3</v>
          </cell>
          <cell r="M268" t="b">
            <v>0</v>
          </cell>
        </row>
        <row r="269">
          <cell r="A269">
            <v>268</v>
          </cell>
          <cell r="B269" t="str">
            <v>Cascoon</v>
          </cell>
          <cell r="C269" t="str">
            <v>Bug</v>
          </cell>
          <cell r="E269">
            <v>205</v>
          </cell>
          <cell r="F269">
            <v>50</v>
          </cell>
          <cell r="G269">
            <v>35</v>
          </cell>
          <cell r="H269">
            <v>55</v>
          </cell>
          <cell r="I269">
            <v>25</v>
          </cell>
          <cell r="J269">
            <v>25</v>
          </cell>
          <cell r="K269">
            <v>15</v>
          </cell>
          <cell r="L269">
            <v>3</v>
          </cell>
          <cell r="M269" t="b">
            <v>0</v>
          </cell>
        </row>
        <row r="270">
          <cell r="A270">
            <v>269</v>
          </cell>
          <cell r="B270" t="str">
            <v>Dustox</v>
          </cell>
          <cell r="C270" t="str">
            <v>Bug</v>
          </cell>
          <cell r="D270" t="str">
            <v>Poison</v>
          </cell>
          <cell r="E270">
            <v>385</v>
          </cell>
          <cell r="F270">
            <v>60</v>
          </cell>
          <cell r="G270">
            <v>50</v>
          </cell>
          <cell r="H270">
            <v>70</v>
          </cell>
          <cell r="I270">
            <v>50</v>
          </cell>
          <cell r="J270">
            <v>90</v>
          </cell>
          <cell r="K270">
            <v>65</v>
          </cell>
          <cell r="L270">
            <v>3</v>
          </cell>
          <cell r="M270" t="b">
            <v>0</v>
          </cell>
        </row>
        <row r="271">
          <cell r="A271">
            <v>270</v>
          </cell>
          <cell r="B271" t="str">
            <v>Lotad</v>
          </cell>
          <cell r="C271" t="str">
            <v>Water</v>
          </cell>
          <cell r="D271" t="str">
            <v>Grass</v>
          </cell>
          <cell r="E271">
            <v>220</v>
          </cell>
          <cell r="F271">
            <v>40</v>
          </cell>
          <cell r="G271">
            <v>30</v>
          </cell>
          <cell r="H271">
            <v>30</v>
          </cell>
          <cell r="I271">
            <v>40</v>
          </cell>
          <cell r="J271">
            <v>50</v>
          </cell>
          <cell r="K271">
            <v>30</v>
          </cell>
          <cell r="L271">
            <v>3</v>
          </cell>
          <cell r="M271" t="b">
            <v>0</v>
          </cell>
        </row>
        <row r="272">
          <cell r="A272">
            <v>271</v>
          </cell>
          <cell r="B272" t="str">
            <v>Lombre</v>
          </cell>
          <cell r="C272" t="str">
            <v>Water</v>
          </cell>
          <cell r="D272" t="str">
            <v>Grass</v>
          </cell>
          <cell r="E272">
            <v>340</v>
          </cell>
          <cell r="F272">
            <v>60</v>
          </cell>
          <cell r="G272">
            <v>50</v>
          </cell>
          <cell r="H272">
            <v>50</v>
          </cell>
          <cell r="I272">
            <v>60</v>
          </cell>
          <cell r="J272">
            <v>70</v>
          </cell>
          <cell r="K272">
            <v>50</v>
          </cell>
          <cell r="L272">
            <v>3</v>
          </cell>
          <cell r="M272" t="b">
            <v>0</v>
          </cell>
        </row>
        <row r="273">
          <cell r="A273">
            <v>272</v>
          </cell>
          <cell r="B273" t="str">
            <v>Ludicolo</v>
          </cell>
          <cell r="C273" t="str">
            <v>Water</v>
          </cell>
          <cell r="D273" t="str">
            <v>Grass</v>
          </cell>
          <cell r="E273">
            <v>480</v>
          </cell>
          <cell r="F273">
            <v>80</v>
          </cell>
          <cell r="G273">
            <v>70</v>
          </cell>
          <cell r="H273">
            <v>70</v>
          </cell>
          <cell r="I273">
            <v>90</v>
          </cell>
          <cell r="J273">
            <v>100</v>
          </cell>
          <cell r="K273">
            <v>70</v>
          </cell>
          <cell r="L273">
            <v>3</v>
          </cell>
          <cell r="M273" t="b">
            <v>0</v>
          </cell>
        </row>
        <row r="274">
          <cell r="A274">
            <v>273</v>
          </cell>
          <cell r="B274" t="str">
            <v>Seedot</v>
          </cell>
          <cell r="C274" t="str">
            <v>Grass</v>
          </cell>
          <cell r="E274">
            <v>220</v>
          </cell>
          <cell r="F274">
            <v>40</v>
          </cell>
          <cell r="G274">
            <v>40</v>
          </cell>
          <cell r="H274">
            <v>50</v>
          </cell>
          <cell r="I274">
            <v>30</v>
          </cell>
          <cell r="J274">
            <v>30</v>
          </cell>
          <cell r="K274">
            <v>30</v>
          </cell>
          <cell r="L274">
            <v>3</v>
          </cell>
          <cell r="M274" t="b">
            <v>0</v>
          </cell>
        </row>
        <row r="275">
          <cell r="A275">
            <v>274</v>
          </cell>
          <cell r="B275" t="str">
            <v>Nuzleaf</v>
          </cell>
          <cell r="C275" t="str">
            <v>Grass</v>
          </cell>
          <cell r="D275" t="str">
            <v>Dark</v>
          </cell>
          <cell r="E275">
            <v>340</v>
          </cell>
          <cell r="F275">
            <v>70</v>
          </cell>
          <cell r="G275">
            <v>70</v>
          </cell>
          <cell r="H275">
            <v>40</v>
          </cell>
          <cell r="I275">
            <v>60</v>
          </cell>
          <cell r="J275">
            <v>40</v>
          </cell>
          <cell r="K275">
            <v>60</v>
          </cell>
          <cell r="L275">
            <v>3</v>
          </cell>
          <cell r="M275" t="b">
            <v>0</v>
          </cell>
        </row>
        <row r="276">
          <cell r="A276">
            <v>275</v>
          </cell>
          <cell r="B276" t="str">
            <v>Shiftry</v>
          </cell>
          <cell r="C276" t="str">
            <v>Grass</v>
          </cell>
          <cell r="D276" t="str">
            <v>Dark</v>
          </cell>
          <cell r="E276">
            <v>480</v>
          </cell>
          <cell r="F276">
            <v>90</v>
          </cell>
          <cell r="G276">
            <v>100</v>
          </cell>
          <cell r="H276">
            <v>60</v>
          </cell>
          <cell r="I276">
            <v>90</v>
          </cell>
          <cell r="J276">
            <v>60</v>
          </cell>
          <cell r="K276">
            <v>80</v>
          </cell>
          <cell r="L276">
            <v>3</v>
          </cell>
          <cell r="M276" t="b">
            <v>0</v>
          </cell>
        </row>
        <row r="277">
          <cell r="A277">
            <v>276</v>
          </cell>
          <cell r="B277" t="str">
            <v>Taillow</v>
          </cell>
          <cell r="C277" t="str">
            <v>Normal</v>
          </cell>
          <cell r="D277" t="str">
            <v>Flying</v>
          </cell>
          <cell r="E277">
            <v>270</v>
          </cell>
          <cell r="F277">
            <v>40</v>
          </cell>
          <cell r="G277">
            <v>55</v>
          </cell>
          <cell r="H277">
            <v>30</v>
          </cell>
          <cell r="I277">
            <v>30</v>
          </cell>
          <cell r="J277">
            <v>30</v>
          </cell>
          <cell r="K277">
            <v>85</v>
          </cell>
          <cell r="L277">
            <v>3</v>
          </cell>
          <cell r="M277" t="b">
            <v>0</v>
          </cell>
        </row>
        <row r="278">
          <cell r="A278">
            <v>277</v>
          </cell>
          <cell r="B278" t="str">
            <v>Swellow</v>
          </cell>
          <cell r="C278" t="str">
            <v>Normal</v>
          </cell>
          <cell r="D278" t="str">
            <v>Flying</v>
          </cell>
          <cell r="E278">
            <v>430</v>
          </cell>
          <cell r="F278">
            <v>60</v>
          </cell>
          <cell r="G278">
            <v>85</v>
          </cell>
          <cell r="H278">
            <v>60</v>
          </cell>
          <cell r="I278">
            <v>50</v>
          </cell>
          <cell r="J278">
            <v>50</v>
          </cell>
          <cell r="K278">
            <v>125</v>
          </cell>
          <cell r="L278">
            <v>3</v>
          </cell>
          <cell r="M278" t="b">
            <v>0</v>
          </cell>
        </row>
        <row r="279">
          <cell r="A279">
            <v>278</v>
          </cell>
          <cell r="B279" t="str">
            <v>Wingull</v>
          </cell>
          <cell r="C279" t="str">
            <v>Water</v>
          </cell>
          <cell r="D279" t="str">
            <v>Flying</v>
          </cell>
          <cell r="E279">
            <v>270</v>
          </cell>
          <cell r="F279">
            <v>40</v>
          </cell>
          <cell r="G279">
            <v>30</v>
          </cell>
          <cell r="H279">
            <v>30</v>
          </cell>
          <cell r="I279">
            <v>55</v>
          </cell>
          <cell r="J279">
            <v>30</v>
          </cell>
          <cell r="K279">
            <v>85</v>
          </cell>
          <cell r="L279">
            <v>3</v>
          </cell>
          <cell r="M279" t="b">
            <v>0</v>
          </cell>
        </row>
        <row r="280">
          <cell r="A280">
            <v>279</v>
          </cell>
          <cell r="B280" t="str">
            <v>Pelipper</v>
          </cell>
          <cell r="C280" t="str">
            <v>Water</v>
          </cell>
          <cell r="D280" t="str">
            <v>Flying</v>
          </cell>
          <cell r="E280">
            <v>430</v>
          </cell>
          <cell r="F280">
            <v>60</v>
          </cell>
          <cell r="G280">
            <v>50</v>
          </cell>
          <cell r="H280">
            <v>100</v>
          </cell>
          <cell r="I280">
            <v>85</v>
          </cell>
          <cell r="J280">
            <v>70</v>
          </cell>
          <cell r="K280">
            <v>65</v>
          </cell>
          <cell r="L280">
            <v>3</v>
          </cell>
          <cell r="M280" t="b">
            <v>0</v>
          </cell>
        </row>
        <row r="281">
          <cell r="A281">
            <v>280</v>
          </cell>
          <cell r="B281" t="str">
            <v>Ralts</v>
          </cell>
          <cell r="C281" t="str">
            <v>Psychic</v>
          </cell>
          <cell r="D281" t="str">
            <v>Fairy</v>
          </cell>
          <cell r="E281">
            <v>198</v>
          </cell>
          <cell r="F281">
            <v>28</v>
          </cell>
          <cell r="G281">
            <v>25</v>
          </cell>
          <cell r="H281">
            <v>25</v>
          </cell>
          <cell r="I281">
            <v>45</v>
          </cell>
          <cell r="J281">
            <v>35</v>
          </cell>
          <cell r="K281">
            <v>40</v>
          </cell>
          <cell r="L281">
            <v>3</v>
          </cell>
          <cell r="M281" t="b">
            <v>0</v>
          </cell>
        </row>
        <row r="282">
          <cell r="A282">
            <v>281</v>
          </cell>
          <cell r="B282" t="str">
            <v>Kirlia</v>
          </cell>
          <cell r="C282" t="str">
            <v>Psychic</v>
          </cell>
          <cell r="D282" t="str">
            <v>Fairy</v>
          </cell>
          <cell r="E282">
            <v>278</v>
          </cell>
          <cell r="F282">
            <v>38</v>
          </cell>
          <cell r="G282">
            <v>35</v>
          </cell>
          <cell r="H282">
            <v>35</v>
          </cell>
          <cell r="I282">
            <v>65</v>
          </cell>
          <cell r="J282">
            <v>55</v>
          </cell>
          <cell r="K282">
            <v>50</v>
          </cell>
          <cell r="L282">
            <v>3</v>
          </cell>
          <cell r="M282" t="b">
            <v>0</v>
          </cell>
        </row>
        <row r="283">
          <cell r="A283">
            <v>282</v>
          </cell>
          <cell r="B283" t="str">
            <v>Gardevoir</v>
          </cell>
          <cell r="C283" t="str">
            <v>Psychic</v>
          </cell>
          <cell r="D283" t="str">
            <v>Fairy</v>
          </cell>
          <cell r="E283">
            <v>518</v>
          </cell>
          <cell r="F283">
            <v>68</v>
          </cell>
          <cell r="G283">
            <v>65</v>
          </cell>
          <cell r="H283">
            <v>65</v>
          </cell>
          <cell r="I283">
            <v>125</v>
          </cell>
          <cell r="J283">
            <v>115</v>
          </cell>
          <cell r="K283">
            <v>80</v>
          </cell>
          <cell r="L283">
            <v>3</v>
          </cell>
          <cell r="M283" t="b">
            <v>0</v>
          </cell>
        </row>
        <row r="284">
          <cell r="A284">
            <v>283</v>
          </cell>
          <cell r="B284" t="str">
            <v>Surskit</v>
          </cell>
          <cell r="C284" t="str">
            <v>Bug</v>
          </cell>
          <cell r="D284" t="str">
            <v>Water</v>
          </cell>
          <cell r="E284">
            <v>269</v>
          </cell>
          <cell r="F284">
            <v>40</v>
          </cell>
          <cell r="G284">
            <v>30</v>
          </cell>
          <cell r="H284">
            <v>32</v>
          </cell>
          <cell r="I284">
            <v>50</v>
          </cell>
          <cell r="J284">
            <v>52</v>
          </cell>
          <cell r="K284">
            <v>65</v>
          </cell>
          <cell r="L284">
            <v>3</v>
          </cell>
          <cell r="M284" t="b">
            <v>0</v>
          </cell>
        </row>
        <row r="285">
          <cell r="A285">
            <v>284</v>
          </cell>
          <cell r="B285" t="str">
            <v>Masquerain</v>
          </cell>
          <cell r="C285" t="str">
            <v>Bug</v>
          </cell>
          <cell r="D285" t="str">
            <v>Flying</v>
          </cell>
          <cell r="E285">
            <v>414</v>
          </cell>
          <cell r="F285">
            <v>70</v>
          </cell>
          <cell r="G285">
            <v>60</v>
          </cell>
          <cell r="H285">
            <v>62</v>
          </cell>
          <cell r="I285">
            <v>80</v>
          </cell>
          <cell r="J285">
            <v>82</v>
          </cell>
          <cell r="K285">
            <v>60</v>
          </cell>
          <cell r="L285">
            <v>3</v>
          </cell>
          <cell r="M285" t="b">
            <v>0</v>
          </cell>
        </row>
        <row r="286">
          <cell r="A286">
            <v>285</v>
          </cell>
          <cell r="B286" t="str">
            <v>Shroomish</v>
          </cell>
          <cell r="C286" t="str">
            <v>Grass</v>
          </cell>
          <cell r="E286">
            <v>295</v>
          </cell>
          <cell r="F286">
            <v>60</v>
          </cell>
          <cell r="G286">
            <v>40</v>
          </cell>
          <cell r="H286">
            <v>60</v>
          </cell>
          <cell r="I286">
            <v>40</v>
          </cell>
          <cell r="J286">
            <v>60</v>
          </cell>
          <cell r="K286">
            <v>35</v>
          </cell>
          <cell r="L286">
            <v>3</v>
          </cell>
          <cell r="M286" t="b">
            <v>0</v>
          </cell>
        </row>
        <row r="287">
          <cell r="A287">
            <v>286</v>
          </cell>
          <cell r="B287" t="str">
            <v>Breloom</v>
          </cell>
          <cell r="C287" t="str">
            <v>Grass</v>
          </cell>
          <cell r="D287" t="str">
            <v>Fighting</v>
          </cell>
          <cell r="E287">
            <v>460</v>
          </cell>
          <cell r="F287">
            <v>60</v>
          </cell>
          <cell r="G287">
            <v>130</v>
          </cell>
          <cell r="H287">
            <v>80</v>
          </cell>
          <cell r="I287">
            <v>60</v>
          </cell>
          <cell r="J287">
            <v>60</v>
          </cell>
          <cell r="K287">
            <v>70</v>
          </cell>
          <cell r="L287">
            <v>3</v>
          </cell>
          <cell r="M287" t="b">
            <v>0</v>
          </cell>
        </row>
        <row r="288">
          <cell r="A288">
            <v>287</v>
          </cell>
          <cell r="B288" t="str">
            <v>Slakoth</v>
          </cell>
          <cell r="C288" t="str">
            <v>Normal</v>
          </cell>
          <cell r="E288">
            <v>280</v>
          </cell>
          <cell r="F288">
            <v>60</v>
          </cell>
          <cell r="G288">
            <v>60</v>
          </cell>
          <cell r="H288">
            <v>60</v>
          </cell>
          <cell r="I288">
            <v>35</v>
          </cell>
          <cell r="J288">
            <v>35</v>
          </cell>
          <cell r="K288">
            <v>30</v>
          </cell>
          <cell r="L288">
            <v>3</v>
          </cell>
          <cell r="M288" t="b">
            <v>0</v>
          </cell>
        </row>
        <row r="289">
          <cell r="A289">
            <v>288</v>
          </cell>
          <cell r="B289" t="str">
            <v>Vigoroth</v>
          </cell>
          <cell r="C289" t="str">
            <v>Normal</v>
          </cell>
          <cell r="E289">
            <v>440</v>
          </cell>
          <cell r="F289">
            <v>80</v>
          </cell>
          <cell r="G289">
            <v>80</v>
          </cell>
          <cell r="H289">
            <v>80</v>
          </cell>
          <cell r="I289">
            <v>55</v>
          </cell>
          <cell r="J289">
            <v>55</v>
          </cell>
          <cell r="K289">
            <v>90</v>
          </cell>
          <cell r="L289">
            <v>3</v>
          </cell>
          <cell r="M289" t="b">
            <v>0</v>
          </cell>
        </row>
        <row r="290">
          <cell r="A290">
            <v>289</v>
          </cell>
          <cell r="B290" t="str">
            <v>Slaking</v>
          </cell>
          <cell r="C290" t="str">
            <v>Normal</v>
          </cell>
          <cell r="E290">
            <v>670</v>
          </cell>
          <cell r="F290">
            <v>150</v>
          </cell>
          <cell r="G290">
            <v>160</v>
          </cell>
          <cell r="H290">
            <v>100</v>
          </cell>
          <cell r="I290">
            <v>95</v>
          </cell>
          <cell r="J290">
            <v>65</v>
          </cell>
          <cell r="K290">
            <v>100</v>
          </cell>
          <cell r="L290">
            <v>3</v>
          </cell>
          <cell r="M290" t="b">
            <v>0</v>
          </cell>
        </row>
        <row r="291">
          <cell r="A291">
            <v>290</v>
          </cell>
          <cell r="B291" t="str">
            <v>Nincada</v>
          </cell>
          <cell r="C291" t="str">
            <v>Bug</v>
          </cell>
          <cell r="D291" t="str">
            <v>Ground</v>
          </cell>
          <cell r="E291">
            <v>266</v>
          </cell>
          <cell r="F291">
            <v>31</v>
          </cell>
          <cell r="G291">
            <v>45</v>
          </cell>
          <cell r="H291">
            <v>90</v>
          </cell>
          <cell r="I291">
            <v>30</v>
          </cell>
          <cell r="J291">
            <v>30</v>
          </cell>
          <cell r="K291">
            <v>40</v>
          </cell>
          <cell r="L291">
            <v>3</v>
          </cell>
          <cell r="M291" t="b">
            <v>0</v>
          </cell>
        </row>
        <row r="292">
          <cell r="A292">
            <v>291</v>
          </cell>
          <cell r="B292" t="str">
            <v>Ninjask</v>
          </cell>
          <cell r="C292" t="str">
            <v>Bug</v>
          </cell>
          <cell r="D292" t="str">
            <v>Flying</v>
          </cell>
          <cell r="E292">
            <v>456</v>
          </cell>
          <cell r="F292">
            <v>61</v>
          </cell>
          <cell r="G292">
            <v>90</v>
          </cell>
          <cell r="H292">
            <v>45</v>
          </cell>
          <cell r="I292">
            <v>50</v>
          </cell>
          <cell r="J292">
            <v>50</v>
          </cell>
          <cell r="K292">
            <v>160</v>
          </cell>
          <cell r="L292">
            <v>3</v>
          </cell>
          <cell r="M292" t="b">
            <v>0</v>
          </cell>
        </row>
        <row r="293">
          <cell r="A293">
            <v>292</v>
          </cell>
          <cell r="B293" t="str">
            <v>Shedinja</v>
          </cell>
          <cell r="C293" t="str">
            <v>Bug</v>
          </cell>
          <cell r="D293" t="str">
            <v>Ghost</v>
          </cell>
          <cell r="E293">
            <v>236</v>
          </cell>
          <cell r="F293">
            <v>1</v>
          </cell>
          <cell r="G293">
            <v>90</v>
          </cell>
          <cell r="H293">
            <v>45</v>
          </cell>
          <cell r="I293">
            <v>30</v>
          </cell>
          <cell r="J293">
            <v>30</v>
          </cell>
          <cell r="K293">
            <v>40</v>
          </cell>
          <cell r="L293">
            <v>3</v>
          </cell>
          <cell r="M293" t="b">
            <v>0</v>
          </cell>
        </row>
        <row r="294">
          <cell r="A294">
            <v>293</v>
          </cell>
          <cell r="B294" t="str">
            <v>Whismur</v>
          </cell>
          <cell r="C294" t="str">
            <v>Normal</v>
          </cell>
          <cell r="E294">
            <v>240</v>
          </cell>
          <cell r="F294">
            <v>64</v>
          </cell>
          <cell r="G294">
            <v>51</v>
          </cell>
          <cell r="H294">
            <v>23</v>
          </cell>
          <cell r="I294">
            <v>51</v>
          </cell>
          <cell r="J294">
            <v>23</v>
          </cell>
          <cell r="K294">
            <v>28</v>
          </cell>
          <cell r="L294">
            <v>3</v>
          </cell>
          <cell r="M294" t="b">
            <v>0</v>
          </cell>
        </row>
        <row r="295">
          <cell r="A295">
            <v>294</v>
          </cell>
          <cell r="B295" t="str">
            <v>Loudred</v>
          </cell>
          <cell r="C295" t="str">
            <v>Normal</v>
          </cell>
          <cell r="E295">
            <v>360</v>
          </cell>
          <cell r="F295">
            <v>84</v>
          </cell>
          <cell r="G295">
            <v>71</v>
          </cell>
          <cell r="H295">
            <v>43</v>
          </cell>
          <cell r="I295">
            <v>71</v>
          </cell>
          <cell r="J295">
            <v>43</v>
          </cell>
          <cell r="K295">
            <v>48</v>
          </cell>
          <cell r="L295">
            <v>3</v>
          </cell>
          <cell r="M295" t="b">
            <v>0</v>
          </cell>
        </row>
        <row r="296">
          <cell r="A296">
            <v>295</v>
          </cell>
          <cell r="B296" t="str">
            <v>Exploud</v>
          </cell>
          <cell r="C296" t="str">
            <v>Normal</v>
          </cell>
          <cell r="E296">
            <v>490</v>
          </cell>
          <cell r="F296">
            <v>104</v>
          </cell>
          <cell r="G296">
            <v>91</v>
          </cell>
          <cell r="H296">
            <v>63</v>
          </cell>
          <cell r="I296">
            <v>91</v>
          </cell>
          <cell r="J296">
            <v>73</v>
          </cell>
          <cell r="K296">
            <v>68</v>
          </cell>
          <cell r="L296">
            <v>3</v>
          </cell>
          <cell r="M296" t="b">
            <v>0</v>
          </cell>
        </row>
        <row r="297">
          <cell r="A297">
            <v>296</v>
          </cell>
          <cell r="B297" t="str">
            <v>Makuhita</v>
          </cell>
          <cell r="C297" t="str">
            <v>Fighting</v>
          </cell>
          <cell r="E297">
            <v>237</v>
          </cell>
          <cell r="F297">
            <v>72</v>
          </cell>
          <cell r="G297">
            <v>60</v>
          </cell>
          <cell r="H297">
            <v>30</v>
          </cell>
          <cell r="I297">
            <v>20</v>
          </cell>
          <cell r="J297">
            <v>30</v>
          </cell>
          <cell r="K297">
            <v>25</v>
          </cell>
          <cell r="L297">
            <v>3</v>
          </cell>
          <cell r="M297" t="b">
            <v>0</v>
          </cell>
        </row>
        <row r="298">
          <cell r="A298">
            <v>297</v>
          </cell>
          <cell r="B298" t="str">
            <v>Hariyama</v>
          </cell>
          <cell r="C298" t="str">
            <v>Fighting</v>
          </cell>
          <cell r="E298">
            <v>474</v>
          </cell>
          <cell r="F298">
            <v>144</v>
          </cell>
          <cell r="G298">
            <v>120</v>
          </cell>
          <cell r="H298">
            <v>60</v>
          </cell>
          <cell r="I298">
            <v>40</v>
          </cell>
          <cell r="J298">
            <v>60</v>
          </cell>
          <cell r="K298">
            <v>50</v>
          </cell>
          <cell r="L298">
            <v>3</v>
          </cell>
          <cell r="M298" t="b">
            <v>0</v>
          </cell>
        </row>
        <row r="299">
          <cell r="A299">
            <v>298</v>
          </cell>
          <cell r="B299" t="str">
            <v>Azurill</v>
          </cell>
          <cell r="C299" t="str">
            <v>Normal</v>
          </cell>
          <cell r="D299" t="str">
            <v>Fairy</v>
          </cell>
          <cell r="E299">
            <v>190</v>
          </cell>
          <cell r="F299">
            <v>50</v>
          </cell>
          <cell r="G299">
            <v>20</v>
          </cell>
          <cell r="H299">
            <v>40</v>
          </cell>
          <cell r="I299">
            <v>20</v>
          </cell>
          <cell r="J299">
            <v>40</v>
          </cell>
          <cell r="K299">
            <v>20</v>
          </cell>
          <cell r="L299">
            <v>3</v>
          </cell>
          <cell r="M299" t="b">
            <v>0</v>
          </cell>
        </row>
        <row r="300">
          <cell r="A300">
            <v>299</v>
          </cell>
          <cell r="B300" t="str">
            <v>Nosepass</v>
          </cell>
          <cell r="C300" t="str">
            <v>Rock</v>
          </cell>
          <cell r="E300">
            <v>375</v>
          </cell>
          <cell r="F300">
            <v>30</v>
          </cell>
          <cell r="G300">
            <v>45</v>
          </cell>
          <cell r="H300">
            <v>135</v>
          </cell>
          <cell r="I300">
            <v>45</v>
          </cell>
          <cell r="J300">
            <v>90</v>
          </cell>
          <cell r="K300">
            <v>30</v>
          </cell>
          <cell r="L300">
            <v>3</v>
          </cell>
          <cell r="M300" t="b">
            <v>0</v>
          </cell>
        </row>
        <row r="301">
          <cell r="A301">
            <v>300</v>
          </cell>
          <cell r="B301" t="str">
            <v>Skitty</v>
          </cell>
          <cell r="C301" t="str">
            <v>Normal</v>
          </cell>
          <cell r="E301">
            <v>260</v>
          </cell>
          <cell r="F301">
            <v>50</v>
          </cell>
          <cell r="G301">
            <v>45</v>
          </cell>
          <cell r="H301">
            <v>45</v>
          </cell>
          <cell r="I301">
            <v>35</v>
          </cell>
          <cell r="J301">
            <v>35</v>
          </cell>
          <cell r="K301">
            <v>50</v>
          </cell>
          <cell r="L301">
            <v>3</v>
          </cell>
          <cell r="M301" t="b">
            <v>0</v>
          </cell>
        </row>
        <row r="302">
          <cell r="A302">
            <v>301</v>
          </cell>
          <cell r="B302" t="str">
            <v>Delcatty</v>
          </cell>
          <cell r="C302" t="str">
            <v>Normal</v>
          </cell>
          <cell r="E302">
            <v>380</v>
          </cell>
          <cell r="F302">
            <v>70</v>
          </cell>
          <cell r="G302">
            <v>65</v>
          </cell>
          <cell r="H302">
            <v>65</v>
          </cell>
          <cell r="I302">
            <v>55</v>
          </cell>
          <cell r="J302">
            <v>55</v>
          </cell>
          <cell r="K302">
            <v>70</v>
          </cell>
          <cell r="L302">
            <v>3</v>
          </cell>
          <cell r="M302" t="b">
            <v>0</v>
          </cell>
        </row>
        <row r="303">
          <cell r="A303">
            <v>302</v>
          </cell>
          <cell r="B303" t="str">
            <v>Sableye</v>
          </cell>
          <cell r="C303" t="str">
            <v>Dark</v>
          </cell>
          <cell r="D303" t="str">
            <v>Ghost</v>
          </cell>
          <cell r="E303">
            <v>380</v>
          </cell>
          <cell r="F303">
            <v>50</v>
          </cell>
          <cell r="G303">
            <v>75</v>
          </cell>
          <cell r="H303">
            <v>75</v>
          </cell>
          <cell r="I303">
            <v>65</v>
          </cell>
          <cell r="J303">
            <v>65</v>
          </cell>
          <cell r="K303">
            <v>50</v>
          </cell>
          <cell r="L303">
            <v>3</v>
          </cell>
          <cell r="M303" t="b">
            <v>0</v>
          </cell>
        </row>
        <row r="304">
          <cell r="A304">
            <v>303</v>
          </cell>
          <cell r="B304" t="str">
            <v>Mawile</v>
          </cell>
          <cell r="C304" t="str">
            <v>Steel</v>
          </cell>
          <cell r="D304" t="str">
            <v>Fairy</v>
          </cell>
          <cell r="E304">
            <v>380</v>
          </cell>
          <cell r="F304">
            <v>50</v>
          </cell>
          <cell r="G304">
            <v>85</v>
          </cell>
          <cell r="H304">
            <v>85</v>
          </cell>
          <cell r="I304">
            <v>55</v>
          </cell>
          <cell r="J304">
            <v>55</v>
          </cell>
          <cell r="K304">
            <v>50</v>
          </cell>
          <cell r="L304">
            <v>3</v>
          </cell>
          <cell r="M304" t="b">
            <v>0</v>
          </cell>
        </row>
        <row r="305">
          <cell r="A305">
            <v>304</v>
          </cell>
          <cell r="B305" t="str">
            <v>Aron</v>
          </cell>
          <cell r="C305" t="str">
            <v>Steel</v>
          </cell>
          <cell r="D305" t="str">
            <v>Rock</v>
          </cell>
          <cell r="E305">
            <v>330</v>
          </cell>
          <cell r="F305">
            <v>50</v>
          </cell>
          <cell r="G305">
            <v>70</v>
          </cell>
          <cell r="H305">
            <v>100</v>
          </cell>
          <cell r="I305">
            <v>40</v>
          </cell>
          <cell r="J305">
            <v>40</v>
          </cell>
          <cell r="K305">
            <v>30</v>
          </cell>
          <cell r="L305">
            <v>3</v>
          </cell>
          <cell r="M305" t="b">
            <v>0</v>
          </cell>
        </row>
        <row r="306">
          <cell r="A306">
            <v>305</v>
          </cell>
          <cell r="B306" t="str">
            <v>Lairon</v>
          </cell>
          <cell r="C306" t="str">
            <v>Steel</v>
          </cell>
          <cell r="D306" t="str">
            <v>Rock</v>
          </cell>
          <cell r="E306">
            <v>430</v>
          </cell>
          <cell r="F306">
            <v>60</v>
          </cell>
          <cell r="G306">
            <v>90</v>
          </cell>
          <cell r="H306">
            <v>140</v>
          </cell>
          <cell r="I306">
            <v>50</v>
          </cell>
          <cell r="J306">
            <v>50</v>
          </cell>
          <cell r="K306">
            <v>40</v>
          </cell>
          <cell r="L306">
            <v>3</v>
          </cell>
          <cell r="M306" t="b">
            <v>0</v>
          </cell>
        </row>
        <row r="307">
          <cell r="A307">
            <v>306</v>
          </cell>
          <cell r="B307" t="str">
            <v>Aggron</v>
          </cell>
          <cell r="C307" t="str">
            <v>Steel</v>
          </cell>
          <cell r="D307" t="str">
            <v>Rock</v>
          </cell>
          <cell r="E307">
            <v>530</v>
          </cell>
          <cell r="F307">
            <v>70</v>
          </cell>
          <cell r="G307">
            <v>110</v>
          </cell>
          <cell r="H307">
            <v>180</v>
          </cell>
          <cell r="I307">
            <v>60</v>
          </cell>
          <cell r="J307">
            <v>60</v>
          </cell>
          <cell r="K307">
            <v>50</v>
          </cell>
          <cell r="L307">
            <v>3</v>
          </cell>
          <cell r="M307" t="b">
            <v>0</v>
          </cell>
        </row>
        <row r="308">
          <cell r="A308">
            <v>307</v>
          </cell>
          <cell r="B308" t="str">
            <v>Meditite</v>
          </cell>
          <cell r="C308" t="str">
            <v>Fighting</v>
          </cell>
          <cell r="D308" t="str">
            <v>Psychic</v>
          </cell>
          <cell r="E308">
            <v>280</v>
          </cell>
          <cell r="F308">
            <v>30</v>
          </cell>
          <cell r="G308">
            <v>40</v>
          </cell>
          <cell r="H308">
            <v>55</v>
          </cell>
          <cell r="I308">
            <v>40</v>
          </cell>
          <cell r="J308">
            <v>55</v>
          </cell>
          <cell r="K308">
            <v>60</v>
          </cell>
          <cell r="L308">
            <v>3</v>
          </cell>
          <cell r="M308" t="b">
            <v>0</v>
          </cell>
        </row>
        <row r="309">
          <cell r="A309">
            <v>308</v>
          </cell>
          <cell r="B309" t="str">
            <v>Medicham</v>
          </cell>
          <cell r="C309" t="str">
            <v>Fighting</v>
          </cell>
          <cell r="D309" t="str">
            <v>Psychic</v>
          </cell>
          <cell r="E309">
            <v>410</v>
          </cell>
          <cell r="F309">
            <v>60</v>
          </cell>
          <cell r="G309">
            <v>60</v>
          </cell>
          <cell r="H309">
            <v>75</v>
          </cell>
          <cell r="I309">
            <v>60</v>
          </cell>
          <cell r="J309">
            <v>75</v>
          </cell>
          <cell r="K309">
            <v>80</v>
          </cell>
          <cell r="L309">
            <v>3</v>
          </cell>
          <cell r="M309" t="b">
            <v>0</v>
          </cell>
        </row>
        <row r="310">
          <cell r="A310">
            <v>309</v>
          </cell>
          <cell r="B310" t="str">
            <v>Electrike</v>
          </cell>
          <cell r="C310" t="str">
            <v>Electric</v>
          </cell>
          <cell r="E310">
            <v>295</v>
          </cell>
          <cell r="F310">
            <v>40</v>
          </cell>
          <cell r="G310">
            <v>45</v>
          </cell>
          <cell r="H310">
            <v>40</v>
          </cell>
          <cell r="I310">
            <v>65</v>
          </cell>
          <cell r="J310">
            <v>40</v>
          </cell>
          <cell r="K310">
            <v>65</v>
          </cell>
          <cell r="L310">
            <v>3</v>
          </cell>
          <cell r="M310" t="b">
            <v>0</v>
          </cell>
        </row>
        <row r="311">
          <cell r="A311">
            <v>310</v>
          </cell>
          <cell r="B311" t="str">
            <v>Manectric</v>
          </cell>
          <cell r="C311" t="str">
            <v>Electric</v>
          </cell>
          <cell r="E311">
            <v>475</v>
          </cell>
          <cell r="F311">
            <v>70</v>
          </cell>
          <cell r="G311">
            <v>75</v>
          </cell>
          <cell r="H311">
            <v>60</v>
          </cell>
          <cell r="I311">
            <v>105</v>
          </cell>
          <cell r="J311">
            <v>60</v>
          </cell>
          <cell r="K311">
            <v>105</v>
          </cell>
          <cell r="L311">
            <v>3</v>
          </cell>
          <cell r="M311" t="b">
            <v>0</v>
          </cell>
        </row>
        <row r="312">
          <cell r="A312">
            <v>311</v>
          </cell>
          <cell r="B312" t="str">
            <v>Plusle</v>
          </cell>
          <cell r="C312" t="str">
            <v>Electric</v>
          </cell>
          <cell r="E312">
            <v>405</v>
          </cell>
          <cell r="F312">
            <v>60</v>
          </cell>
          <cell r="G312">
            <v>50</v>
          </cell>
          <cell r="H312">
            <v>40</v>
          </cell>
          <cell r="I312">
            <v>85</v>
          </cell>
          <cell r="J312">
            <v>75</v>
          </cell>
          <cell r="K312">
            <v>95</v>
          </cell>
          <cell r="L312">
            <v>3</v>
          </cell>
          <cell r="M312" t="b">
            <v>0</v>
          </cell>
        </row>
        <row r="313">
          <cell r="A313">
            <v>312</v>
          </cell>
          <cell r="B313" t="str">
            <v>Minun</v>
          </cell>
          <cell r="C313" t="str">
            <v>Electric</v>
          </cell>
          <cell r="E313">
            <v>405</v>
          </cell>
          <cell r="F313">
            <v>60</v>
          </cell>
          <cell r="G313">
            <v>40</v>
          </cell>
          <cell r="H313">
            <v>50</v>
          </cell>
          <cell r="I313">
            <v>75</v>
          </cell>
          <cell r="J313">
            <v>85</v>
          </cell>
          <cell r="K313">
            <v>95</v>
          </cell>
          <cell r="L313">
            <v>3</v>
          </cell>
          <cell r="M313" t="b">
            <v>0</v>
          </cell>
        </row>
        <row r="314">
          <cell r="A314">
            <v>313</v>
          </cell>
          <cell r="B314" t="str">
            <v>Volbeat</v>
          </cell>
          <cell r="C314" t="str">
            <v>Bug</v>
          </cell>
          <cell r="E314">
            <v>400</v>
          </cell>
          <cell r="F314">
            <v>65</v>
          </cell>
          <cell r="G314">
            <v>73</v>
          </cell>
          <cell r="H314">
            <v>55</v>
          </cell>
          <cell r="I314">
            <v>47</v>
          </cell>
          <cell r="J314">
            <v>75</v>
          </cell>
          <cell r="K314">
            <v>85</v>
          </cell>
          <cell r="L314">
            <v>3</v>
          </cell>
          <cell r="M314" t="b">
            <v>0</v>
          </cell>
        </row>
        <row r="315">
          <cell r="A315">
            <v>314</v>
          </cell>
          <cell r="B315" t="str">
            <v>Illumise</v>
          </cell>
          <cell r="C315" t="str">
            <v>Bug</v>
          </cell>
          <cell r="E315">
            <v>400</v>
          </cell>
          <cell r="F315">
            <v>65</v>
          </cell>
          <cell r="G315">
            <v>47</v>
          </cell>
          <cell r="H315">
            <v>55</v>
          </cell>
          <cell r="I315">
            <v>73</v>
          </cell>
          <cell r="J315">
            <v>75</v>
          </cell>
          <cell r="K315">
            <v>85</v>
          </cell>
          <cell r="L315">
            <v>3</v>
          </cell>
          <cell r="M315" t="b">
            <v>0</v>
          </cell>
        </row>
        <row r="316">
          <cell r="A316">
            <v>315</v>
          </cell>
          <cell r="B316" t="str">
            <v>Roselia</v>
          </cell>
          <cell r="C316" t="str">
            <v>Grass</v>
          </cell>
          <cell r="D316" t="str">
            <v>Poison</v>
          </cell>
          <cell r="E316">
            <v>400</v>
          </cell>
          <cell r="F316">
            <v>50</v>
          </cell>
          <cell r="G316">
            <v>60</v>
          </cell>
          <cell r="H316">
            <v>45</v>
          </cell>
          <cell r="I316">
            <v>100</v>
          </cell>
          <cell r="J316">
            <v>80</v>
          </cell>
          <cell r="K316">
            <v>65</v>
          </cell>
          <cell r="L316">
            <v>3</v>
          </cell>
          <cell r="M316" t="b">
            <v>0</v>
          </cell>
        </row>
        <row r="317">
          <cell r="A317">
            <v>316</v>
          </cell>
          <cell r="B317" t="str">
            <v>Gulpin</v>
          </cell>
          <cell r="C317" t="str">
            <v>Poison</v>
          </cell>
          <cell r="E317">
            <v>302</v>
          </cell>
          <cell r="F317">
            <v>70</v>
          </cell>
          <cell r="G317">
            <v>43</v>
          </cell>
          <cell r="H317">
            <v>53</v>
          </cell>
          <cell r="I317">
            <v>43</v>
          </cell>
          <cell r="J317">
            <v>53</v>
          </cell>
          <cell r="K317">
            <v>40</v>
          </cell>
          <cell r="L317">
            <v>3</v>
          </cell>
          <cell r="M317" t="b">
            <v>0</v>
          </cell>
        </row>
        <row r="318">
          <cell r="A318">
            <v>317</v>
          </cell>
          <cell r="B318" t="str">
            <v>Swalot</v>
          </cell>
          <cell r="C318" t="str">
            <v>Poison</v>
          </cell>
          <cell r="E318">
            <v>467</v>
          </cell>
          <cell r="F318">
            <v>100</v>
          </cell>
          <cell r="G318">
            <v>73</v>
          </cell>
          <cell r="H318">
            <v>83</v>
          </cell>
          <cell r="I318">
            <v>73</v>
          </cell>
          <cell r="J318">
            <v>83</v>
          </cell>
          <cell r="K318">
            <v>55</v>
          </cell>
          <cell r="L318">
            <v>3</v>
          </cell>
          <cell r="M318" t="b">
            <v>0</v>
          </cell>
        </row>
        <row r="319">
          <cell r="A319">
            <v>318</v>
          </cell>
          <cell r="B319" t="str">
            <v>Carvanha</v>
          </cell>
          <cell r="C319" t="str">
            <v>Water</v>
          </cell>
          <cell r="D319" t="str">
            <v>Dark</v>
          </cell>
          <cell r="E319">
            <v>305</v>
          </cell>
          <cell r="F319">
            <v>45</v>
          </cell>
          <cell r="G319">
            <v>90</v>
          </cell>
          <cell r="H319">
            <v>20</v>
          </cell>
          <cell r="I319">
            <v>65</v>
          </cell>
          <cell r="J319">
            <v>20</v>
          </cell>
          <cell r="K319">
            <v>65</v>
          </cell>
          <cell r="L319">
            <v>3</v>
          </cell>
          <cell r="M319" t="b">
            <v>0</v>
          </cell>
        </row>
        <row r="320">
          <cell r="A320">
            <v>319</v>
          </cell>
          <cell r="B320" t="str">
            <v>Sharpedo</v>
          </cell>
          <cell r="C320" t="str">
            <v>Water</v>
          </cell>
          <cell r="D320" t="str">
            <v>Dark</v>
          </cell>
          <cell r="E320">
            <v>460</v>
          </cell>
          <cell r="F320">
            <v>70</v>
          </cell>
          <cell r="G320">
            <v>120</v>
          </cell>
          <cell r="H320">
            <v>40</v>
          </cell>
          <cell r="I320">
            <v>95</v>
          </cell>
          <cell r="J320">
            <v>40</v>
          </cell>
          <cell r="K320">
            <v>95</v>
          </cell>
          <cell r="L320">
            <v>3</v>
          </cell>
          <cell r="M320" t="b">
            <v>0</v>
          </cell>
        </row>
        <row r="321">
          <cell r="A321">
            <v>320</v>
          </cell>
          <cell r="B321" t="str">
            <v>Wailmer</v>
          </cell>
          <cell r="C321" t="str">
            <v>Water</v>
          </cell>
          <cell r="E321">
            <v>400</v>
          </cell>
          <cell r="F321">
            <v>130</v>
          </cell>
          <cell r="G321">
            <v>70</v>
          </cell>
          <cell r="H321">
            <v>35</v>
          </cell>
          <cell r="I321">
            <v>70</v>
          </cell>
          <cell r="J321">
            <v>35</v>
          </cell>
          <cell r="K321">
            <v>60</v>
          </cell>
          <cell r="L321">
            <v>3</v>
          </cell>
          <cell r="M321" t="b">
            <v>0</v>
          </cell>
        </row>
        <row r="322">
          <cell r="A322">
            <v>321</v>
          </cell>
          <cell r="B322" t="str">
            <v>Wailord</v>
          </cell>
          <cell r="C322" t="str">
            <v>Water</v>
          </cell>
          <cell r="E322">
            <v>500</v>
          </cell>
          <cell r="F322">
            <v>170</v>
          </cell>
          <cell r="G322">
            <v>90</v>
          </cell>
          <cell r="H322">
            <v>45</v>
          </cell>
          <cell r="I322">
            <v>90</v>
          </cell>
          <cell r="J322">
            <v>45</v>
          </cell>
          <cell r="K322">
            <v>60</v>
          </cell>
          <cell r="L322">
            <v>3</v>
          </cell>
          <cell r="M322" t="b">
            <v>0</v>
          </cell>
        </row>
        <row r="323">
          <cell r="A323">
            <v>322</v>
          </cell>
          <cell r="B323" t="str">
            <v>Numel</v>
          </cell>
          <cell r="C323" t="str">
            <v>Fire</v>
          </cell>
          <cell r="D323" t="str">
            <v>Ground</v>
          </cell>
          <cell r="E323">
            <v>305</v>
          </cell>
          <cell r="F323">
            <v>60</v>
          </cell>
          <cell r="G323">
            <v>60</v>
          </cell>
          <cell r="H323">
            <v>40</v>
          </cell>
          <cell r="I323">
            <v>65</v>
          </cell>
          <cell r="J323">
            <v>45</v>
          </cell>
          <cell r="K323">
            <v>35</v>
          </cell>
          <cell r="L323">
            <v>3</v>
          </cell>
          <cell r="M323" t="b">
            <v>0</v>
          </cell>
        </row>
        <row r="324">
          <cell r="A324">
            <v>323</v>
          </cell>
          <cell r="B324" t="str">
            <v>Camerupt</v>
          </cell>
          <cell r="C324" t="str">
            <v>Fire</v>
          </cell>
          <cell r="D324" t="str">
            <v>Ground</v>
          </cell>
          <cell r="E324">
            <v>460</v>
          </cell>
          <cell r="F324">
            <v>70</v>
          </cell>
          <cell r="G324">
            <v>100</v>
          </cell>
          <cell r="H324">
            <v>70</v>
          </cell>
          <cell r="I324">
            <v>105</v>
          </cell>
          <cell r="J324">
            <v>75</v>
          </cell>
          <cell r="K324">
            <v>40</v>
          </cell>
          <cell r="L324">
            <v>3</v>
          </cell>
          <cell r="M324" t="b">
            <v>0</v>
          </cell>
        </row>
        <row r="325">
          <cell r="A325">
            <v>324</v>
          </cell>
          <cell r="B325" t="str">
            <v>Torkoal</v>
          </cell>
          <cell r="C325" t="str">
            <v>Fire</v>
          </cell>
          <cell r="E325">
            <v>470</v>
          </cell>
          <cell r="F325">
            <v>70</v>
          </cell>
          <cell r="G325">
            <v>85</v>
          </cell>
          <cell r="H325">
            <v>140</v>
          </cell>
          <cell r="I325">
            <v>85</v>
          </cell>
          <cell r="J325">
            <v>70</v>
          </cell>
          <cell r="K325">
            <v>20</v>
          </cell>
          <cell r="L325">
            <v>3</v>
          </cell>
          <cell r="M325" t="b">
            <v>0</v>
          </cell>
        </row>
        <row r="326">
          <cell r="A326">
            <v>325</v>
          </cell>
          <cell r="B326" t="str">
            <v>Spoink</v>
          </cell>
          <cell r="C326" t="str">
            <v>Psychic</v>
          </cell>
          <cell r="E326">
            <v>330</v>
          </cell>
          <cell r="F326">
            <v>60</v>
          </cell>
          <cell r="G326">
            <v>25</v>
          </cell>
          <cell r="H326">
            <v>35</v>
          </cell>
          <cell r="I326">
            <v>70</v>
          </cell>
          <cell r="J326">
            <v>80</v>
          </cell>
          <cell r="K326">
            <v>60</v>
          </cell>
          <cell r="L326">
            <v>3</v>
          </cell>
          <cell r="M326" t="b">
            <v>0</v>
          </cell>
        </row>
        <row r="327">
          <cell r="A327">
            <v>326</v>
          </cell>
          <cell r="B327" t="str">
            <v>Grumpig</v>
          </cell>
          <cell r="C327" t="str">
            <v>Psychic</v>
          </cell>
          <cell r="E327">
            <v>470</v>
          </cell>
          <cell r="F327">
            <v>80</v>
          </cell>
          <cell r="G327">
            <v>45</v>
          </cell>
          <cell r="H327">
            <v>65</v>
          </cell>
          <cell r="I327">
            <v>90</v>
          </cell>
          <cell r="J327">
            <v>110</v>
          </cell>
          <cell r="K327">
            <v>80</v>
          </cell>
          <cell r="L327">
            <v>3</v>
          </cell>
          <cell r="M327" t="b">
            <v>0</v>
          </cell>
        </row>
        <row r="328">
          <cell r="A328">
            <v>327</v>
          </cell>
          <cell r="B328" t="str">
            <v>Spinda</v>
          </cell>
          <cell r="C328" t="str">
            <v>Normal</v>
          </cell>
          <cell r="E328">
            <v>360</v>
          </cell>
          <cell r="F328">
            <v>60</v>
          </cell>
          <cell r="G328">
            <v>60</v>
          </cell>
          <cell r="H328">
            <v>60</v>
          </cell>
          <cell r="I328">
            <v>60</v>
          </cell>
          <cell r="J328">
            <v>60</v>
          </cell>
          <cell r="K328">
            <v>60</v>
          </cell>
          <cell r="L328">
            <v>3</v>
          </cell>
          <cell r="M328" t="b">
            <v>0</v>
          </cell>
        </row>
        <row r="329">
          <cell r="A329">
            <v>328</v>
          </cell>
          <cell r="B329" t="str">
            <v>Trapinch</v>
          </cell>
          <cell r="C329" t="str">
            <v>Ground</v>
          </cell>
          <cell r="E329">
            <v>290</v>
          </cell>
          <cell r="F329">
            <v>45</v>
          </cell>
          <cell r="G329">
            <v>100</v>
          </cell>
          <cell r="H329">
            <v>45</v>
          </cell>
          <cell r="I329">
            <v>45</v>
          </cell>
          <cell r="J329">
            <v>45</v>
          </cell>
          <cell r="K329">
            <v>10</v>
          </cell>
          <cell r="L329">
            <v>3</v>
          </cell>
          <cell r="M329" t="b">
            <v>0</v>
          </cell>
        </row>
        <row r="330">
          <cell r="A330">
            <v>329</v>
          </cell>
          <cell r="B330" t="str">
            <v>Vibrava</v>
          </cell>
          <cell r="C330" t="str">
            <v>Ground</v>
          </cell>
          <cell r="D330" t="str">
            <v>Dragon</v>
          </cell>
          <cell r="E330">
            <v>340</v>
          </cell>
          <cell r="F330">
            <v>50</v>
          </cell>
          <cell r="G330">
            <v>70</v>
          </cell>
          <cell r="H330">
            <v>50</v>
          </cell>
          <cell r="I330">
            <v>50</v>
          </cell>
          <cell r="J330">
            <v>50</v>
          </cell>
          <cell r="K330">
            <v>70</v>
          </cell>
          <cell r="L330">
            <v>3</v>
          </cell>
          <cell r="M330" t="b">
            <v>0</v>
          </cell>
        </row>
        <row r="331">
          <cell r="A331">
            <v>330</v>
          </cell>
          <cell r="B331" t="str">
            <v>Flygon</v>
          </cell>
          <cell r="C331" t="str">
            <v>Ground</v>
          </cell>
          <cell r="D331" t="str">
            <v>Dragon</v>
          </cell>
          <cell r="E331">
            <v>520</v>
          </cell>
          <cell r="F331">
            <v>80</v>
          </cell>
          <cell r="G331">
            <v>100</v>
          </cell>
          <cell r="H331">
            <v>80</v>
          </cell>
          <cell r="I331">
            <v>80</v>
          </cell>
          <cell r="J331">
            <v>80</v>
          </cell>
          <cell r="K331">
            <v>100</v>
          </cell>
          <cell r="L331">
            <v>3</v>
          </cell>
          <cell r="M331" t="b">
            <v>0</v>
          </cell>
        </row>
        <row r="332">
          <cell r="A332">
            <v>331</v>
          </cell>
          <cell r="B332" t="str">
            <v>Cacnea</v>
          </cell>
          <cell r="C332" t="str">
            <v>Grass</v>
          </cell>
          <cell r="E332">
            <v>335</v>
          </cell>
          <cell r="F332">
            <v>50</v>
          </cell>
          <cell r="G332">
            <v>85</v>
          </cell>
          <cell r="H332">
            <v>40</v>
          </cell>
          <cell r="I332">
            <v>85</v>
          </cell>
          <cell r="J332">
            <v>40</v>
          </cell>
          <cell r="K332">
            <v>35</v>
          </cell>
          <cell r="L332">
            <v>3</v>
          </cell>
          <cell r="M332" t="b">
            <v>0</v>
          </cell>
        </row>
        <row r="333">
          <cell r="A333">
            <v>332</v>
          </cell>
          <cell r="B333" t="str">
            <v>Cacturne</v>
          </cell>
          <cell r="C333" t="str">
            <v>Grass</v>
          </cell>
          <cell r="D333" t="str">
            <v>Dark</v>
          </cell>
          <cell r="E333">
            <v>475</v>
          </cell>
          <cell r="F333">
            <v>70</v>
          </cell>
          <cell r="G333">
            <v>115</v>
          </cell>
          <cell r="H333">
            <v>60</v>
          </cell>
          <cell r="I333">
            <v>115</v>
          </cell>
          <cell r="J333">
            <v>60</v>
          </cell>
          <cell r="K333">
            <v>55</v>
          </cell>
          <cell r="L333">
            <v>3</v>
          </cell>
          <cell r="M333" t="b">
            <v>0</v>
          </cell>
        </row>
        <row r="334">
          <cell r="A334">
            <v>333</v>
          </cell>
          <cell r="B334" t="str">
            <v>Swablu</v>
          </cell>
          <cell r="C334" t="str">
            <v>Normal</v>
          </cell>
          <cell r="D334" t="str">
            <v>Flying</v>
          </cell>
          <cell r="E334">
            <v>310</v>
          </cell>
          <cell r="F334">
            <v>45</v>
          </cell>
          <cell r="G334">
            <v>40</v>
          </cell>
          <cell r="H334">
            <v>60</v>
          </cell>
          <cell r="I334">
            <v>40</v>
          </cell>
          <cell r="J334">
            <v>75</v>
          </cell>
          <cell r="K334">
            <v>50</v>
          </cell>
          <cell r="L334">
            <v>3</v>
          </cell>
          <cell r="M334" t="b">
            <v>0</v>
          </cell>
        </row>
        <row r="335">
          <cell r="A335">
            <v>334</v>
          </cell>
          <cell r="B335" t="str">
            <v>Altaria</v>
          </cell>
          <cell r="C335" t="str">
            <v>Dragon</v>
          </cell>
          <cell r="D335" t="str">
            <v>Flying</v>
          </cell>
          <cell r="E335">
            <v>490</v>
          </cell>
          <cell r="F335">
            <v>75</v>
          </cell>
          <cell r="G335">
            <v>70</v>
          </cell>
          <cell r="H335">
            <v>90</v>
          </cell>
          <cell r="I335">
            <v>70</v>
          </cell>
          <cell r="J335">
            <v>105</v>
          </cell>
          <cell r="K335">
            <v>80</v>
          </cell>
          <cell r="L335">
            <v>3</v>
          </cell>
          <cell r="M335" t="b">
            <v>0</v>
          </cell>
        </row>
        <row r="336">
          <cell r="A336">
            <v>335</v>
          </cell>
          <cell r="B336" t="str">
            <v>Zangoose</v>
          </cell>
          <cell r="C336" t="str">
            <v>Normal</v>
          </cell>
          <cell r="E336">
            <v>458</v>
          </cell>
          <cell r="F336">
            <v>73</v>
          </cell>
          <cell r="G336">
            <v>115</v>
          </cell>
          <cell r="H336">
            <v>60</v>
          </cell>
          <cell r="I336">
            <v>60</v>
          </cell>
          <cell r="J336">
            <v>60</v>
          </cell>
          <cell r="K336">
            <v>90</v>
          </cell>
          <cell r="L336">
            <v>3</v>
          </cell>
          <cell r="M336" t="b">
            <v>0</v>
          </cell>
        </row>
        <row r="337">
          <cell r="A337">
            <v>336</v>
          </cell>
          <cell r="B337" t="str">
            <v>Seviper</v>
          </cell>
          <cell r="C337" t="str">
            <v>Poison</v>
          </cell>
          <cell r="E337">
            <v>458</v>
          </cell>
          <cell r="F337">
            <v>73</v>
          </cell>
          <cell r="G337">
            <v>100</v>
          </cell>
          <cell r="H337">
            <v>60</v>
          </cell>
          <cell r="I337">
            <v>100</v>
          </cell>
          <cell r="J337">
            <v>60</v>
          </cell>
          <cell r="K337">
            <v>65</v>
          </cell>
          <cell r="L337">
            <v>3</v>
          </cell>
          <cell r="M337" t="b">
            <v>0</v>
          </cell>
        </row>
        <row r="338">
          <cell r="A338">
            <v>337</v>
          </cell>
          <cell r="B338" t="str">
            <v>Lunatone</v>
          </cell>
          <cell r="C338" t="str">
            <v>Rock</v>
          </cell>
          <cell r="D338" t="str">
            <v>Psychic</v>
          </cell>
          <cell r="E338">
            <v>440</v>
          </cell>
          <cell r="F338">
            <v>70</v>
          </cell>
          <cell r="G338">
            <v>55</v>
          </cell>
          <cell r="H338">
            <v>65</v>
          </cell>
          <cell r="I338">
            <v>95</v>
          </cell>
          <cell r="J338">
            <v>85</v>
          </cell>
          <cell r="K338">
            <v>70</v>
          </cell>
          <cell r="L338">
            <v>3</v>
          </cell>
          <cell r="M338" t="b">
            <v>0</v>
          </cell>
        </row>
        <row r="339">
          <cell r="A339">
            <v>338</v>
          </cell>
          <cell r="B339" t="str">
            <v>Solrock</v>
          </cell>
          <cell r="C339" t="str">
            <v>Rock</v>
          </cell>
          <cell r="D339" t="str">
            <v>Psychic</v>
          </cell>
          <cell r="E339">
            <v>440</v>
          </cell>
          <cell r="F339">
            <v>70</v>
          </cell>
          <cell r="G339">
            <v>95</v>
          </cell>
          <cell r="H339">
            <v>85</v>
          </cell>
          <cell r="I339">
            <v>55</v>
          </cell>
          <cell r="J339">
            <v>65</v>
          </cell>
          <cell r="K339">
            <v>70</v>
          </cell>
          <cell r="L339">
            <v>3</v>
          </cell>
          <cell r="M339" t="b">
            <v>0</v>
          </cell>
        </row>
        <row r="340">
          <cell r="A340">
            <v>339</v>
          </cell>
          <cell r="B340" t="str">
            <v>Barboach</v>
          </cell>
          <cell r="C340" t="str">
            <v>Water</v>
          </cell>
          <cell r="D340" t="str">
            <v>Ground</v>
          </cell>
          <cell r="E340">
            <v>288</v>
          </cell>
          <cell r="F340">
            <v>50</v>
          </cell>
          <cell r="G340">
            <v>48</v>
          </cell>
          <cell r="H340">
            <v>43</v>
          </cell>
          <cell r="I340">
            <v>46</v>
          </cell>
          <cell r="J340">
            <v>41</v>
          </cell>
          <cell r="K340">
            <v>60</v>
          </cell>
          <cell r="L340">
            <v>3</v>
          </cell>
          <cell r="M340" t="b">
            <v>0</v>
          </cell>
        </row>
        <row r="341">
          <cell r="A341">
            <v>340</v>
          </cell>
          <cell r="B341" t="str">
            <v>Whiscash</v>
          </cell>
          <cell r="C341" t="str">
            <v>Water</v>
          </cell>
          <cell r="D341" t="str">
            <v>Ground</v>
          </cell>
          <cell r="E341">
            <v>468</v>
          </cell>
          <cell r="F341">
            <v>110</v>
          </cell>
          <cell r="G341">
            <v>78</v>
          </cell>
          <cell r="H341">
            <v>73</v>
          </cell>
          <cell r="I341">
            <v>76</v>
          </cell>
          <cell r="J341">
            <v>71</v>
          </cell>
          <cell r="K341">
            <v>60</v>
          </cell>
          <cell r="L341">
            <v>3</v>
          </cell>
          <cell r="M341" t="b">
            <v>0</v>
          </cell>
        </row>
        <row r="342">
          <cell r="A342">
            <v>341</v>
          </cell>
          <cell r="B342" t="str">
            <v>Corphish</v>
          </cell>
          <cell r="C342" t="str">
            <v>Water</v>
          </cell>
          <cell r="E342">
            <v>308</v>
          </cell>
          <cell r="F342">
            <v>43</v>
          </cell>
          <cell r="G342">
            <v>80</v>
          </cell>
          <cell r="H342">
            <v>65</v>
          </cell>
          <cell r="I342">
            <v>50</v>
          </cell>
          <cell r="J342">
            <v>35</v>
          </cell>
          <cell r="K342">
            <v>35</v>
          </cell>
          <cell r="L342">
            <v>3</v>
          </cell>
          <cell r="M342" t="b">
            <v>0</v>
          </cell>
        </row>
        <row r="343">
          <cell r="A343">
            <v>342</v>
          </cell>
          <cell r="B343" t="str">
            <v>Crawdaunt</v>
          </cell>
          <cell r="C343" t="str">
            <v>Water</v>
          </cell>
          <cell r="D343" t="str">
            <v>Dark</v>
          </cell>
          <cell r="E343">
            <v>468</v>
          </cell>
          <cell r="F343">
            <v>63</v>
          </cell>
          <cell r="G343">
            <v>120</v>
          </cell>
          <cell r="H343">
            <v>85</v>
          </cell>
          <cell r="I343">
            <v>90</v>
          </cell>
          <cell r="J343">
            <v>55</v>
          </cell>
          <cell r="K343">
            <v>55</v>
          </cell>
          <cell r="L343">
            <v>3</v>
          </cell>
          <cell r="M343" t="b">
            <v>0</v>
          </cell>
        </row>
        <row r="344">
          <cell r="A344">
            <v>343</v>
          </cell>
          <cell r="B344" t="str">
            <v>Baltoy</v>
          </cell>
          <cell r="C344" t="str">
            <v>Ground</v>
          </cell>
          <cell r="D344" t="str">
            <v>Psychic</v>
          </cell>
          <cell r="E344">
            <v>300</v>
          </cell>
          <cell r="F344">
            <v>40</v>
          </cell>
          <cell r="G344">
            <v>40</v>
          </cell>
          <cell r="H344">
            <v>55</v>
          </cell>
          <cell r="I344">
            <v>40</v>
          </cell>
          <cell r="J344">
            <v>70</v>
          </cell>
          <cell r="K344">
            <v>55</v>
          </cell>
          <cell r="L344">
            <v>3</v>
          </cell>
          <cell r="M344" t="b">
            <v>0</v>
          </cell>
        </row>
        <row r="345">
          <cell r="A345">
            <v>344</v>
          </cell>
          <cell r="B345" t="str">
            <v>Claydol</v>
          </cell>
          <cell r="C345" t="str">
            <v>Ground</v>
          </cell>
          <cell r="D345" t="str">
            <v>Psychic</v>
          </cell>
          <cell r="E345">
            <v>500</v>
          </cell>
          <cell r="F345">
            <v>60</v>
          </cell>
          <cell r="G345">
            <v>70</v>
          </cell>
          <cell r="H345">
            <v>105</v>
          </cell>
          <cell r="I345">
            <v>70</v>
          </cell>
          <cell r="J345">
            <v>120</v>
          </cell>
          <cell r="K345">
            <v>75</v>
          </cell>
          <cell r="L345">
            <v>3</v>
          </cell>
          <cell r="M345" t="b">
            <v>0</v>
          </cell>
        </row>
        <row r="346">
          <cell r="A346">
            <v>345</v>
          </cell>
          <cell r="B346" t="str">
            <v>Lileep</v>
          </cell>
          <cell r="C346" t="str">
            <v>Rock</v>
          </cell>
          <cell r="D346" t="str">
            <v>Grass</v>
          </cell>
          <cell r="E346">
            <v>355</v>
          </cell>
          <cell r="F346">
            <v>66</v>
          </cell>
          <cell r="G346">
            <v>41</v>
          </cell>
          <cell r="H346">
            <v>77</v>
          </cell>
          <cell r="I346">
            <v>61</v>
          </cell>
          <cell r="J346">
            <v>87</v>
          </cell>
          <cell r="K346">
            <v>23</v>
          </cell>
          <cell r="L346">
            <v>3</v>
          </cell>
          <cell r="M346" t="b">
            <v>0</v>
          </cell>
        </row>
        <row r="347">
          <cell r="A347">
            <v>346</v>
          </cell>
          <cell r="B347" t="str">
            <v>Cradily</v>
          </cell>
          <cell r="C347" t="str">
            <v>Rock</v>
          </cell>
          <cell r="D347" t="str">
            <v>Grass</v>
          </cell>
          <cell r="E347">
            <v>495</v>
          </cell>
          <cell r="F347">
            <v>86</v>
          </cell>
          <cell r="G347">
            <v>81</v>
          </cell>
          <cell r="H347">
            <v>97</v>
          </cell>
          <cell r="I347">
            <v>81</v>
          </cell>
          <cell r="J347">
            <v>107</v>
          </cell>
          <cell r="K347">
            <v>43</v>
          </cell>
          <cell r="L347">
            <v>3</v>
          </cell>
          <cell r="M347" t="b">
            <v>0</v>
          </cell>
        </row>
        <row r="348">
          <cell r="A348">
            <v>347</v>
          </cell>
          <cell r="B348" t="str">
            <v>Anorith</v>
          </cell>
          <cell r="C348" t="str">
            <v>Rock</v>
          </cell>
          <cell r="D348" t="str">
            <v>Bug</v>
          </cell>
          <cell r="E348">
            <v>355</v>
          </cell>
          <cell r="F348">
            <v>45</v>
          </cell>
          <cell r="G348">
            <v>95</v>
          </cell>
          <cell r="H348">
            <v>50</v>
          </cell>
          <cell r="I348">
            <v>40</v>
          </cell>
          <cell r="J348">
            <v>50</v>
          </cell>
          <cell r="K348">
            <v>75</v>
          </cell>
          <cell r="L348">
            <v>3</v>
          </cell>
          <cell r="M348" t="b">
            <v>0</v>
          </cell>
        </row>
        <row r="349">
          <cell r="A349">
            <v>348</v>
          </cell>
          <cell r="B349" t="str">
            <v>Armaldo</v>
          </cell>
          <cell r="C349" t="str">
            <v>Rock</v>
          </cell>
          <cell r="D349" t="str">
            <v>Bug</v>
          </cell>
          <cell r="E349">
            <v>495</v>
          </cell>
          <cell r="F349">
            <v>75</v>
          </cell>
          <cell r="G349">
            <v>125</v>
          </cell>
          <cell r="H349">
            <v>100</v>
          </cell>
          <cell r="I349">
            <v>70</v>
          </cell>
          <cell r="J349">
            <v>80</v>
          </cell>
          <cell r="K349">
            <v>45</v>
          </cell>
          <cell r="L349">
            <v>3</v>
          </cell>
          <cell r="M349" t="b">
            <v>0</v>
          </cell>
        </row>
        <row r="350">
          <cell r="A350">
            <v>349</v>
          </cell>
          <cell r="B350" t="str">
            <v>Feebas</v>
          </cell>
          <cell r="C350" t="str">
            <v>Water</v>
          </cell>
          <cell r="E350">
            <v>200</v>
          </cell>
          <cell r="F350">
            <v>20</v>
          </cell>
          <cell r="G350">
            <v>15</v>
          </cell>
          <cell r="H350">
            <v>20</v>
          </cell>
          <cell r="I350">
            <v>10</v>
          </cell>
          <cell r="J350">
            <v>55</v>
          </cell>
          <cell r="K350">
            <v>80</v>
          </cell>
          <cell r="L350">
            <v>3</v>
          </cell>
          <cell r="M350" t="b">
            <v>0</v>
          </cell>
        </row>
        <row r="351">
          <cell r="A351">
            <v>350</v>
          </cell>
          <cell r="B351" t="str">
            <v>Milotic</v>
          </cell>
          <cell r="C351" t="str">
            <v>Water</v>
          </cell>
          <cell r="E351">
            <v>540</v>
          </cell>
          <cell r="F351">
            <v>95</v>
          </cell>
          <cell r="G351">
            <v>60</v>
          </cell>
          <cell r="H351">
            <v>79</v>
          </cell>
          <cell r="I351">
            <v>100</v>
          </cell>
          <cell r="J351">
            <v>125</v>
          </cell>
          <cell r="K351">
            <v>81</v>
          </cell>
          <cell r="L351">
            <v>3</v>
          </cell>
          <cell r="M351" t="b">
            <v>0</v>
          </cell>
        </row>
        <row r="352">
          <cell r="A352">
            <v>351</v>
          </cell>
          <cell r="B352" t="str">
            <v>Castform</v>
          </cell>
          <cell r="C352" t="str">
            <v>Normal</v>
          </cell>
          <cell r="E352">
            <v>420</v>
          </cell>
          <cell r="F352">
            <v>70</v>
          </cell>
          <cell r="G352">
            <v>70</v>
          </cell>
          <cell r="H352">
            <v>70</v>
          </cell>
          <cell r="I352">
            <v>70</v>
          </cell>
          <cell r="J352">
            <v>70</v>
          </cell>
          <cell r="K352">
            <v>70</v>
          </cell>
          <cell r="L352">
            <v>3</v>
          </cell>
          <cell r="M352" t="b">
            <v>0</v>
          </cell>
        </row>
        <row r="353">
          <cell r="A353">
            <v>352</v>
          </cell>
          <cell r="B353" t="str">
            <v>Kecleon</v>
          </cell>
          <cell r="C353" t="str">
            <v>Normal</v>
          </cell>
          <cell r="E353">
            <v>440</v>
          </cell>
          <cell r="F353">
            <v>60</v>
          </cell>
          <cell r="G353">
            <v>90</v>
          </cell>
          <cell r="H353">
            <v>70</v>
          </cell>
          <cell r="I353">
            <v>60</v>
          </cell>
          <cell r="J353">
            <v>120</v>
          </cell>
          <cell r="K353">
            <v>40</v>
          </cell>
          <cell r="L353">
            <v>3</v>
          </cell>
          <cell r="M353" t="b">
            <v>0</v>
          </cell>
        </row>
        <row r="354">
          <cell r="A354">
            <v>353</v>
          </cell>
          <cell r="B354" t="str">
            <v>Shuppet</v>
          </cell>
          <cell r="C354" t="str">
            <v>Ghost</v>
          </cell>
          <cell r="E354">
            <v>295</v>
          </cell>
          <cell r="F354">
            <v>44</v>
          </cell>
          <cell r="G354">
            <v>75</v>
          </cell>
          <cell r="H354">
            <v>35</v>
          </cell>
          <cell r="I354">
            <v>63</v>
          </cell>
          <cell r="J354">
            <v>33</v>
          </cell>
          <cell r="K354">
            <v>45</v>
          </cell>
          <cell r="L354">
            <v>3</v>
          </cell>
          <cell r="M354" t="b">
            <v>0</v>
          </cell>
        </row>
        <row r="355">
          <cell r="A355">
            <v>354</v>
          </cell>
          <cell r="B355" t="str">
            <v>Banette</v>
          </cell>
          <cell r="C355" t="str">
            <v>Ghost</v>
          </cell>
          <cell r="E355">
            <v>455</v>
          </cell>
          <cell r="F355">
            <v>64</v>
          </cell>
          <cell r="G355">
            <v>115</v>
          </cell>
          <cell r="H355">
            <v>65</v>
          </cell>
          <cell r="I355">
            <v>83</v>
          </cell>
          <cell r="J355">
            <v>63</v>
          </cell>
          <cell r="K355">
            <v>65</v>
          </cell>
          <cell r="L355">
            <v>3</v>
          </cell>
          <cell r="M355" t="b">
            <v>0</v>
          </cell>
        </row>
        <row r="356">
          <cell r="A356">
            <v>355</v>
          </cell>
          <cell r="B356" t="str">
            <v>Duskull</v>
          </cell>
          <cell r="C356" t="str">
            <v>Ghost</v>
          </cell>
          <cell r="E356">
            <v>295</v>
          </cell>
          <cell r="F356">
            <v>20</v>
          </cell>
          <cell r="G356">
            <v>40</v>
          </cell>
          <cell r="H356">
            <v>90</v>
          </cell>
          <cell r="I356">
            <v>30</v>
          </cell>
          <cell r="J356">
            <v>90</v>
          </cell>
          <cell r="K356">
            <v>25</v>
          </cell>
          <cell r="L356">
            <v>3</v>
          </cell>
          <cell r="M356" t="b">
            <v>0</v>
          </cell>
        </row>
        <row r="357">
          <cell r="A357">
            <v>356</v>
          </cell>
          <cell r="B357" t="str">
            <v>Dusclops</v>
          </cell>
          <cell r="C357" t="str">
            <v>Ghost</v>
          </cell>
          <cell r="E357">
            <v>455</v>
          </cell>
          <cell r="F357">
            <v>40</v>
          </cell>
          <cell r="G357">
            <v>70</v>
          </cell>
          <cell r="H357">
            <v>130</v>
          </cell>
          <cell r="I357">
            <v>60</v>
          </cell>
          <cell r="J357">
            <v>130</v>
          </cell>
          <cell r="K357">
            <v>25</v>
          </cell>
          <cell r="L357">
            <v>3</v>
          </cell>
          <cell r="M357" t="b">
            <v>0</v>
          </cell>
        </row>
        <row r="358">
          <cell r="A358">
            <v>357</v>
          </cell>
          <cell r="B358" t="str">
            <v>Tropius</v>
          </cell>
          <cell r="C358" t="str">
            <v>Grass</v>
          </cell>
          <cell r="D358" t="str">
            <v>Flying</v>
          </cell>
          <cell r="E358">
            <v>460</v>
          </cell>
          <cell r="F358">
            <v>99</v>
          </cell>
          <cell r="G358">
            <v>68</v>
          </cell>
          <cell r="H358">
            <v>83</v>
          </cell>
          <cell r="I358">
            <v>72</v>
          </cell>
          <cell r="J358">
            <v>87</v>
          </cell>
          <cell r="K358">
            <v>51</v>
          </cell>
          <cell r="L358">
            <v>3</v>
          </cell>
          <cell r="M358" t="b">
            <v>0</v>
          </cell>
        </row>
        <row r="359">
          <cell r="A359">
            <v>358</v>
          </cell>
          <cell r="B359" t="str">
            <v>Chimecho</v>
          </cell>
          <cell r="C359" t="str">
            <v>Psychic</v>
          </cell>
          <cell r="E359">
            <v>425</v>
          </cell>
          <cell r="F359">
            <v>65</v>
          </cell>
          <cell r="G359">
            <v>50</v>
          </cell>
          <cell r="H359">
            <v>70</v>
          </cell>
          <cell r="I359">
            <v>95</v>
          </cell>
          <cell r="J359">
            <v>80</v>
          </cell>
          <cell r="K359">
            <v>65</v>
          </cell>
          <cell r="L359">
            <v>3</v>
          </cell>
          <cell r="M359" t="b">
            <v>0</v>
          </cell>
        </row>
        <row r="360">
          <cell r="A360">
            <v>359</v>
          </cell>
          <cell r="B360" t="str">
            <v>Absol</v>
          </cell>
          <cell r="C360" t="str">
            <v>Dark</v>
          </cell>
          <cell r="E360">
            <v>465</v>
          </cell>
          <cell r="F360">
            <v>65</v>
          </cell>
          <cell r="G360">
            <v>130</v>
          </cell>
          <cell r="H360">
            <v>60</v>
          </cell>
          <cell r="I360">
            <v>75</v>
          </cell>
          <cell r="J360">
            <v>60</v>
          </cell>
          <cell r="K360">
            <v>75</v>
          </cell>
          <cell r="L360">
            <v>3</v>
          </cell>
          <cell r="M360" t="b">
            <v>0</v>
          </cell>
        </row>
        <row r="361">
          <cell r="A361">
            <v>360</v>
          </cell>
          <cell r="B361" t="str">
            <v>Wynaut</v>
          </cell>
          <cell r="C361" t="str">
            <v>Psychic</v>
          </cell>
          <cell r="E361">
            <v>260</v>
          </cell>
          <cell r="F361">
            <v>95</v>
          </cell>
          <cell r="G361">
            <v>23</v>
          </cell>
          <cell r="H361">
            <v>48</v>
          </cell>
          <cell r="I361">
            <v>23</v>
          </cell>
          <cell r="J361">
            <v>48</v>
          </cell>
          <cell r="K361">
            <v>23</v>
          </cell>
          <cell r="L361">
            <v>3</v>
          </cell>
          <cell r="M361" t="b">
            <v>0</v>
          </cell>
        </row>
        <row r="362">
          <cell r="A362">
            <v>361</v>
          </cell>
          <cell r="B362" t="str">
            <v>Snorunt</v>
          </cell>
          <cell r="C362" t="str">
            <v>Ice</v>
          </cell>
          <cell r="E362">
            <v>300</v>
          </cell>
          <cell r="F362">
            <v>50</v>
          </cell>
          <cell r="G362">
            <v>50</v>
          </cell>
          <cell r="H362">
            <v>50</v>
          </cell>
          <cell r="I362">
            <v>50</v>
          </cell>
          <cell r="J362">
            <v>50</v>
          </cell>
          <cell r="K362">
            <v>50</v>
          </cell>
          <cell r="L362">
            <v>3</v>
          </cell>
          <cell r="M362" t="b">
            <v>0</v>
          </cell>
        </row>
        <row r="363">
          <cell r="A363">
            <v>362</v>
          </cell>
          <cell r="B363" t="str">
            <v>Glalie</v>
          </cell>
          <cell r="C363" t="str">
            <v>Ice</v>
          </cell>
          <cell r="E363">
            <v>480</v>
          </cell>
          <cell r="F363">
            <v>80</v>
          </cell>
          <cell r="G363">
            <v>80</v>
          </cell>
          <cell r="H363">
            <v>80</v>
          </cell>
          <cell r="I363">
            <v>80</v>
          </cell>
          <cell r="J363">
            <v>80</v>
          </cell>
          <cell r="K363">
            <v>80</v>
          </cell>
          <cell r="L363">
            <v>3</v>
          </cell>
          <cell r="M363" t="b">
            <v>0</v>
          </cell>
        </row>
        <row r="364">
          <cell r="A364">
            <v>363</v>
          </cell>
          <cell r="B364" t="str">
            <v>Spheal</v>
          </cell>
          <cell r="C364" t="str">
            <v>Ice</v>
          </cell>
          <cell r="D364" t="str">
            <v>Water</v>
          </cell>
          <cell r="E364">
            <v>290</v>
          </cell>
          <cell r="F364">
            <v>70</v>
          </cell>
          <cell r="G364">
            <v>40</v>
          </cell>
          <cell r="H364">
            <v>50</v>
          </cell>
          <cell r="I364">
            <v>55</v>
          </cell>
          <cell r="J364">
            <v>50</v>
          </cell>
          <cell r="K364">
            <v>25</v>
          </cell>
          <cell r="L364">
            <v>3</v>
          </cell>
          <cell r="M364" t="b">
            <v>0</v>
          </cell>
        </row>
        <row r="365">
          <cell r="A365">
            <v>364</v>
          </cell>
          <cell r="B365" t="str">
            <v>Sealeo</v>
          </cell>
          <cell r="C365" t="str">
            <v>Ice</v>
          </cell>
          <cell r="D365" t="str">
            <v>Water</v>
          </cell>
          <cell r="E365">
            <v>410</v>
          </cell>
          <cell r="F365">
            <v>90</v>
          </cell>
          <cell r="G365">
            <v>60</v>
          </cell>
          <cell r="H365">
            <v>70</v>
          </cell>
          <cell r="I365">
            <v>75</v>
          </cell>
          <cell r="J365">
            <v>70</v>
          </cell>
          <cell r="K365">
            <v>45</v>
          </cell>
          <cell r="L365">
            <v>3</v>
          </cell>
          <cell r="M365" t="b">
            <v>0</v>
          </cell>
        </row>
        <row r="366">
          <cell r="A366">
            <v>365</v>
          </cell>
          <cell r="B366" t="str">
            <v>Walrein</v>
          </cell>
          <cell r="C366" t="str">
            <v>Ice</v>
          </cell>
          <cell r="D366" t="str">
            <v>Water</v>
          </cell>
          <cell r="E366">
            <v>530</v>
          </cell>
          <cell r="F366">
            <v>110</v>
          </cell>
          <cell r="G366">
            <v>80</v>
          </cell>
          <cell r="H366">
            <v>90</v>
          </cell>
          <cell r="I366">
            <v>95</v>
          </cell>
          <cell r="J366">
            <v>90</v>
          </cell>
          <cell r="K366">
            <v>65</v>
          </cell>
          <cell r="L366">
            <v>3</v>
          </cell>
          <cell r="M366" t="b">
            <v>0</v>
          </cell>
        </row>
        <row r="367">
          <cell r="A367">
            <v>366</v>
          </cell>
          <cell r="B367" t="str">
            <v>Clamperl</v>
          </cell>
          <cell r="C367" t="str">
            <v>Water</v>
          </cell>
          <cell r="E367">
            <v>345</v>
          </cell>
          <cell r="F367">
            <v>35</v>
          </cell>
          <cell r="G367">
            <v>64</v>
          </cell>
          <cell r="H367">
            <v>85</v>
          </cell>
          <cell r="I367">
            <v>74</v>
          </cell>
          <cell r="J367">
            <v>55</v>
          </cell>
          <cell r="K367">
            <v>32</v>
          </cell>
          <cell r="L367">
            <v>3</v>
          </cell>
          <cell r="M367" t="b">
            <v>0</v>
          </cell>
        </row>
        <row r="368">
          <cell r="A368">
            <v>367</v>
          </cell>
          <cell r="B368" t="str">
            <v>Huntail</v>
          </cell>
          <cell r="C368" t="str">
            <v>Water</v>
          </cell>
          <cell r="E368">
            <v>485</v>
          </cell>
          <cell r="F368">
            <v>55</v>
          </cell>
          <cell r="G368">
            <v>104</v>
          </cell>
          <cell r="H368">
            <v>105</v>
          </cell>
          <cell r="I368">
            <v>94</v>
          </cell>
          <cell r="J368">
            <v>75</v>
          </cell>
          <cell r="K368">
            <v>52</v>
          </cell>
          <cell r="L368">
            <v>3</v>
          </cell>
          <cell r="M368" t="b">
            <v>0</v>
          </cell>
        </row>
        <row r="369">
          <cell r="A369">
            <v>368</v>
          </cell>
          <cell r="B369" t="str">
            <v>Gorebyss</v>
          </cell>
          <cell r="C369" t="str">
            <v>Water</v>
          </cell>
          <cell r="E369">
            <v>485</v>
          </cell>
          <cell r="F369">
            <v>55</v>
          </cell>
          <cell r="G369">
            <v>84</v>
          </cell>
          <cell r="H369">
            <v>105</v>
          </cell>
          <cell r="I369">
            <v>114</v>
          </cell>
          <cell r="J369">
            <v>75</v>
          </cell>
          <cell r="K369">
            <v>52</v>
          </cell>
          <cell r="L369">
            <v>3</v>
          </cell>
          <cell r="M369" t="b">
            <v>0</v>
          </cell>
        </row>
        <row r="370">
          <cell r="A370">
            <v>369</v>
          </cell>
          <cell r="B370" t="str">
            <v>Relicanth</v>
          </cell>
          <cell r="C370" t="str">
            <v>Water</v>
          </cell>
          <cell r="D370" t="str">
            <v>Rock</v>
          </cell>
          <cell r="E370">
            <v>485</v>
          </cell>
          <cell r="F370">
            <v>100</v>
          </cell>
          <cell r="G370">
            <v>90</v>
          </cell>
          <cell r="H370">
            <v>130</v>
          </cell>
          <cell r="I370">
            <v>45</v>
          </cell>
          <cell r="J370">
            <v>65</v>
          </cell>
          <cell r="K370">
            <v>55</v>
          </cell>
          <cell r="L370">
            <v>3</v>
          </cell>
          <cell r="M370" t="b">
            <v>0</v>
          </cell>
        </row>
        <row r="371">
          <cell r="A371">
            <v>370</v>
          </cell>
          <cell r="B371" t="str">
            <v>Luvdisc</v>
          </cell>
          <cell r="C371" t="str">
            <v>Water</v>
          </cell>
          <cell r="E371">
            <v>330</v>
          </cell>
          <cell r="F371">
            <v>43</v>
          </cell>
          <cell r="G371">
            <v>30</v>
          </cell>
          <cell r="H371">
            <v>55</v>
          </cell>
          <cell r="I371">
            <v>40</v>
          </cell>
          <cell r="J371">
            <v>65</v>
          </cell>
          <cell r="K371">
            <v>97</v>
          </cell>
          <cell r="L371">
            <v>3</v>
          </cell>
          <cell r="M371" t="b">
            <v>0</v>
          </cell>
        </row>
        <row r="372">
          <cell r="A372">
            <v>371</v>
          </cell>
          <cell r="B372" t="str">
            <v>Bagon</v>
          </cell>
          <cell r="C372" t="str">
            <v>Dragon</v>
          </cell>
          <cell r="E372">
            <v>300</v>
          </cell>
          <cell r="F372">
            <v>45</v>
          </cell>
          <cell r="G372">
            <v>75</v>
          </cell>
          <cell r="H372">
            <v>60</v>
          </cell>
          <cell r="I372">
            <v>40</v>
          </cell>
          <cell r="J372">
            <v>30</v>
          </cell>
          <cell r="K372">
            <v>50</v>
          </cell>
          <cell r="L372">
            <v>3</v>
          </cell>
          <cell r="M372" t="b">
            <v>0</v>
          </cell>
        </row>
        <row r="373">
          <cell r="A373">
            <v>372</v>
          </cell>
          <cell r="B373" t="str">
            <v>Shelgon</v>
          </cell>
          <cell r="C373" t="str">
            <v>Dragon</v>
          </cell>
          <cell r="E373">
            <v>420</v>
          </cell>
          <cell r="F373">
            <v>65</v>
          </cell>
          <cell r="G373">
            <v>95</v>
          </cell>
          <cell r="H373">
            <v>100</v>
          </cell>
          <cell r="I373">
            <v>60</v>
          </cell>
          <cell r="J373">
            <v>50</v>
          </cell>
          <cell r="K373">
            <v>50</v>
          </cell>
          <cell r="L373">
            <v>3</v>
          </cell>
          <cell r="M373" t="b">
            <v>0</v>
          </cell>
        </row>
        <row r="374">
          <cell r="A374">
            <v>373</v>
          </cell>
          <cell r="B374" t="str">
            <v>Salamence</v>
          </cell>
          <cell r="C374" t="str">
            <v>Dragon</v>
          </cell>
          <cell r="D374" t="str">
            <v>Flying</v>
          </cell>
          <cell r="E374">
            <v>600</v>
          </cell>
          <cell r="F374">
            <v>95</v>
          </cell>
          <cell r="G374">
            <v>135</v>
          </cell>
          <cell r="H374">
            <v>80</v>
          </cell>
          <cell r="I374">
            <v>110</v>
          </cell>
          <cell r="J374">
            <v>80</v>
          </cell>
          <cell r="K374">
            <v>100</v>
          </cell>
          <cell r="L374">
            <v>3</v>
          </cell>
          <cell r="M374" t="b">
            <v>0</v>
          </cell>
        </row>
        <row r="375">
          <cell r="A375">
            <v>374</v>
          </cell>
          <cell r="B375" t="str">
            <v>Beldum</v>
          </cell>
          <cell r="C375" t="str">
            <v>Steel</v>
          </cell>
          <cell r="D375" t="str">
            <v>Psychic</v>
          </cell>
          <cell r="E375">
            <v>300</v>
          </cell>
          <cell r="F375">
            <v>40</v>
          </cell>
          <cell r="G375">
            <v>55</v>
          </cell>
          <cell r="H375">
            <v>80</v>
          </cell>
          <cell r="I375">
            <v>35</v>
          </cell>
          <cell r="J375">
            <v>60</v>
          </cell>
          <cell r="K375">
            <v>30</v>
          </cell>
          <cell r="L375">
            <v>3</v>
          </cell>
          <cell r="M375" t="b">
            <v>0</v>
          </cell>
        </row>
        <row r="376">
          <cell r="A376">
            <v>375</v>
          </cell>
          <cell r="B376" t="str">
            <v>Metang</v>
          </cell>
          <cell r="C376" t="str">
            <v>Steel</v>
          </cell>
          <cell r="D376" t="str">
            <v>Psychic</v>
          </cell>
          <cell r="E376">
            <v>420</v>
          </cell>
          <cell r="F376">
            <v>60</v>
          </cell>
          <cell r="G376">
            <v>75</v>
          </cell>
          <cell r="H376">
            <v>100</v>
          </cell>
          <cell r="I376">
            <v>55</v>
          </cell>
          <cell r="J376">
            <v>80</v>
          </cell>
          <cell r="K376">
            <v>50</v>
          </cell>
          <cell r="L376">
            <v>3</v>
          </cell>
          <cell r="M376" t="b">
            <v>0</v>
          </cell>
        </row>
        <row r="377">
          <cell r="A377">
            <v>376</v>
          </cell>
          <cell r="B377" t="str">
            <v>Metagross</v>
          </cell>
          <cell r="C377" t="str">
            <v>Steel</v>
          </cell>
          <cell r="D377" t="str">
            <v>Psychic</v>
          </cell>
          <cell r="E377">
            <v>600</v>
          </cell>
          <cell r="F377">
            <v>80</v>
          </cell>
          <cell r="G377">
            <v>135</v>
          </cell>
          <cell r="H377">
            <v>130</v>
          </cell>
          <cell r="I377">
            <v>95</v>
          </cell>
          <cell r="J377">
            <v>90</v>
          </cell>
          <cell r="K377">
            <v>70</v>
          </cell>
          <cell r="L377">
            <v>3</v>
          </cell>
          <cell r="M377" t="b">
            <v>0</v>
          </cell>
        </row>
        <row r="378">
          <cell r="A378">
            <v>377</v>
          </cell>
          <cell r="B378" t="str">
            <v>Regirock</v>
          </cell>
          <cell r="C378" t="str">
            <v>Rock</v>
          </cell>
          <cell r="E378">
            <v>580</v>
          </cell>
          <cell r="F378">
            <v>80</v>
          </cell>
          <cell r="G378">
            <v>100</v>
          </cell>
          <cell r="H378">
            <v>200</v>
          </cell>
          <cell r="I378">
            <v>50</v>
          </cell>
          <cell r="J378">
            <v>100</v>
          </cell>
          <cell r="K378">
            <v>50</v>
          </cell>
          <cell r="L378">
            <v>3</v>
          </cell>
          <cell r="M378" t="b">
            <v>1</v>
          </cell>
        </row>
        <row r="379">
          <cell r="A379">
            <v>378</v>
          </cell>
          <cell r="B379" t="str">
            <v>Regice</v>
          </cell>
          <cell r="C379" t="str">
            <v>Ice</v>
          </cell>
          <cell r="E379">
            <v>580</v>
          </cell>
          <cell r="F379">
            <v>80</v>
          </cell>
          <cell r="G379">
            <v>50</v>
          </cell>
          <cell r="H379">
            <v>100</v>
          </cell>
          <cell r="I379">
            <v>100</v>
          </cell>
          <cell r="J379">
            <v>200</v>
          </cell>
          <cell r="K379">
            <v>50</v>
          </cell>
          <cell r="L379">
            <v>3</v>
          </cell>
          <cell r="M379" t="b">
            <v>1</v>
          </cell>
        </row>
        <row r="380">
          <cell r="A380">
            <v>379</v>
          </cell>
          <cell r="B380" t="str">
            <v>Registeel</v>
          </cell>
          <cell r="C380" t="str">
            <v>Steel</v>
          </cell>
          <cell r="E380">
            <v>580</v>
          </cell>
          <cell r="F380">
            <v>80</v>
          </cell>
          <cell r="G380">
            <v>75</v>
          </cell>
          <cell r="H380">
            <v>150</v>
          </cell>
          <cell r="I380">
            <v>75</v>
          </cell>
          <cell r="J380">
            <v>150</v>
          </cell>
          <cell r="K380">
            <v>50</v>
          </cell>
          <cell r="L380">
            <v>3</v>
          </cell>
          <cell r="M380" t="b">
            <v>1</v>
          </cell>
        </row>
        <row r="381">
          <cell r="A381">
            <v>380</v>
          </cell>
          <cell r="B381" t="str">
            <v>Latias</v>
          </cell>
          <cell r="C381" t="str">
            <v>Dragon</v>
          </cell>
          <cell r="D381" t="str">
            <v>Psychic</v>
          </cell>
          <cell r="E381">
            <v>600</v>
          </cell>
          <cell r="F381">
            <v>80</v>
          </cell>
          <cell r="G381">
            <v>80</v>
          </cell>
          <cell r="H381">
            <v>90</v>
          </cell>
          <cell r="I381">
            <v>110</v>
          </cell>
          <cell r="J381">
            <v>130</v>
          </cell>
          <cell r="K381">
            <v>110</v>
          </cell>
          <cell r="L381">
            <v>3</v>
          </cell>
          <cell r="M381" t="b">
            <v>1</v>
          </cell>
        </row>
        <row r="382">
          <cell r="A382">
            <v>381</v>
          </cell>
          <cell r="B382" t="str">
            <v>Latios</v>
          </cell>
          <cell r="C382" t="str">
            <v>Dragon</v>
          </cell>
          <cell r="D382" t="str">
            <v>Psychic</v>
          </cell>
          <cell r="E382">
            <v>600</v>
          </cell>
          <cell r="F382">
            <v>80</v>
          </cell>
          <cell r="G382">
            <v>90</v>
          </cell>
          <cell r="H382">
            <v>80</v>
          </cell>
          <cell r="I382">
            <v>130</v>
          </cell>
          <cell r="J382">
            <v>110</v>
          </cell>
          <cell r="K382">
            <v>110</v>
          </cell>
          <cell r="L382">
            <v>3</v>
          </cell>
          <cell r="M382" t="b">
            <v>1</v>
          </cell>
        </row>
        <row r="383">
          <cell r="A383">
            <v>382</v>
          </cell>
          <cell r="B383" t="str">
            <v>Kyogre</v>
          </cell>
          <cell r="C383" t="str">
            <v>Water</v>
          </cell>
          <cell r="E383">
            <v>670</v>
          </cell>
          <cell r="F383">
            <v>100</v>
          </cell>
          <cell r="G383">
            <v>100</v>
          </cell>
          <cell r="H383">
            <v>90</v>
          </cell>
          <cell r="I383">
            <v>150</v>
          </cell>
          <cell r="J383">
            <v>140</v>
          </cell>
          <cell r="K383">
            <v>90</v>
          </cell>
          <cell r="L383">
            <v>3</v>
          </cell>
          <cell r="M383" t="b">
            <v>1</v>
          </cell>
        </row>
        <row r="384">
          <cell r="A384">
            <v>383</v>
          </cell>
          <cell r="B384" t="str">
            <v>Groudon</v>
          </cell>
          <cell r="C384" t="str">
            <v>Ground</v>
          </cell>
          <cell r="E384">
            <v>670</v>
          </cell>
          <cell r="F384">
            <v>100</v>
          </cell>
          <cell r="G384">
            <v>150</v>
          </cell>
          <cell r="H384">
            <v>140</v>
          </cell>
          <cell r="I384">
            <v>100</v>
          </cell>
          <cell r="J384">
            <v>90</v>
          </cell>
          <cell r="K384">
            <v>90</v>
          </cell>
          <cell r="L384">
            <v>3</v>
          </cell>
          <cell r="M384" t="b">
            <v>1</v>
          </cell>
        </row>
        <row r="385">
          <cell r="A385">
            <v>384</v>
          </cell>
          <cell r="B385" t="str">
            <v>Rayquaza</v>
          </cell>
          <cell r="C385" t="str">
            <v>Dragon</v>
          </cell>
          <cell r="D385" t="str">
            <v>Flying</v>
          </cell>
          <cell r="E385">
            <v>680</v>
          </cell>
          <cell r="F385">
            <v>105</v>
          </cell>
          <cell r="G385">
            <v>150</v>
          </cell>
          <cell r="H385">
            <v>90</v>
          </cell>
          <cell r="I385">
            <v>150</v>
          </cell>
          <cell r="J385">
            <v>90</v>
          </cell>
          <cell r="K385">
            <v>95</v>
          </cell>
          <cell r="L385">
            <v>3</v>
          </cell>
          <cell r="M385" t="b">
            <v>1</v>
          </cell>
        </row>
        <row r="386">
          <cell r="A386">
            <v>385</v>
          </cell>
          <cell r="B386" t="str">
            <v>Jirachi</v>
          </cell>
          <cell r="C386" t="str">
            <v>Steel</v>
          </cell>
          <cell r="D386" t="str">
            <v>Psychic</v>
          </cell>
          <cell r="E386">
            <v>600</v>
          </cell>
          <cell r="F386">
            <v>100</v>
          </cell>
          <cell r="G386">
            <v>100</v>
          </cell>
          <cell r="H386">
            <v>100</v>
          </cell>
          <cell r="I386">
            <v>100</v>
          </cell>
          <cell r="J386">
            <v>100</v>
          </cell>
          <cell r="K386">
            <v>100</v>
          </cell>
          <cell r="L386">
            <v>3</v>
          </cell>
          <cell r="M386" t="b">
            <v>1</v>
          </cell>
        </row>
        <row r="387">
          <cell r="A387">
            <v>386</v>
          </cell>
          <cell r="B387" t="str">
            <v>Deoxys</v>
          </cell>
          <cell r="C387" t="str">
            <v>Psychic</v>
          </cell>
          <cell r="E387">
            <v>600</v>
          </cell>
          <cell r="F387">
            <v>50</v>
          </cell>
          <cell r="G387">
            <v>150</v>
          </cell>
          <cell r="H387">
            <v>50</v>
          </cell>
          <cell r="I387">
            <v>150</v>
          </cell>
          <cell r="J387">
            <v>50</v>
          </cell>
          <cell r="K387">
            <v>150</v>
          </cell>
          <cell r="L387">
            <v>3</v>
          </cell>
          <cell r="M387" t="b">
            <v>1</v>
          </cell>
        </row>
        <row r="388">
          <cell r="A388">
            <v>387</v>
          </cell>
          <cell r="B388" t="str">
            <v>Turtwig</v>
          </cell>
          <cell r="C388" t="str">
            <v>Grass</v>
          </cell>
          <cell r="E388">
            <v>318</v>
          </cell>
          <cell r="F388">
            <v>55</v>
          </cell>
          <cell r="G388">
            <v>68</v>
          </cell>
          <cell r="H388">
            <v>64</v>
          </cell>
          <cell r="I388">
            <v>45</v>
          </cell>
          <cell r="J388">
            <v>55</v>
          </cell>
          <cell r="K388">
            <v>31</v>
          </cell>
          <cell r="L388">
            <v>4</v>
          </cell>
          <cell r="M388" t="b">
            <v>0</v>
          </cell>
        </row>
        <row r="389">
          <cell r="A389">
            <v>388</v>
          </cell>
          <cell r="B389" t="str">
            <v>Grotle</v>
          </cell>
          <cell r="C389" t="str">
            <v>Grass</v>
          </cell>
          <cell r="E389">
            <v>405</v>
          </cell>
          <cell r="F389">
            <v>75</v>
          </cell>
          <cell r="G389">
            <v>89</v>
          </cell>
          <cell r="H389">
            <v>85</v>
          </cell>
          <cell r="I389">
            <v>55</v>
          </cell>
          <cell r="J389">
            <v>65</v>
          </cell>
          <cell r="K389">
            <v>36</v>
          </cell>
          <cell r="L389">
            <v>4</v>
          </cell>
          <cell r="M389" t="b">
            <v>0</v>
          </cell>
        </row>
        <row r="390">
          <cell r="A390">
            <v>389</v>
          </cell>
          <cell r="B390" t="str">
            <v>Torterra</v>
          </cell>
          <cell r="C390" t="str">
            <v>Grass</v>
          </cell>
          <cell r="D390" t="str">
            <v>Ground</v>
          </cell>
          <cell r="E390">
            <v>525</v>
          </cell>
          <cell r="F390">
            <v>95</v>
          </cell>
          <cell r="G390">
            <v>109</v>
          </cell>
          <cell r="H390">
            <v>105</v>
          </cell>
          <cell r="I390">
            <v>75</v>
          </cell>
          <cell r="J390">
            <v>85</v>
          </cell>
          <cell r="K390">
            <v>56</v>
          </cell>
          <cell r="L390">
            <v>4</v>
          </cell>
          <cell r="M390" t="b">
            <v>0</v>
          </cell>
        </row>
        <row r="391">
          <cell r="A391">
            <v>390</v>
          </cell>
          <cell r="B391" t="str">
            <v>Chimchar</v>
          </cell>
          <cell r="C391" t="str">
            <v>Fire</v>
          </cell>
          <cell r="E391">
            <v>309</v>
          </cell>
          <cell r="F391">
            <v>44</v>
          </cell>
          <cell r="G391">
            <v>58</v>
          </cell>
          <cell r="H391">
            <v>44</v>
          </cell>
          <cell r="I391">
            <v>58</v>
          </cell>
          <cell r="J391">
            <v>44</v>
          </cell>
          <cell r="K391">
            <v>61</v>
          </cell>
          <cell r="L391">
            <v>4</v>
          </cell>
          <cell r="M391" t="b">
            <v>0</v>
          </cell>
        </row>
        <row r="392">
          <cell r="A392">
            <v>391</v>
          </cell>
          <cell r="B392" t="str">
            <v>Monferno</v>
          </cell>
          <cell r="C392" t="str">
            <v>Fire</v>
          </cell>
          <cell r="D392" t="str">
            <v>Fighting</v>
          </cell>
          <cell r="E392">
            <v>405</v>
          </cell>
          <cell r="F392">
            <v>64</v>
          </cell>
          <cell r="G392">
            <v>78</v>
          </cell>
          <cell r="H392">
            <v>52</v>
          </cell>
          <cell r="I392">
            <v>78</v>
          </cell>
          <cell r="J392">
            <v>52</v>
          </cell>
          <cell r="K392">
            <v>81</v>
          </cell>
          <cell r="L392">
            <v>4</v>
          </cell>
          <cell r="M392" t="b">
            <v>0</v>
          </cell>
        </row>
        <row r="393">
          <cell r="A393">
            <v>392</v>
          </cell>
          <cell r="B393" t="str">
            <v>Infernape</v>
          </cell>
          <cell r="C393" t="str">
            <v>Fire</v>
          </cell>
          <cell r="D393" t="str">
            <v>Fighting</v>
          </cell>
          <cell r="E393">
            <v>534</v>
          </cell>
          <cell r="F393">
            <v>76</v>
          </cell>
          <cell r="G393">
            <v>104</v>
          </cell>
          <cell r="H393">
            <v>71</v>
          </cell>
          <cell r="I393">
            <v>104</v>
          </cell>
          <cell r="J393">
            <v>71</v>
          </cell>
          <cell r="K393">
            <v>108</v>
          </cell>
          <cell r="L393">
            <v>4</v>
          </cell>
          <cell r="M393" t="b">
            <v>0</v>
          </cell>
        </row>
        <row r="394">
          <cell r="A394">
            <v>393</v>
          </cell>
          <cell r="B394" t="str">
            <v>Piplup</v>
          </cell>
          <cell r="C394" t="str">
            <v>Water</v>
          </cell>
          <cell r="E394">
            <v>314</v>
          </cell>
          <cell r="F394">
            <v>53</v>
          </cell>
          <cell r="G394">
            <v>51</v>
          </cell>
          <cell r="H394">
            <v>53</v>
          </cell>
          <cell r="I394">
            <v>61</v>
          </cell>
          <cell r="J394">
            <v>56</v>
          </cell>
          <cell r="K394">
            <v>40</v>
          </cell>
          <cell r="L394">
            <v>4</v>
          </cell>
          <cell r="M394" t="b">
            <v>0</v>
          </cell>
        </row>
        <row r="395">
          <cell r="A395">
            <v>394</v>
          </cell>
          <cell r="B395" t="str">
            <v>Prinplup</v>
          </cell>
          <cell r="C395" t="str">
            <v>Water</v>
          </cell>
          <cell r="E395">
            <v>405</v>
          </cell>
          <cell r="F395">
            <v>64</v>
          </cell>
          <cell r="G395">
            <v>66</v>
          </cell>
          <cell r="H395">
            <v>68</v>
          </cell>
          <cell r="I395">
            <v>81</v>
          </cell>
          <cell r="J395">
            <v>76</v>
          </cell>
          <cell r="K395">
            <v>50</v>
          </cell>
          <cell r="L395">
            <v>4</v>
          </cell>
          <cell r="M395" t="b">
            <v>0</v>
          </cell>
        </row>
        <row r="396">
          <cell r="A396">
            <v>395</v>
          </cell>
          <cell r="B396" t="str">
            <v>Empoleon</v>
          </cell>
          <cell r="C396" t="str">
            <v>Water</v>
          </cell>
          <cell r="D396" t="str">
            <v>Steel</v>
          </cell>
          <cell r="E396">
            <v>530</v>
          </cell>
          <cell r="F396">
            <v>84</v>
          </cell>
          <cell r="G396">
            <v>86</v>
          </cell>
          <cell r="H396">
            <v>88</v>
          </cell>
          <cell r="I396">
            <v>111</v>
          </cell>
          <cell r="J396">
            <v>101</v>
          </cell>
          <cell r="K396">
            <v>60</v>
          </cell>
          <cell r="L396">
            <v>4</v>
          </cell>
          <cell r="M396" t="b">
            <v>0</v>
          </cell>
        </row>
        <row r="397">
          <cell r="A397">
            <v>396</v>
          </cell>
          <cell r="B397" t="str">
            <v>Starly</v>
          </cell>
          <cell r="C397" t="str">
            <v>Normal</v>
          </cell>
          <cell r="D397" t="str">
            <v>Flying</v>
          </cell>
          <cell r="E397">
            <v>245</v>
          </cell>
          <cell r="F397">
            <v>40</v>
          </cell>
          <cell r="G397">
            <v>55</v>
          </cell>
          <cell r="H397">
            <v>30</v>
          </cell>
          <cell r="I397">
            <v>30</v>
          </cell>
          <cell r="J397">
            <v>30</v>
          </cell>
          <cell r="K397">
            <v>60</v>
          </cell>
          <cell r="L397">
            <v>4</v>
          </cell>
          <cell r="M397" t="b">
            <v>0</v>
          </cell>
        </row>
        <row r="398">
          <cell r="A398">
            <v>397</v>
          </cell>
          <cell r="B398" t="str">
            <v>Staravia</v>
          </cell>
          <cell r="C398" t="str">
            <v>Normal</v>
          </cell>
          <cell r="D398" t="str">
            <v>Flying</v>
          </cell>
          <cell r="E398">
            <v>340</v>
          </cell>
          <cell r="F398">
            <v>55</v>
          </cell>
          <cell r="G398">
            <v>75</v>
          </cell>
          <cell r="H398">
            <v>50</v>
          </cell>
          <cell r="I398">
            <v>40</v>
          </cell>
          <cell r="J398">
            <v>40</v>
          </cell>
          <cell r="K398">
            <v>80</v>
          </cell>
          <cell r="L398">
            <v>4</v>
          </cell>
          <cell r="M398" t="b">
            <v>0</v>
          </cell>
        </row>
        <row r="399">
          <cell r="A399">
            <v>398</v>
          </cell>
          <cell r="B399" t="str">
            <v>Staraptor</v>
          </cell>
          <cell r="C399" t="str">
            <v>Normal</v>
          </cell>
          <cell r="D399" t="str">
            <v>Flying</v>
          </cell>
          <cell r="E399">
            <v>485</v>
          </cell>
          <cell r="F399">
            <v>85</v>
          </cell>
          <cell r="G399">
            <v>120</v>
          </cell>
          <cell r="H399">
            <v>70</v>
          </cell>
          <cell r="I399">
            <v>50</v>
          </cell>
          <cell r="J399">
            <v>60</v>
          </cell>
          <cell r="K399">
            <v>100</v>
          </cell>
          <cell r="L399">
            <v>4</v>
          </cell>
          <cell r="M399" t="b">
            <v>0</v>
          </cell>
        </row>
        <row r="400">
          <cell r="A400">
            <v>399</v>
          </cell>
          <cell r="B400" t="str">
            <v>Bidoof</v>
          </cell>
          <cell r="C400" t="str">
            <v>Normal</v>
          </cell>
          <cell r="E400">
            <v>250</v>
          </cell>
          <cell r="F400">
            <v>59</v>
          </cell>
          <cell r="G400">
            <v>45</v>
          </cell>
          <cell r="H400">
            <v>40</v>
          </cell>
          <cell r="I400">
            <v>35</v>
          </cell>
          <cell r="J400">
            <v>40</v>
          </cell>
          <cell r="K400">
            <v>31</v>
          </cell>
          <cell r="L400">
            <v>4</v>
          </cell>
          <cell r="M400" t="b">
            <v>0</v>
          </cell>
        </row>
        <row r="401">
          <cell r="A401">
            <v>400</v>
          </cell>
          <cell r="B401" t="str">
            <v>Bibarel</v>
          </cell>
          <cell r="C401" t="str">
            <v>Normal</v>
          </cell>
          <cell r="D401" t="str">
            <v>Water</v>
          </cell>
          <cell r="E401">
            <v>410</v>
          </cell>
          <cell r="F401">
            <v>79</v>
          </cell>
          <cell r="G401">
            <v>85</v>
          </cell>
          <cell r="H401">
            <v>60</v>
          </cell>
          <cell r="I401">
            <v>55</v>
          </cell>
          <cell r="J401">
            <v>60</v>
          </cell>
          <cell r="K401">
            <v>71</v>
          </cell>
          <cell r="L401">
            <v>4</v>
          </cell>
          <cell r="M401" t="b">
            <v>0</v>
          </cell>
        </row>
        <row r="402">
          <cell r="A402">
            <v>401</v>
          </cell>
          <cell r="B402" t="str">
            <v>Kricketot</v>
          </cell>
          <cell r="C402" t="str">
            <v>Bug</v>
          </cell>
          <cell r="E402">
            <v>194</v>
          </cell>
          <cell r="F402">
            <v>37</v>
          </cell>
          <cell r="G402">
            <v>25</v>
          </cell>
          <cell r="H402">
            <v>41</v>
          </cell>
          <cell r="I402">
            <v>25</v>
          </cell>
          <cell r="J402">
            <v>41</v>
          </cell>
          <cell r="K402">
            <v>25</v>
          </cell>
          <cell r="L402">
            <v>4</v>
          </cell>
          <cell r="M402" t="b">
            <v>0</v>
          </cell>
        </row>
        <row r="403">
          <cell r="A403">
            <v>402</v>
          </cell>
          <cell r="B403" t="str">
            <v>Kricketune</v>
          </cell>
          <cell r="C403" t="str">
            <v>Bug</v>
          </cell>
          <cell r="E403">
            <v>384</v>
          </cell>
          <cell r="F403">
            <v>77</v>
          </cell>
          <cell r="G403">
            <v>85</v>
          </cell>
          <cell r="H403">
            <v>51</v>
          </cell>
          <cell r="I403">
            <v>55</v>
          </cell>
          <cell r="J403">
            <v>51</v>
          </cell>
          <cell r="K403">
            <v>65</v>
          </cell>
          <cell r="L403">
            <v>4</v>
          </cell>
          <cell r="M403" t="b">
            <v>0</v>
          </cell>
        </row>
        <row r="404">
          <cell r="A404">
            <v>403</v>
          </cell>
          <cell r="B404" t="str">
            <v>Shinx</v>
          </cell>
          <cell r="C404" t="str">
            <v>Electric</v>
          </cell>
          <cell r="E404">
            <v>263</v>
          </cell>
          <cell r="F404">
            <v>45</v>
          </cell>
          <cell r="G404">
            <v>65</v>
          </cell>
          <cell r="H404">
            <v>34</v>
          </cell>
          <cell r="I404">
            <v>40</v>
          </cell>
          <cell r="J404">
            <v>34</v>
          </cell>
          <cell r="K404">
            <v>45</v>
          </cell>
          <cell r="L404">
            <v>4</v>
          </cell>
          <cell r="M404" t="b">
            <v>0</v>
          </cell>
        </row>
        <row r="405">
          <cell r="A405">
            <v>404</v>
          </cell>
          <cell r="B405" t="str">
            <v>Luxio</v>
          </cell>
          <cell r="C405" t="str">
            <v>Electric</v>
          </cell>
          <cell r="E405">
            <v>363</v>
          </cell>
          <cell r="F405">
            <v>60</v>
          </cell>
          <cell r="G405">
            <v>85</v>
          </cell>
          <cell r="H405">
            <v>49</v>
          </cell>
          <cell r="I405">
            <v>60</v>
          </cell>
          <cell r="J405">
            <v>49</v>
          </cell>
          <cell r="K405">
            <v>60</v>
          </cell>
          <cell r="L405">
            <v>4</v>
          </cell>
          <cell r="M405" t="b">
            <v>0</v>
          </cell>
        </row>
        <row r="406">
          <cell r="A406">
            <v>405</v>
          </cell>
          <cell r="B406" t="str">
            <v>Luxray</v>
          </cell>
          <cell r="C406" t="str">
            <v>Electric</v>
          </cell>
          <cell r="E406">
            <v>523</v>
          </cell>
          <cell r="F406">
            <v>80</v>
          </cell>
          <cell r="G406">
            <v>120</v>
          </cell>
          <cell r="H406">
            <v>79</v>
          </cell>
          <cell r="I406">
            <v>95</v>
          </cell>
          <cell r="J406">
            <v>79</v>
          </cell>
          <cell r="K406">
            <v>70</v>
          </cell>
          <cell r="L406">
            <v>4</v>
          </cell>
          <cell r="M406" t="b">
            <v>0</v>
          </cell>
        </row>
        <row r="407">
          <cell r="A407">
            <v>406</v>
          </cell>
          <cell r="B407" t="str">
            <v>Budew</v>
          </cell>
          <cell r="C407" t="str">
            <v>Grass</v>
          </cell>
          <cell r="D407" t="str">
            <v>Poison</v>
          </cell>
          <cell r="E407">
            <v>280</v>
          </cell>
          <cell r="F407">
            <v>40</v>
          </cell>
          <cell r="G407">
            <v>30</v>
          </cell>
          <cell r="H407">
            <v>35</v>
          </cell>
          <cell r="I407">
            <v>50</v>
          </cell>
          <cell r="J407">
            <v>70</v>
          </cell>
          <cell r="K407">
            <v>55</v>
          </cell>
          <cell r="L407">
            <v>4</v>
          </cell>
          <cell r="M407" t="b">
            <v>0</v>
          </cell>
        </row>
        <row r="408">
          <cell r="A408">
            <v>407</v>
          </cell>
          <cell r="B408" t="str">
            <v>Roserade</v>
          </cell>
          <cell r="C408" t="str">
            <v>Grass</v>
          </cell>
          <cell r="D408" t="str">
            <v>Poison</v>
          </cell>
          <cell r="E408">
            <v>515</v>
          </cell>
          <cell r="F408">
            <v>60</v>
          </cell>
          <cell r="G408">
            <v>70</v>
          </cell>
          <cell r="H408">
            <v>65</v>
          </cell>
          <cell r="I408">
            <v>125</v>
          </cell>
          <cell r="J408">
            <v>105</v>
          </cell>
          <cell r="K408">
            <v>90</v>
          </cell>
          <cell r="L408">
            <v>4</v>
          </cell>
          <cell r="M408" t="b">
            <v>0</v>
          </cell>
        </row>
        <row r="409">
          <cell r="A409">
            <v>408</v>
          </cell>
          <cell r="B409" t="str">
            <v>Cranidos</v>
          </cell>
          <cell r="C409" t="str">
            <v>Rock</v>
          </cell>
          <cell r="E409">
            <v>350</v>
          </cell>
          <cell r="F409">
            <v>67</v>
          </cell>
          <cell r="G409">
            <v>125</v>
          </cell>
          <cell r="H409">
            <v>40</v>
          </cell>
          <cell r="I409">
            <v>30</v>
          </cell>
          <cell r="J409">
            <v>30</v>
          </cell>
          <cell r="K409">
            <v>58</v>
          </cell>
          <cell r="L409">
            <v>4</v>
          </cell>
          <cell r="M409" t="b">
            <v>0</v>
          </cell>
        </row>
        <row r="410">
          <cell r="A410">
            <v>409</v>
          </cell>
          <cell r="B410" t="str">
            <v>Rampardos</v>
          </cell>
          <cell r="C410" t="str">
            <v>Rock</v>
          </cell>
          <cell r="E410">
            <v>495</v>
          </cell>
          <cell r="F410">
            <v>97</v>
          </cell>
          <cell r="G410">
            <v>165</v>
          </cell>
          <cell r="H410">
            <v>60</v>
          </cell>
          <cell r="I410">
            <v>65</v>
          </cell>
          <cell r="J410">
            <v>50</v>
          </cell>
          <cell r="K410">
            <v>58</v>
          </cell>
          <cell r="L410">
            <v>4</v>
          </cell>
          <cell r="M410" t="b">
            <v>0</v>
          </cell>
        </row>
        <row r="411">
          <cell r="A411">
            <v>410</v>
          </cell>
          <cell r="B411" t="str">
            <v>Shieldon</v>
          </cell>
          <cell r="C411" t="str">
            <v>Rock</v>
          </cell>
          <cell r="D411" t="str">
            <v>Steel</v>
          </cell>
          <cell r="E411">
            <v>350</v>
          </cell>
          <cell r="F411">
            <v>30</v>
          </cell>
          <cell r="G411">
            <v>42</v>
          </cell>
          <cell r="H411">
            <v>118</v>
          </cell>
          <cell r="I411">
            <v>42</v>
          </cell>
          <cell r="J411">
            <v>88</v>
          </cell>
          <cell r="K411">
            <v>30</v>
          </cell>
          <cell r="L411">
            <v>4</v>
          </cell>
          <cell r="M411" t="b">
            <v>0</v>
          </cell>
        </row>
        <row r="412">
          <cell r="A412">
            <v>411</v>
          </cell>
          <cell r="B412" t="str">
            <v>Bastiodon</v>
          </cell>
          <cell r="C412" t="str">
            <v>Rock</v>
          </cell>
          <cell r="D412" t="str">
            <v>Steel</v>
          </cell>
          <cell r="E412">
            <v>495</v>
          </cell>
          <cell r="F412">
            <v>60</v>
          </cell>
          <cell r="G412">
            <v>52</v>
          </cell>
          <cell r="H412">
            <v>168</v>
          </cell>
          <cell r="I412">
            <v>47</v>
          </cell>
          <cell r="J412">
            <v>138</v>
          </cell>
          <cell r="K412">
            <v>30</v>
          </cell>
          <cell r="L412">
            <v>4</v>
          </cell>
          <cell r="M412" t="b">
            <v>0</v>
          </cell>
        </row>
        <row r="413">
          <cell r="A413">
            <v>412</v>
          </cell>
          <cell r="B413" t="str">
            <v>Burmy</v>
          </cell>
          <cell r="C413" t="str">
            <v>Bug</v>
          </cell>
          <cell r="E413">
            <v>224</v>
          </cell>
          <cell r="F413">
            <v>40</v>
          </cell>
          <cell r="G413">
            <v>29</v>
          </cell>
          <cell r="H413">
            <v>45</v>
          </cell>
          <cell r="I413">
            <v>29</v>
          </cell>
          <cell r="J413">
            <v>45</v>
          </cell>
          <cell r="K413">
            <v>36</v>
          </cell>
          <cell r="L413">
            <v>4</v>
          </cell>
          <cell r="M413" t="b">
            <v>0</v>
          </cell>
        </row>
        <row r="414">
          <cell r="A414">
            <v>413</v>
          </cell>
          <cell r="B414" t="str">
            <v>Wormadam</v>
          </cell>
          <cell r="C414" t="str">
            <v>Bug</v>
          </cell>
          <cell r="D414" t="str">
            <v>Grass</v>
          </cell>
          <cell r="E414">
            <v>424</v>
          </cell>
          <cell r="F414">
            <v>60</v>
          </cell>
          <cell r="G414">
            <v>59</v>
          </cell>
          <cell r="H414">
            <v>85</v>
          </cell>
          <cell r="I414">
            <v>79</v>
          </cell>
          <cell r="J414">
            <v>105</v>
          </cell>
          <cell r="K414">
            <v>36</v>
          </cell>
          <cell r="L414">
            <v>4</v>
          </cell>
          <cell r="M414" t="b">
            <v>0</v>
          </cell>
        </row>
        <row r="415">
          <cell r="A415">
            <v>414</v>
          </cell>
          <cell r="B415" t="str">
            <v>Mothim</v>
          </cell>
          <cell r="C415" t="str">
            <v>Bug</v>
          </cell>
          <cell r="D415" t="str">
            <v>Flying</v>
          </cell>
          <cell r="E415">
            <v>424</v>
          </cell>
          <cell r="F415">
            <v>70</v>
          </cell>
          <cell r="G415">
            <v>94</v>
          </cell>
          <cell r="H415">
            <v>50</v>
          </cell>
          <cell r="I415">
            <v>94</v>
          </cell>
          <cell r="J415">
            <v>50</v>
          </cell>
          <cell r="K415">
            <v>66</v>
          </cell>
          <cell r="L415">
            <v>4</v>
          </cell>
          <cell r="M415" t="b">
            <v>0</v>
          </cell>
        </row>
        <row r="416">
          <cell r="A416">
            <v>415</v>
          </cell>
          <cell r="B416" t="str">
            <v>Combee</v>
          </cell>
          <cell r="C416" t="str">
            <v>Bug</v>
          </cell>
          <cell r="D416" t="str">
            <v>Flying</v>
          </cell>
          <cell r="E416">
            <v>244</v>
          </cell>
          <cell r="F416">
            <v>30</v>
          </cell>
          <cell r="G416">
            <v>30</v>
          </cell>
          <cell r="H416">
            <v>42</v>
          </cell>
          <cell r="I416">
            <v>30</v>
          </cell>
          <cell r="J416">
            <v>42</v>
          </cell>
          <cell r="K416">
            <v>70</v>
          </cell>
          <cell r="L416">
            <v>4</v>
          </cell>
          <cell r="M416" t="b">
            <v>0</v>
          </cell>
        </row>
        <row r="417">
          <cell r="A417">
            <v>416</v>
          </cell>
          <cell r="B417" t="str">
            <v>Vespiquen</v>
          </cell>
          <cell r="C417" t="str">
            <v>Bug</v>
          </cell>
          <cell r="D417" t="str">
            <v>Flying</v>
          </cell>
          <cell r="E417">
            <v>474</v>
          </cell>
          <cell r="F417">
            <v>70</v>
          </cell>
          <cell r="G417">
            <v>80</v>
          </cell>
          <cell r="H417">
            <v>102</v>
          </cell>
          <cell r="I417">
            <v>80</v>
          </cell>
          <cell r="J417">
            <v>102</v>
          </cell>
          <cell r="K417">
            <v>40</v>
          </cell>
          <cell r="L417">
            <v>4</v>
          </cell>
          <cell r="M417" t="b">
            <v>0</v>
          </cell>
        </row>
        <row r="418">
          <cell r="A418">
            <v>417</v>
          </cell>
          <cell r="B418" t="str">
            <v>Pachirisu</v>
          </cell>
          <cell r="C418" t="str">
            <v>Electric</v>
          </cell>
          <cell r="E418">
            <v>405</v>
          </cell>
          <cell r="F418">
            <v>60</v>
          </cell>
          <cell r="G418">
            <v>45</v>
          </cell>
          <cell r="H418">
            <v>70</v>
          </cell>
          <cell r="I418">
            <v>45</v>
          </cell>
          <cell r="J418">
            <v>90</v>
          </cell>
          <cell r="K418">
            <v>95</v>
          </cell>
          <cell r="L418">
            <v>4</v>
          </cell>
          <cell r="M418" t="b">
            <v>0</v>
          </cell>
        </row>
        <row r="419">
          <cell r="A419">
            <v>418</v>
          </cell>
          <cell r="B419" t="str">
            <v>Buizel</v>
          </cell>
          <cell r="C419" t="str">
            <v>Water</v>
          </cell>
          <cell r="E419">
            <v>330</v>
          </cell>
          <cell r="F419">
            <v>55</v>
          </cell>
          <cell r="G419">
            <v>65</v>
          </cell>
          <cell r="H419">
            <v>35</v>
          </cell>
          <cell r="I419">
            <v>60</v>
          </cell>
          <cell r="J419">
            <v>30</v>
          </cell>
          <cell r="K419">
            <v>85</v>
          </cell>
          <cell r="L419">
            <v>4</v>
          </cell>
          <cell r="M419" t="b">
            <v>0</v>
          </cell>
        </row>
        <row r="420">
          <cell r="A420">
            <v>419</v>
          </cell>
          <cell r="B420" t="str">
            <v>Floatzel</v>
          </cell>
          <cell r="C420" t="str">
            <v>Water</v>
          </cell>
          <cell r="E420">
            <v>495</v>
          </cell>
          <cell r="F420">
            <v>85</v>
          </cell>
          <cell r="G420">
            <v>105</v>
          </cell>
          <cell r="H420">
            <v>55</v>
          </cell>
          <cell r="I420">
            <v>85</v>
          </cell>
          <cell r="J420">
            <v>50</v>
          </cell>
          <cell r="K420">
            <v>115</v>
          </cell>
          <cell r="L420">
            <v>4</v>
          </cell>
          <cell r="M420" t="b">
            <v>0</v>
          </cell>
        </row>
        <row r="421">
          <cell r="A421">
            <v>420</v>
          </cell>
          <cell r="B421" t="str">
            <v>Cherubi</v>
          </cell>
          <cell r="C421" t="str">
            <v>Grass</v>
          </cell>
          <cell r="E421">
            <v>275</v>
          </cell>
          <cell r="F421">
            <v>45</v>
          </cell>
          <cell r="G421">
            <v>35</v>
          </cell>
          <cell r="H421">
            <v>45</v>
          </cell>
          <cell r="I421">
            <v>62</v>
          </cell>
          <cell r="J421">
            <v>53</v>
          </cell>
          <cell r="K421">
            <v>35</v>
          </cell>
          <cell r="L421">
            <v>4</v>
          </cell>
          <cell r="M421" t="b">
            <v>0</v>
          </cell>
        </row>
        <row r="422">
          <cell r="A422">
            <v>421</v>
          </cell>
          <cell r="B422" t="str">
            <v>Cherrim</v>
          </cell>
          <cell r="C422" t="str">
            <v>Grass</v>
          </cell>
          <cell r="E422">
            <v>450</v>
          </cell>
          <cell r="F422">
            <v>70</v>
          </cell>
          <cell r="G422">
            <v>60</v>
          </cell>
          <cell r="H422">
            <v>70</v>
          </cell>
          <cell r="I422">
            <v>87</v>
          </cell>
          <cell r="J422">
            <v>78</v>
          </cell>
          <cell r="K422">
            <v>85</v>
          </cell>
          <cell r="L422">
            <v>4</v>
          </cell>
          <cell r="M422" t="b">
            <v>0</v>
          </cell>
        </row>
        <row r="423">
          <cell r="A423">
            <v>422</v>
          </cell>
          <cell r="B423" t="str">
            <v>Shellos</v>
          </cell>
          <cell r="C423" t="str">
            <v>Water</v>
          </cell>
          <cell r="E423">
            <v>325</v>
          </cell>
          <cell r="F423">
            <v>76</v>
          </cell>
          <cell r="G423">
            <v>48</v>
          </cell>
          <cell r="H423">
            <v>48</v>
          </cell>
          <cell r="I423">
            <v>57</v>
          </cell>
          <cell r="J423">
            <v>62</v>
          </cell>
          <cell r="K423">
            <v>34</v>
          </cell>
          <cell r="L423">
            <v>4</v>
          </cell>
          <cell r="M423" t="b">
            <v>0</v>
          </cell>
        </row>
        <row r="424">
          <cell r="A424">
            <v>423</v>
          </cell>
          <cell r="B424" t="str">
            <v>Gastrodon</v>
          </cell>
          <cell r="C424" t="str">
            <v>Water</v>
          </cell>
          <cell r="D424" t="str">
            <v>Ground</v>
          </cell>
          <cell r="E424">
            <v>475</v>
          </cell>
          <cell r="F424">
            <v>111</v>
          </cell>
          <cell r="G424">
            <v>83</v>
          </cell>
          <cell r="H424">
            <v>68</v>
          </cell>
          <cell r="I424">
            <v>92</v>
          </cell>
          <cell r="J424">
            <v>82</v>
          </cell>
          <cell r="K424">
            <v>39</v>
          </cell>
          <cell r="L424">
            <v>4</v>
          </cell>
          <cell r="M424" t="b">
            <v>0</v>
          </cell>
        </row>
        <row r="425">
          <cell r="A425">
            <v>424</v>
          </cell>
          <cell r="B425" t="str">
            <v>Ambipom</v>
          </cell>
          <cell r="C425" t="str">
            <v>Normal</v>
          </cell>
          <cell r="E425">
            <v>482</v>
          </cell>
          <cell r="F425">
            <v>75</v>
          </cell>
          <cell r="G425">
            <v>100</v>
          </cell>
          <cell r="H425">
            <v>66</v>
          </cell>
          <cell r="I425">
            <v>60</v>
          </cell>
          <cell r="J425">
            <v>66</v>
          </cell>
          <cell r="K425">
            <v>115</v>
          </cell>
          <cell r="L425">
            <v>4</v>
          </cell>
          <cell r="M425" t="b">
            <v>0</v>
          </cell>
        </row>
        <row r="426">
          <cell r="A426">
            <v>425</v>
          </cell>
          <cell r="B426" t="str">
            <v>Drifloon</v>
          </cell>
          <cell r="C426" t="str">
            <v>Ghost</v>
          </cell>
          <cell r="D426" t="str">
            <v>Flying</v>
          </cell>
          <cell r="E426">
            <v>348</v>
          </cell>
          <cell r="F426">
            <v>90</v>
          </cell>
          <cell r="G426">
            <v>50</v>
          </cell>
          <cell r="H426">
            <v>34</v>
          </cell>
          <cell r="I426">
            <v>60</v>
          </cell>
          <cell r="J426">
            <v>44</v>
          </cell>
          <cell r="K426">
            <v>70</v>
          </cell>
          <cell r="L426">
            <v>4</v>
          </cell>
          <cell r="M426" t="b">
            <v>0</v>
          </cell>
        </row>
        <row r="427">
          <cell r="A427">
            <v>426</v>
          </cell>
          <cell r="B427" t="str">
            <v>Drifblim</v>
          </cell>
          <cell r="C427" t="str">
            <v>Ghost</v>
          </cell>
          <cell r="D427" t="str">
            <v>Flying</v>
          </cell>
          <cell r="E427">
            <v>498</v>
          </cell>
          <cell r="F427">
            <v>150</v>
          </cell>
          <cell r="G427">
            <v>80</v>
          </cell>
          <cell r="H427">
            <v>44</v>
          </cell>
          <cell r="I427">
            <v>90</v>
          </cell>
          <cell r="J427">
            <v>54</v>
          </cell>
          <cell r="K427">
            <v>80</v>
          </cell>
          <cell r="L427">
            <v>4</v>
          </cell>
          <cell r="M427" t="b">
            <v>0</v>
          </cell>
        </row>
        <row r="428">
          <cell r="A428">
            <v>427</v>
          </cell>
          <cell r="B428" t="str">
            <v>Buneary</v>
          </cell>
          <cell r="C428" t="str">
            <v>Normal</v>
          </cell>
          <cell r="E428">
            <v>350</v>
          </cell>
          <cell r="F428">
            <v>55</v>
          </cell>
          <cell r="G428">
            <v>66</v>
          </cell>
          <cell r="H428">
            <v>44</v>
          </cell>
          <cell r="I428">
            <v>44</v>
          </cell>
          <cell r="J428">
            <v>56</v>
          </cell>
          <cell r="K428">
            <v>85</v>
          </cell>
          <cell r="L428">
            <v>4</v>
          </cell>
          <cell r="M428" t="b">
            <v>0</v>
          </cell>
        </row>
        <row r="429">
          <cell r="A429">
            <v>428</v>
          </cell>
          <cell r="B429" t="str">
            <v>Lopunny</v>
          </cell>
          <cell r="C429" t="str">
            <v>Normal</v>
          </cell>
          <cell r="E429">
            <v>480</v>
          </cell>
          <cell r="F429">
            <v>65</v>
          </cell>
          <cell r="G429">
            <v>76</v>
          </cell>
          <cell r="H429">
            <v>84</v>
          </cell>
          <cell r="I429">
            <v>54</v>
          </cell>
          <cell r="J429">
            <v>96</v>
          </cell>
          <cell r="K429">
            <v>105</v>
          </cell>
          <cell r="L429">
            <v>4</v>
          </cell>
          <cell r="M429" t="b">
            <v>0</v>
          </cell>
        </row>
        <row r="430">
          <cell r="A430">
            <v>429</v>
          </cell>
          <cell r="B430" t="str">
            <v>Mismagius</v>
          </cell>
          <cell r="C430" t="str">
            <v>Ghost</v>
          </cell>
          <cell r="E430">
            <v>495</v>
          </cell>
          <cell r="F430">
            <v>60</v>
          </cell>
          <cell r="G430">
            <v>60</v>
          </cell>
          <cell r="H430">
            <v>60</v>
          </cell>
          <cell r="I430">
            <v>105</v>
          </cell>
          <cell r="J430">
            <v>105</v>
          </cell>
          <cell r="K430">
            <v>105</v>
          </cell>
          <cell r="L430">
            <v>4</v>
          </cell>
          <cell r="M430" t="b">
            <v>0</v>
          </cell>
        </row>
        <row r="431">
          <cell r="A431">
            <v>430</v>
          </cell>
          <cell r="B431" t="str">
            <v>Honchkrow</v>
          </cell>
          <cell r="C431" t="str">
            <v>Dark</v>
          </cell>
          <cell r="D431" t="str">
            <v>Flying</v>
          </cell>
          <cell r="E431">
            <v>505</v>
          </cell>
          <cell r="F431">
            <v>100</v>
          </cell>
          <cell r="G431">
            <v>125</v>
          </cell>
          <cell r="H431">
            <v>52</v>
          </cell>
          <cell r="I431">
            <v>105</v>
          </cell>
          <cell r="J431">
            <v>52</v>
          </cell>
          <cell r="K431">
            <v>71</v>
          </cell>
          <cell r="L431">
            <v>4</v>
          </cell>
          <cell r="M431" t="b">
            <v>0</v>
          </cell>
        </row>
        <row r="432">
          <cell r="A432">
            <v>431</v>
          </cell>
          <cell r="B432" t="str">
            <v>Glameow</v>
          </cell>
          <cell r="C432" t="str">
            <v>Normal</v>
          </cell>
          <cell r="E432">
            <v>310</v>
          </cell>
          <cell r="F432">
            <v>49</v>
          </cell>
          <cell r="G432">
            <v>55</v>
          </cell>
          <cell r="H432">
            <v>42</v>
          </cell>
          <cell r="I432">
            <v>42</v>
          </cell>
          <cell r="J432">
            <v>37</v>
          </cell>
          <cell r="K432">
            <v>85</v>
          </cell>
          <cell r="L432">
            <v>4</v>
          </cell>
          <cell r="M432" t="b">
            <v>0</v>
          </cell>
        </row>
        <row r="433">
          <cell r="A433">
            <v>432</v>
          </cell>
          <cell r="B433" t="str">
            <v>Purugly</v>
          </cell>
          <cell r="C433" t="str">
            <v>Normal</v>
          </cell>
          <cell r="E433">
            <v>452</v>
          </cell>
          <cell r="F433">
            <v>71</v>
          </cell>
          <cell r="G433">
            <v>82</v>
          </cell>
          <cell r="H433">
            <v>64</v>
          </cell>
          <cell r="I433">
            <v>64</v>
          </cell>
          <cell r="J433">
            <v>59</v>
          </cell>
          <cell r="K433">
            <v>112</v>
          </cell>
          <cell r="L433">
            <v>4</v>
          </cell>
          <cell r="M433" t="b">
            <v>0</v>
          </cell>
        </row>
        <row r="434">
          <cell r="A434">
            <v>433</v>
          </cell>
          <cell r="B434" t="str">
            <v>Chingling</v>
          </cell>
          <cell r="C434" t="str">
            <v>Psychic</v>
          </cell>
          <cell r="E434">
            <v>285</v>
          </cell>
          <cell r="F434">
            <v>45</v>
          </cell>
          <cell r="G434">
            <v>30</v>
          </cell>
          <cell r="H434">
            <v>50</v>
          </cell>
          <cell r="I434">
            <v>65</v>
          </cell>
          <cell r="J434">
            <v>50</v>
          </cell>
          <cell r="K434">
            <v>45</v>
          </cell>
          <cell r="L434">
            <v>4</v>
          </cell>
          <cell r="M434" t="b">
            <v>0</v>
          </cell>
        </row>
        <row r="435">
          <cell r="A435">
            <v>434</v>
          </cell>
          <cell r="B435" t="str">
            <v>Stunky</v>
          </cell>
          <cell r="C435" t="str">
            <v>Poison</v>
          </cell>
          <cell r="D435" t="str">
            <v>Dark</v>
          </cell>
          <cell r="E435">
            <v>329</v>
          </cell>
          <cell r="F435">
            <v>63</v>
          </cell>
          <cell r="G435">
            <v>63</v>
          </cell>
          <cell r="H435">
            <v>47</v>
          </cell>
          <cell r="I435">
            <v>41</v>
          </cell>
          <cell r="J435">
            <v>41</v>
          </cell>
          <cell r="K435">
            <v>74</v>
          </cell>
          <cell r="L435">
            <v>4</v>
          </cell>
          <cell r="M435" t="b">
            <v>0</v>
          </cell>
        </row>
        <row r="436">
          <cell r="A436">
            <v>435</v>
          </cell>
          <cell r="B436" t="str">
            <v>Skuntank</v>
          </cell>
          <cell r="C436" t="str">
            <v>Poison</v>
          </cell>
          <cell r="D436" t="str">
            <v>Dark</v>
          </cell>
          <cell r="E436">
            <v>479</v>
          </cell>
          <cell r="F436">
            <v>103</v>
          </cell>
          <cell r="G436">
            <v>93</v>
          </cell>
          <cell r="H436">
            <v>67</v>
          </cell>
          <cell r="I436">
            <v>71</v>
          </cell>
          <cell r="J436">
            <v>61</v>
          </cell>
          <cell r="K436">
            <v>84</v>
          </cell>
          <cell r="L436">
            <v>4</v>
          </cell>
          <cell r="M436" t="b">
            <v>0</v>
          </cell>
        </row>
        <row r="437">
          <cell r="A437">
            <v>436</v>
          </cell>
          <cell r="B437" t="str">
            <v>Bronzor</v>
          </cell>
          <cell r="C437" t="str">
            <v>Steel</v>
          </cell>
          <cell r="D437" t="str">
            <v>Psychic</v>
          </cell>
          <cell r="E437">
            <v>300</v>
          </cell>
          <cell r="F437">
            <v>57</v>
          </cell>
          <cell r="G437">
            <v>24</v>
          </cell>
          <cell r="H437">
            <v>86</v>
          </cell>
          <cell r="I437">
            <v>24</v>
          </cell>
          <cell r="J437">
            <v>86</v>
          </cell>
          <cell r="K437">
            <v>23</v>
          </cell>
          <cell r="L437">
            <v>4</v>
          </cell>
          <cell r="M437" t="b">
            <v>0</v>
          </cell>
        </row>
        <row r="438">
          <cell r="A438">
            <v>437</v>
          </cell>
          <cell r="B438" t="str">
            <v>Bronzong</v>
          </cell>
          <cell r="C438" t="str">
            <v>Steel</v>
          </cell>
          <cell r="D438" t="str">
            <v>Psychic</v>
          </cell>
          <cell r="E438">
            <v>500</v>
          </cell>
          <cell r="F438">
            <v>67</v>
          </cell>
          <cell r="G438">
            <v>89</v>
          </cell>
          <cell r="H438">
            <v>116</v>
          </cell>
          <cell r="I438">
            <v>79</v>
          </cell>
          <cell r="J438">
            <v>116</v>
          </cell>
          <cell r="K438">
            <v>33</v>
          </cell>
          <cell r="L438">
            <v>4</v>
          </cell>
          <cell r="M438" t="b">
            <v>0</v>
          </cell>
        </row>
        <row r="439">
          <cell r="A439">
            <v>438</v>
          </cell>
          <cell r="B439" t="str">
            <v>Bonsly</v>
          </cell>
          <cell r="C439" t="str">
            <v>Rock</v>
          </cell>
          <cell r="E439">
            <v>290</v>
          </cell>
          <cell r="F439">
            <v>50</v>
          </cell>
          <cell r="G439">
            <v>80</v>
          </cell>
          <cell r="H439">
            <v>95</v>
          </cell>
          <cell r="I439">
            <v>10</v>
          </cell>
          <cell r="J439">
            <v>45</v>
          </cell>
          <cell r="K439">
            <v>10</v>
          </cell>
          <cell r="L439">
            <v>4</v>
          </cell>
          <cell r="M439" t="b">
            <v>0</v>
          </cell>
        </row>
        <row r="440">
          <cell r="A440">
            <v>439</v>
          </cell>
          <cell r="B440" t="str">
            <v>MimeJr</v>
          </cell>
          <cell r="C440" t="str">
            <v>Psychic</v>
          </cell>
          <cell r="D440" t="str">
            <v>Fairy</v>
          </cell>
          <cell r="E440">
            <v>310</v>
          </cell>
          <cell r="F440">
            <v>20</v>
          </cell>
          <cell r="G440">
            <v>25</v>
          </cell>
          <cell r="H440">
            <v>45</v>
          </cell>
          <cell r="I440">
            <v>70</v>
          </cell>
          <cell r="J440">
            <v>90</v>
          </cell>
          <cell r="K440">
            <v>60</v>
          </cell>
          <cell r="L440">
            <v>4</v>
          </cell>
          <cell r="M440" t="b">
            <v>0</v>
          </cell>
        </row>
        <row r="441">
          <cell r="A441">
            <v>440</v>
          </cell>
          <cell r="B441" t="str">
            <v>Happiny</v>
          </cell>
          <cell r="C441" t="str">
            <v>Normal</v>
          </cell>
          <cell r="E441">
            <v>220</v>
          </cell>
          <cell r="F441">
            <v>100</v>
          </cell>
          <cell r="G441">
            <v>5</v>
          </cell>
          <cell r="H441">
            <v>5</v>
          </cell>
          <cell r="I441">
            <v>15</v>
          </cell>
          <cell r="J441">
            <v>65</v>
          </cell>
          <cell r="K441">
            <v>30</v>
          </cell>
          <cell r="L441">
            <v>4</v>
          </cell>
          <cell r="M441" t="b">
            <v>0</v>
          </cell>
        </row>
        <row r="442">
          <cell r="A442">
            <v>441</v>
          </cell>
          <cell r="B442" t="str">
            <v>Chatot</v>
          </cell>
          <cell r="C442" t="str">
            <v>Normal</v>
          </cell>
          <cell r="D442" t="str">
            <v>Flying</v>
          </cell>
          <cell r="E442">
            <v>411</v>
          </cell>
          <cell r="F442">
            <v>76</v>
          </cell>
          <cell r="G442">
            <v>65</v>
          </cell>
          <cell r="H442">
            <v>45</v>
          </cell>
          <cell r="I442">
            <v>92</v>
          </cell>
          <cell r="J442">
            <v>42</v>
          </cell>
          <cell r="K442">
            <v>91</v>
          </cell>
          <cell r="L442">
            <v>4</v>
          </cell>
          <cell r="M442" t="b">
            <v>0</v>
          </cell>
        </row>
        <row r="443">
          <cell r="A443">
            <v>442</v>
          </cell>
          <cell r="B443" t="str">
            <v>Spiritomb</v>
          </cell>
          <cell r="C443" t="str">
            <v>Ghost</v>
          </cell>
          <cell r="D443" t="str">
            <v>Dark</v>
          </cell>
          <cell r="E443">
            <v>485</v>
          </cell>
          <cell r="F443">
            <v>50</v>
          </cell>
          <cell r="G443">
            <v>92</v>
          </cell>
          <cell r="H443">
            <v>108</v>
          </cell>
          <cell r="I443">
            <v>92</v>
          </cell>
          <cell r="J443">
            <v>108</v>
          </cell>
          <cell r="K443">
            <v>35</v>
          </cell>
          <cell r="L443">
            <v>4</v>
          </cell>
          <cell r="M443" t="b">
            <v>0</v>
          </cell>
        </row>
        <row r="444">
          <cell r="A444">
            <v>443</v>
          </cell>
          <cell r="B444" t="str">
            <v>Gible</v>
          </cell>
          <cell r="C444" t="str">
            <v>Dragon</v>
          </cell>
          <cell r="D444" t="str">
            <v>Ground</v>
          </cell>
          <cell r="E444">
            <v>300</v>
          </cell>
          <cell r="F444">
            <v>58</v>
          </cell>
          <cell r="G444">
            <v>70</v>
          </cell>
          <cell r="H444">
            <v>45</v>
          </cell>
          <cell r="I444">
            <v>40</v>
          </cell>
          <cell r="J444">
            <v>45</v>
          </cell>
          <cell r="K444">
            <v>42</v>
          </cell>
          <cell r="L444">
            <v>4</v>
          </cell>
          <cell r="M444" t="b">
            <v>0</v>
          </cell>
        </row>
        <row r="445">
          <cell r="A445">
            <v>444</v>
          </cell>
          <cell r="B445" t="str">
            <v>Gabite</v>
          </cell>
          <cell r="C445" t="str">
            <v>Dragon</v>
          </cell>
          <cell r="D445" t="str">
            <v>Ground</v>
          </cell>
          <cell r="E445">
            <v>410</v>
          </cell>
          <cell r="F445">
            <v>68</v>
          </cell>
          <cell r="G445">
            <v>90</v>
          </cell>
          <cell r="H445">
            <v>65</v>
          </cell>
          <cell r="I445">
            <v>50</v>
          </cell>
          <cell r="J445">
            <v>55</v>
          </cell>
          <cell r="K445">
            <v>82</v>
          </cell>
          <cell r="L445">
            <v>4</v>
          </cell>
          <cell r="M445" t="b">
            <v>0</v>
          </cell>
        </row>
        <row r="446">
          <cell r="A446">
            <v>445</v>
          </cell>
          <cell r="B446" t="str">
            <v>Garchomp</v>
          </cell>
          <cell r="C446" t="str">
            <v>Dragon</v>
          </cell>
          <cell r="D446" t="str">
            <v>Ground</v>
          </cell>
          <cell r="E446">
            <v>600</v>
          </cell>
          <cell r="F446">
            <v>108</v>
          </cell>
          <cell r="G446">
            <v>130</v>
          </cell>
          <cell r="H446">
            <v>95</v>
          </cell>
          <cell r="I446">
            <v>80</v>
          </cell>
          <cell r="J446">
            <v>85</v>
          </cell>
          <cell r="K446">
            <v>102</v>
          </cell>
          <cell r="L446">
            <v>4</v>
          </cell>
          <cell r="M446" t="b">
            <v>0</v>
          </cell>
        </row>
        <row r="447">
          <cell r="A447">
            <v>446</v>
          </cell>
          <cell r="B447" t="str">
            <v>Munchlax</v>
          </cell>
          <cell r="C447" t="str">
            <v>Normal</v>
          </cell>
          <cell r="E447">
            <v>390</v>
          </cell>
          <cell r="F447">
            <v>135</v>
          </cell>
          <cell r="G447">
            <v>85</v>
          </cell>
          <cell r="H447">
            <v>40</v>
          </cell>
          <cell r="I447">
            <v>40</v>
          </cell>
          <cell r="J447">
            <v>85</v>
          </cell>
          <cell r="K447">
            <v>5</v>
          </cell>
          <cell r="L447">
            <v>4</v>
          </cell>
          <cell r="M447" t="b">
            <v>0</v>
          </cell>
        </row>
        <row r="448">
          <cell r="A448">
            <v>447</v>
          </cell>
          <cell r="B448" t="str">
            <v>Riolu</v>
          </cell>
          <cell r="C448" t="str">
            <v>Fighting</v>
          </cell>
          <cell r="E448">
            <v>285</v>
          </cell>
          <cell r="F448">
            <v>40</v>
          </cell>
          <cell r="G448">
            <v>70</v>
          </cell>
          <cell r="H448">
            <v>40</v>
          </cell>
          <cell r="I448">
            <v>35</v>
          </cell>
          <cell r="J448">
            <v>40</v>
          </cell>
          <cell r="K448">
            <v>60</v>
          </cell>
          <cell r="L448">
            <v>4</v>
          </cell>
          <cell r="M448" t="b">
            <v>0</v>
          </cell>
        </row>
        <row r="449">
          <cell r="A449">
            <v>448</v>
          </cell>
          <cell r="B449" t="str">
            <v>Lucario</v>
          </cell>
          <cell r="C449" t="str">
            <v>Fighting</v>
          </cell>
          <cell r="D449" t="str">
            <v>Steel</v>
          </cell>
          <cell r="E449">
            <v>525</v>
          </cell>
          <cell r="F449">
            <v>70</v>
          </cell>
          <cell r="G449">
            <v>110</v>
          </cell>
          <cell r="H449">
            <v>70</v>
          </cell>
          <cell r="I449">
            <v>115</v>
          </cell>
          <cell r="J449">
            <v>70</v>
          </cell>
          <cell r="K449">
            <v>90</v>
          </cell>
          <cell r="L449">
            <v>4</v>
          </cell>
          <cell r="M449" t="b">
            <v>0</v>
          </cell>
        </row>
        <row r="450">
          <cell r="A450">
            <v>449</v>
          </cell>
          <cell r="B450" t="str">
            <v>Hippopotas</v>
          </cell>
          <cell r="C450" t="str">
            <v>Ground</v>
          </cell>
          <cell r="E450">
            <v>330</v>
          </cell>
          <cell r="F450">
            <v>68</v>
          </cell>
          <cell r="G450">
            <v>72</v>
          </cell>
          <cell r="H450">
            <v>78</v>
          </cell>
          <cell r="I450">
            <v>38</v>
          </cell>
          <cell r="J450">
            <v>42</v>
          </cell>
          <cell r="K450">
            <v>32</v>
          </cell>
          <cell r="L450">
            <v>4</v>
          </cell>
          <cell r="M450" t="b">
            <v>0</v>
          </cell>
        </row>
        <row r="451">
          <cell r="A451">
            <v>450</v>
          </cell>
          <cell r="B451" t="str">
            <v>Hippowdon</v>
          </cell>
          <cell r="C451" t="str">
            <v>Ground</v>
          </cell>
          <cell r="E451">
            <v>525</v>
          </cell>
          <cell r="F451">
            <v>108</v>
          </cell>
          <cell r="G451">
            <v>112</v>
          </cell>
          <cell r="H451">
            <v>118</v>
          </cell>
          <cell r="I451">
            <v>68</v>
          </cell>
          <cell r="J451">
            <v>72</v>
          </cell>
          <cell r="K451">
            <v>47</v>
          </cell>
          <cell r="L451">
            <v>4</v>
          </cell>
          <cell r="M451" t="b">
            <v>0</v>
          </cell>
        </row>
        <row r="452">
          <cell r="A452">
            <v>451</v>
          </cell>
          <cell r="B452" t="str">
            <v>Skorupi</v>
          </cell>
          <cell r="C452" t="str">
            <v>Poison</v>
          </cell>
          <cell r="D452" t="str">
            <v>Bug</v>
          </cell>
          <cell r="E452">
            <v>330</v>
          </cell>
          <cell r="F452">
            <v>40</v>
          </cell>
          <cell r="G452">
            <v>50</v>
          </cell>
          <cell r="H452">
            <v>90</v>
          </cell>
          <cell r="I452">
            <v>30</v>
          </cell>
          <cell r="J452">
            <v>55</v>
          </cell>
          <cell r="K452">
            <v>65</v>
          </cell>
          <cell r="L452">
            <v>4</v>
          </cell>
          <cell r="M452" t="b">
            <v>0</v>
          </cell>
        </row>
        <row r="453">
          <cell r="A453">
            <v>452</v>
          </cell>
          <cell r="B453" t="str">
            <v>Drapion</v>
          </cell>
          <cell r="C453" t="str">
            <v>Poison</v>
          </cell>
          <cell r="D453" t="str">
            <v>Dark</v>
          </cell>
          <cell r="E453">
            <v>500</v>
          </cell>
          <cell r="F453">
            <v>70</v>
          </cell>
          <cell r="G453">
            <v>90</v>
          </cell>
          <cell r="H453">
            <v>110</v>
          </cell>
          <cell r="I453">
            <v>60</v>
          </cell>
          <cell r="J453">
            <v>75</v>
          </cell>
          <cell r="K453">
            <v>95</v>
          </cell>
          <cell r="L453">
            <v>4</v>
          </cell>
          <cell r="M453" t="b">
            <v>0</v>
          </cell>
        </row>
        <row r="454">
          <cell r="A454">
            <v>453</v>
          </cell>
          <cell r="B454" t="str">
            <v>Croagunk</v>
          </cell>
          <cell r="C454" t="str">
            <v>Poison</v>
          </cell>
          <cell r="D454" t="str">
            <v>Fighting</v>
          </cell>
          <cell r="E454">
            <v>300</v>
          </cell>
          <cell r="F454">
            <v>48</v>
          </cell>
          <cell r="G454">
            <v>61</v>
          </cell>
          <cell r="H454">
            <v>40</v>
          </cell>
          <cell r="I454">
            <v>61</v>
          </cell>
          <cell r="J454">
            <v>40</v>
          </cell>
          <cell r="K454">
            <v>50</v>
          </cell>
          <cell r="L454">
            <v>4</v>
          </cell>
          <cell r="M454" t="b">
            <v>0</v>
          </cell>
        </row>
        <row r="455">
          <cell r="A455">
            <v>454</v>
          </cell>
          <cell r="B455" t="str">
            <v>Toxicroak</v>
          </cell>
          <cell r="C455" t="str">
            <v>Poison</v>
          </cell>
          <cell r="D455" t="str">
            <v>Fighting</v>
          </cell>
          <cell r="E455">
            <v>490</v>
          </cell>
          <cell r="F455">
            <v>83</v>
          </cell>
          <cell r="G455">
            <v>106</v>
          </cell>
          <cell r="H455">
            <v>65</v>
          </cell>
          <cell r="I455">
            <v>86</v>
          </cell>
          <cell r="J455">
            <v>65</v>
          </cell>
          <cell r="K455">
            <v>85</v>
          </cell>
          <cell r="L455">
            <v>4</v>
          </cell>
          <cell r="M455" t="b">
            <v>0</v>
          </cell>
        </row>
        <row r="456">
          <cell r="A456">
            <v>455</v>
          </cell>
          <cell r="B456" t="str">
            <v>Carnivine</v>
          </cell>
          <cell r="C456" t="str">
            <v>Grass</v>
          </cell>
          <cell r="E456">
            <v>454</v>
          </cell>
          <cell r="F456">
            <v>74</v>
          </cell>
          <cell r="G456">
            <v>100</v>
          </cell>
          <cell r="H456">
            <v>72</v>
          </cell>
          <cell r="I456">
            <v>90</v>
          </cell>
          <cell r="J456">
            <v>72</v>
          </cell>
          <cell r="K456">
            <v>46</v>
          </cell>
          <cell r="L456">
            <v>4</v>
          </cell>
          <cell r="M456" t="b">
            <v>0</v>
          </cell>
        </row>
        <row r="457">
          <cell r="A457">
            <v>456</v>
          </cell>
          <cell r="B457" t="str">
            <v>Finneon</v>
          </cell>
          <cell r="C457" t="str">
            <v>Water</v>
          </cell>
          <cell r="E457">
            <v>330</v>
          </cell>
          <cell r="F457">
            <v>49</v>
          </cell>
          <cell r="G457">
            <v>49</v>
          </cell>
          <cell r="H457">
            <v>56</v>
          </cell>
          <cell r="I457">
            <v>49</v>
          </cell>
          <cell r="J457">
            <v>61</v>
          </cell>
          <cell r="K457">
            <v>66</v>
          </cell>
          <cell r="L457">
            <v>4</v>
          </cell>
          <cell r="M457" t="b">
            <v>0</v>
          </cell>
        </row>
        <row r="458">
          <cell r="A458">
            <v>457</v>
          </cell>
          <cell r="B458" t="str">
            <v>Lumineon</v>
          </cell>
          <cell r="C458" t="str">
            <v>Water</v>
          </cell>
          <cell r="E458">
            <v>460</v>
          </cell>
          <cell r="F458">
            <v>69</v>
          </cell>
          <cell r="G458">
            <v>69</v>
          </cell>
          <cell r="H458">
            <v>76</v>
          </cell>
          <cell r="I458">
            <v>69</v>
          </cell>
          <cell r="J458">
            <v>86</v>
          </cell>
          <cell r="K458">
            <v>91</v>
          </cell>
          <cell r="L458">
            <v>4</v>
          </cell>
          <cell r="M458" t="b">
            <v>0</v>
          </cell>
        </row>
        <row r="459">
          <cell r="A459">
            <v>458</v>
          </cell>
          <cell r="B459" t="str">
            <v>Mantyke</v>
          </cell>
          <cell r="C459" t="str">
            <v>Water</v>
          </cell>
          <cell r="D459" t="str">
            <v>Flying</v>
          </cell>
          <cell r="E459">
            <v>345</v>
          </cell>
          <cell r="F459">
            <v>45</v>
          </cell>
          <cell r="G459">
            <v>20</v>
          </cell>
          <cell r="H459">
            <v>50</v>
          </cell>
          <cell r="I459">
            <v>60</v>
          </cell>
          <cell r="J459">
            <v>120</v>
          </cell>
          <cell r="K459">
            <v>50</v>
          </cell>
          <cell r="L459">
            <v>4</v>
          </cell>
          <cell r="M459" t="b">
            <v>0</v>
          </cell>
        </row>
        <row r="460">
          <cell r="A460">
            <v>459</v>
          </cell>
          <cell r="B460" t="str">
            <v>Snover</v>
          </cell>
          <cell r="C460" t="str">
            <v>Grass</v>
          </cell>
          <cell r="D460" t="str">
            <v>Ice</v>
          </cell>
          <cell r="E460">
            <v>334</v>
          </cell>
          <cell r="F460">
            <v>60</v>
          </cell>
          <cell r="G460">
            <v>62</v>
          </cell>
          <cell r="H460">
            <v>50</v>
          </cell>
          <cell r="I460">
            <v>62</v>
          </cell>
          <cell r="J460">
            <v>60</v>
          </cell>
          <cell r="K460">
            <v>40</v>
          </cell>
          <cell r="L460">
            <v>4</v>
          </cell>
          <cell r="M460" t="b">
            <v>0</v>
          </cell>
        </row>
        <row r="461">
          <cell r="A461">
            <v>460</v>
          </cell>
          <cell r="B461" t="str">
            <v>Abomasnow</v>
          </cell>
          <cell r="C461" t="str">
            <v>Grass</v>
          </cell>
          <cell r="D461" t="str">
            <v>Ice</v>
          </cell>
          <cell r="E461">
            <v>494</v>
          </cell>
          <cell r="F461">
            <v>90</v>
          </cell>
          <cell r="G461">
            <v>92</v>
          </cell>
          <cell r="H461">
            <v>75</v>
          </cell>
          <cell r="I461">
            <v>92</v>
          </cell>
          <cell r="J461">
            <v>85</v>
          </cell>
          <cell r="K461">
            <v>60</v>
          </cell>
          <cell r="L461">
            <v>4</v>
          </cell>
          <cell r="M461" t="b">
            <v>0</v>
          </cell>
        </row>
        <row r="462">
          <cell r="A462">
            <v>461</v>
          </cell>
          <cell r="B462" t="str">
            <v>Weavile</v>
          </cell>
          <cell r="C462" t="str">
            <v>Dark</v>
          </cell>
          <cell r="D462" t="str">
            <v>Ice</v>
          </cell>
          <cell r="E462">
            <v>510</v>
          </cell>
          <cell r="F462">
            <v>70</v>
          </cell>
          <cell r="G462">
            <v>120</v>
          </cell>
          <cell r="H462">
            <v>65</v>
          </cell>
          <cell r="I462">
            <v>45</v>
          </cell>
          <cell r="J462">
            <v>85</v>
          </cell>
          <cell r="K462">
            <v>125</v>
          </cell>
          <cell r="L462">
            <v>4</v>
          </cell>
          <cell r="M462" t="b">
            <v>0</v>
          </cell>
        </row>
        <row r="463">
          <cell r="A463">
            <v>462</v>
          </cell>
          <cell r="B463" t="str">
            <v>Magnezone</v>
          </cell>
          <cell r="C463" t="str">
            <v>Electric</v>
          </cell>
          <cell r="D463" t="str">
            <v>Steel</v>
          </cell>
          <cell r="E463">
            <v>535</v>
          </cell>
          <cell r="F463">
            <v>70</v>
          </cell>
          <cell r="G463">
            <v>70</v>
          </cell>
          <cell r="H463">
            <v>115</v>
          </cell>
          <cell r="I463">
            <v>130</v>
          </cell>
          <cell r="J463">
            <v>90</v>
          </cell>
          <cell r="K463">
            <v>60</v>
          </cell>
          <cell r="L463">
            <v>4</v>
          </cell>
          <cell r="M463" t="b">
            <v>0</v>
          </cell>
        </row>
        <row r="464">
          <cell r="A464">
            <v>463</v>
          </cell>
          <cell r="B464" t="str">
            <v>Lickilicky</v>
          </cell>
          <cell r="C464" t="str">
            <v>Normal</v>
          </cell>
          <cell r="E464">
            <v>515</v>
          </cell>
          <cell r="F464">
            <v>110</v>
          </cell>
          <cell r="G464">
            <v>85</v>
          </cell>
          <cell r="H464">
            <v>95</v>
          </cell>
          <cell r="I464">
            <v>80</v>
          </cell>
          <cell r="J464">
            <v>95</v>
          </cell>
          <cell r="K464">
            <v>50</v>
          </cell>
          <cell r="L464">
            <v>4</v>
          </cell>
          <cell r="M464" t="b">
            <v>0</v>
          </cell>
        </row>
        <row r="465">
          <cell r="A465">
            <v>464</v>
          </cell>
          <cell r="B465" t="str">
            <v>Rhyperior</v>
          </cell>
          <cell r="C465" t="str">
            <v>Ground</v>
          </cell>
          <cell r="D465" t="str">
            <v>Rock</v>
          </cell>
          <cell r="E465">
            <v>535</v>
          </cell>
          <cell r="F465">
            <v>115</v>
          </cell>
          <cell r="G465">
            <v>140</v>
          </cell>
          <cell r="H465">
            <v>130</v>
          </cell>
          <cell r="I465">
            <v>55</v>
          </cell>
          <cell r="J465">
            <v>55</v>
          </cell>
          <cell r="K465">
            <v>40</v>
          </cell>
          <cell r="L465">
            <v>4</v>
          </cell>
          <cell r="M465" t="b">
            <v>0</v>
          </cell>
        </row>
        <row r="466">
          <cell r="A466">
            <v>465</v>
          </cell>
          <cell r="B466" t="str">
            <v>Tangrowth</v>
          </cell>
          <cell r="C466" t="str">
            <v>Grass</v>
          </cell>
          <cell r="E466">
            <v>535</v>
          </cell>
          <cell r="F466">
            <v>100</v>
          </cell>
          <cell r="G466">
            <v>100</v>
          </cell>
          <cell r="H466">
            <v>125</v>
          </cell>
          <cell r="I466">
            <v>110</v>
          </cell>
          <cell r="J466">
            <v>50</v>
          </cell>
          <cell r="K466">
            <v>50</v>
          </cell>
          <cell r="L466">
            <v>4</v>
          </cell>
          <cell r="M466" t="b">
            <v>0</v>
          </cell>
        </row>
        <row r="467">
          <cell r="A467">
            <v>466</v>
          </cell>
          <cell r="B467" t="str">
            <v>Electivire</v>
          </cell>
          <cell r="C467" t="str">
            <v>Electric</v>
          </cell>
          <cell r="E467">
            <v>540</v>
          </cell>
          <cell r="F467">
            <v>75</v>
          </cell>
          <cell r="G467">
            <v>123</v>
          </cell>
          <cell r="H467">
            <v>67</v>
          </cell>
          <cell r="I467">
            <v>95</v>
          </cell>
          <cell r="J467">
            <v>85</v>
          </cell>
          <cell r="K467">
            <v>95</v>
          </cell>
          <cell r="L467">
            <v>4</v>
          </cell>
          <cell r="M467" t="b">
            <v>0</v>
          </cell>
        </row>
        <row r="468">
          <cell r="A468">
            <v>467</v>
          </cell>
          <cell r="B468" t="str">
            <v>Magmortar</v>
          </cell>
          <cell r="C468" t="str">
            <v>Fire</v>
          </cell>
          <cell r="E468">
            <v>540</v>
          </cell>
          <cell r="F468">
            <v>75</v>
          </cell>
          <cell r="G468">
            <v>95</v>
          </cell>
          <cell r="H468">
            <v>67</v>
          </cell>
          <cell r="I468">
            <v>125</v>
          </cell>
          <cell r="J468">
            <v>95</v>
          </cell>
          <cell r="K468">
            <v>83</v>
          </cell>
          <cell r="L468">
            <v>4</v>
          </cell>
          <cell r="M468" t="b">
            <v>0</v>
          </cell>
        </row>
        <row r="469">
          <cell r="A469">
            <v>468</v>
          </cell>
          <cell r="B469" t="str">
            <v>Togekiss</v>
          </cell>
          <cell r="C469" t="str">
            <v>Fairy</v>
          </cell>
          <cell r="D469" t="str">
            <v>Flying</v>
          </cell>
          <cell r="E469">
            <v>545</v>
          </cell>
          <cell r="F469">
            <v>85</v>
          </cell>
          <cell r="G469">
            <v>50</v>
          </cell>
          <cell r="H469">
            <v>95</v>
          </cell>
          <cell r="I469">
            <v>120</v>
          </cell>
          <cell r="J469">
            <v>115</v>
          </cell>
          <cell r="K469">
            <v>80</v>
          </cell>
          <cell r="L469">
            <v>4</v>
          </cell>
          <cell r="M469" t="b">
            <v>0</v>
          </cell>
        </row>
        <row r="470">
          <cell r="A470">
            <v>469</v>
          </cell>
          <cell r="B470" t="str">
            <v>Yanmega</v>
          </cell>
          <cell r="C470" t="str">
            <v>Bug</v>
          </cell>
          <cell r="D470" t="str">
            <v>Flying</v>
          </cell>
          <cell r="E470">
            <v>515</v>
          </cell>
          <cell r="F470">
            <v>86</v>
          </cell>
          <cell r="G470">
            <v>76</v>
          </cell>
          <cell r="H470">
            <v>86</v>
          </cell>
          <cell r="I470">
            <v>116</v>
          </cell>
          <cell r="J470">
            <v>56</v>
          </cell>
          <cell r="K470">
            <v>95</v>
          </cell>
          <cell r="L470">
            <v>4</v>
          </cell>
          <cell r="M470" t="b">
            <v>0</v>
          </cell>
        </row>
        <row r="471">
          <cell r="A471">
            <v>470</v>
          </cell>
          <cell r="B471" t="str">
            <v>Leafeon</v>
          </cell>
          <cell r="C471" t="str">
            <v>Grass</v>
          </cell>
          <cell r="E471">
            <v>525</v>
          </cell>
          <cell r="F471">
            <v>65</v>
          </cell>
          <cell r="G471">
            <v>110</v>
          </cell>
          <cell r="H471">
            <v>130</v>
          </cell>
          <cell r="I471">
            <v>60</v>
          </cell>
          <cell r="J471">
            <v>65</v>
          </cell>
          <cell r="K471">
            <v>95</v>
          </cell>
          <cell r="L471">
            <v>4</v>
          </cell>
          <cell r="M471" t="b">
            <v>0</v>
          </cell>
        </row>
        <row r="472">
          <cell r="A472">
            <v>471</v>
          </cell>
          <cell r="B472" t="str">
            <v>Glaceon</v>
          </cell>
          <cell r="C472" t="str">
            <v>Ice</v>
          </cell>
          <cell r="E472">
            <v>525</v>
          </cell>
          <cell r="F472">
            <v>65</v>
          </cell>
          <cell r="G472">
            <v>60</v>
          </cell>
          <cell r="H472">
            <v>110</v>
          </cell>
          <cell r="I472">
            <v>130</v>
          </cell>
          <cell r="J472">
            <v>95</v>
          </cell>
          <cell r="K472">
            <v>65</v>
          </cell>
          <cell r="L472">
            <v>4</v>
          </cell>
          <cell r="M472" t="b">
            <v>0</v>
          </cell>
        </row>
        <row r="473">
          <cell r="A473">
            <v>472</v>
          </cell>
          <cell r="B473" t="str">
            <v>Gliscor</v>
          </cell>
          <cell r="C473" t="str">
            <v>Ground</v>
          </cell>
          <cell r="D473" t="str">
            <v>Flying</v>
          </cell>
          <cell r="E473">
            <v>510</v>
          </cell>
          <cell r="F473">
            <v>75</v>
          </cell>
          <cell r="G473">
            <v>95</v>
          </cell>
          <cell r="H473">
            <v>125</v>
          </cell>
          <cell r="I473">
            <v>45</v>
          </cell>
          <cell r="J473">
            <v>75</v>
          </cell>
          <cell r="K473">
            <v>95</v>
          </cell>
          <cell r="L473">
            <v>4</v>
          </cell>
          <cell r="M473" t="b">
            <v>0</v>
          </cell>
        </row>
        <row r="474">
          <cell r="A474">
            <v>473</v>
          </cell>
          <cell r="B474" t="str">
            <v>Mamoswine</v>
          </cell>
          <cell r="C474" t="str">
            <v>Ice</v>
          </cell>
          <cell r="D474" t="str">
            <v>Ground</v>
          </cell>
          <cell r="E474">
            <v>530</v>
          </cell>
          <cell r="F474">
            <v>110</v>
          </cell>
          <cell r="G474">
            <v>130</v>
          </cell>
          <cell r="H474">
            <v>80</v>
          </cell>
          <cell r="I474">
            <v>70</v>
          </cell>
          <cell r="J474">
            <v>60</v>
          </cell>
          <cell r="K474">
            <v>80</v>
          </cell>
          <cell r="L474">
            <v>4</v>
          </cell>
          <cell r="M474" t="b">
            <v>0</v>
          </cell>
        </row>
        <row r="475">
          <cell r="A475">
            <v>474</v>
          </cell>
          <cell r="B475" t="str">
            <v>PorygonZ</v>
          </cell>
          <cell r="C475" t="str">
            <v>Normal</v>
          </cell>
          <cell r="E475">
            <v>535</v>
          </cell>
          <cell r="F475">
            <v>85</v>
          </cell>
          <cell r="G475">
            <v>80</v>
          </cell>
          <cell r="H475">
            <v>70</v>
          </cell>
          <cell r="I475">
            <v>135</v>
          </cell>
          <cell r="J475">
            <v>75</v>
          </cell>
          <cell r="K475">
            <v>90</v>
          </cell>
          <cell r="L475">
            <v>4</v>
          </cell>
          <cell r="M475" t="b">
            <v>0</v>
          </cell>
        </row>
        <row r="476">
          <cell r="A476">
            <v>475</v>
          </cell>
          <cell r="B476" t="str">
            <v>Gallade</v>
          </cell>
          <cell r="C476" t="str">
            <v>Psychic</v>
          </cell>
          <cell r="D476" t="str">
            <v>Fighting</v>
          </cell>
          <cell r="E476">
            <v>518</v>
          </cell>
          <cell r="F476">
            <v>68</v>
          </cell>
          <cell r="G476">
            <v>125</v>
          </cell>
          <cell r="H476">
            <v>65</v>
          </cell>
          <cell r="I476">
            <v>65</v>
          </cell>
          <cell r="J476">
            <v>115</v>
          </cell>
          <cell r="K476">
            <v>80</v>
          </cell>
          <cell r="L476">
            <v>4</v>
          </cell>
          <cell r="M476" t="b">
            <v>0</v>
          </cell>
        </row>
        <row r="477">
          <cell r="A477">
            <v>476</v>
          </cell>
          <cell r="B477" t="str">
            <v>Probopass</v>
          </cell>
          <cell r="C477" t="str">
            <v>Rock</v>
          </cell>
          <cell r="D477" t="str">
            <v>Steel</v>
          </cell>
          <cell r="E477">
            <v>525</v>
          </cell>
          <cell r="F477">
            <v>60</v>
          </cell>
          <cell r="G477">
            <v>55</v>
          </cell>
          <cell r="H477">
            <v>145</v>
          </cell>
          <cell r="I477">
            <v>75</v>
          </cell>
          <cell r="J477">
            <v>150</v>
          </cell>
          <cell r="K477">
            <v>40</v>
          </cell>
          <cell r="L477">
            <v>4</v>
          </cell>
          <cell r="M477" t="b">
            <v>0</v>
          </cell>
        </row>
        <row r="478">
          <cell r="A478">
            <v>477</v>
          </cell>
          <cell r="B478" t="str">
            <v>Dusknoir</v>
          </cell>
          <cell r="C478" t="str">
            <v>Ghost</v>
          </cell>
          <cell r="E478">
            <v>525</v>
          </cell>
          <cell r="F478">
            <v>45</v>
          </cell>
          <cell r="G478">
            <v>100</v>
          </cell>
          <cell r="H478">
            <v>135</v>
          </cell>
          <cell r="I478">
            <v>65</v>
          </cell>
          <cell r="J478">
            <v>135</v>
          </cell>
          <cell r="K478">
            <v>45</v>
          </cell>
          <cell r="L478">
            <v>4</v>
          </cell>
          <cell r="M478" t="b">
            <v>0</v>
          </cell>
        </row>
        <row r="479">
          <cell r="A479">
            <v>478</v>
          </cell>
          <cell r="B479" t="str">
            <v>Froslass</v>
          </cell>
          <cell r="C479" t="str">
            <v>Ice</v>
          </cell>
          <cell r="D479" t="str">
            <v>Ghost</v>
          </cell>
          <cell r="E479">
            <v>480</v>
          </cell>
          <cell r="F479">
            <v>70</v>
          </cell>
          <cell r="G479">
            <v>80</v>
          </cell>
          <cell r="H479">
            <v>70</v>
          </cell>
          <cell r="I479">
            <v>80</v>
          </cell>
          <cell r="J479">
            <v>70</v>
          </cell>
          <cell r="K479">
            <v>110</v>
          </cell>
          <cell r="L479">
            <v>4</v>
          </cell>
          <cell r="M479" t="b">
            <v>0</v>
          </cell>
        </row>
        <row r="480">
          <cell r="A480">
            <v>479</v>
          </cell>
          <cell r="B480" t="str">
            <v>Rotom</v>
          </cell>
          <cell r="C480" t="str">
            <v>Electric</v>
          </cell>
          <cell r="D480" t="str">
            <v>Ghost</v>
          </cell>
          <cell r="E480">
            <v>440</v>
          </cell>
          <cell r="F480">
            <v>50</v>
          </cell>
          <cell r="G480">
            <v>50</v>
          </cell>
          <cell r="H480">
            <v>77</v>
          </cell>
          <cell r="I480">
            <v>95</v>
          </cell>
          <cell r="J480">
            <v>77</v>
          </cell>
          <cell r="K480">
            <v>91</v>
          </cell>
          <cell r="L480">
            <v>4</v>
          </cell>
          <cell r="M480" t="b">
            <v>0</v>
          </cell>
        </row>
        <row r="481">
          <cell r="A481">
            <v>480</v>
          </cell>
          <cell r="B481" t="str">
            <v>Uxie</v>
          </cell>
          <cell r="C481" t="str">
            <v>Psychic</v>
          </cell>
          <cell r="E481">
            <v>580</v>
          </cell>
          <cell r="F481">
            <v>75</v>
          </cell>
          <cell r="G481">
            <v>75</v>
          </cell>
          <cell r="H481">
            <v>130</v>
          </cell>
          <cell r="I481">
            <v>75</v>
          </cell>
          <cell r="J481">
            <v>130</v>
          </cell>
          <cell r="K481">
            <v>95</v>
          </cell>
          <cell r="L481">
            <v>4</v>
          </cell>
          <cell r="M481" t="b">
            <v>1</v>
          </cell>
        </row>
        <row r="482">
          <cell r="A482">
            <v>481</v>
          </cell>
          <cell r="B482" t="str">
            <v>Mesprit</v>
          </cell>
          <cell r="C482" t="str">
            <v>Psychic</v>
          </cell>
          <cell r="E482">
            <v>580</v>
          </cell>
          <cell r="F482">
            <v>80</v>
          </cell>
          <cell r="G482">
            <v>105</v>
          </cell>
          <cell r="H482">
            <v>105</v>
          </cell>
          <cell r="I482">
            <v>105</v>
          </cell>
          <cell r="J482">
            <v>105</v>
          </cell>
          <cell r="K482">
            <v>80</v>
          </cell>
          <cell r="L482">
            <v>4</v>
          </cell>
          <cell r="M482" t="b">
            <v>1</v>
          </cell>
        </row>
        <row r="483">
          <cell r="A483">
            <v>482</v>
          </cell>
          <cell r="B483" t="str">
            <v>Azelf</v>
          </cell>
          <cell r="C483" t="str">
            <v>Psychic</v>
          </cell>
          <cell r="E483">
            <v>580</v>
          </cell>
          <cell r="F483">
            <v>75</v>
          </cell>
          <cell r="G483">
            <v>125</v>
          </cell>
          <cell r="H483">
            <v>70</v>
          </cell>
          <cell r="I483">
            <v>125</v>
          </cell>
          <cell r="J483">
            <v>70</v>
          </cell>
          <cell r="K483">
            <v>115</v>
          </cell>
          <cell r="L483">
            <v>4</v>
          </cell>
          <cell r="M483" t="b">
            <v>1</v>
          </cell>
        </row>
        <row r="484">
          <cell r="A484">
            <v>483</v>
          </cell>
          <cell r="B484" t="str">
            <v>Dialga</v>
          </cell>
          <cell r="C484" t="str">
            <v>Steel</v>
          </cell>
          <cell r="D484" t="str">
            <v>Dragon</v>
          </cell>
          <cell r="E484">
            <v>680</v>
          </cell>
          <cell r="F484">
            <v>100</v>
          </cell>
          <cell r="G484">
            <v>120</v>
          </cell>
          <cell r="H484">
            <v>120</v>
          </cell>
          <cell r="I484">
            <v>150</v>
          </cell>
          <cell r="J484">
            <v>100</v>
          </cell>
          <cell r="K484">
            <v>90</v>
          </cell>
          <cell r="L484">
            <v>4</v>
          </cell>
          <cell r="M484" t="b">
            <v>1</v>
          </cell>
        </row>
        <row r="485">
          <cell r="A485">
            <v>484</v>
          </cell>
          <cell r="B485" t="str">
            <v>Palkia</v>
          </cell>
          <cell r="C485" t="str">
            <v>Water</v>
          </cell>
          <cell r="D485" t="str">
            <v>Dragon</v>
          </cell>
          <cell r="E485">
            <v>680</v>
          </cell>
          <cell r="F485">
            <v>90</v>
          </cell>
          <cell r="G485">
            <v>120</v>
          </cell>
          <cell r="H485">
            <v>100</v>
          </cell>
          <cell r="I485">
            <v>150</v>
          </cell>
          <cell r="J485">
            <v>120</v>
          </cell>
          <cell r="K485">
            <v>100</v>
          </cell>
          <cell r="L485">
            <v>4</v>
          </cell>
          <cell r="M485" t="b">
            <v>1</v>
          </cell>
        </row>
        <row r="486">
          <cell r="A486">
            <v>485</v>
          </cell>
          <cell r="B486" t="str">
            <v>Heatran</v>
          </cell>
          <cell r="C486" t="str">
            <v>Fire</v>
          </cell>
          <cell r="D486" t="str">
            <v>Steel</v>
          </cell>
          <cell r="E486">
            <v>600</v>
          </cell>
          <cell r="F486">
            <v>91</v>
          </cell>
          <cell r="G486">
            <v>90</v>
          </cell>
          <cell r="H486">
            <v>106</v>
          </cell>
          <cell r="I486">
            <v>130</v>
          </cell>
          <cell r="J486">
            <v>106</v>
          </cell>
          <cell r="K486">
            <v>77</v>
          </cell>
          <cell r="L486">
            <v>4</v>
          </cell>
          <cell r="M486" t="b">
            <v>1</v>
          </cell>
        </row>
        <row r="487">
          <cell r="A487">
            <v>486</v>
          </cell>
          <cell r="B487" t="str">
            <v>Regigigas</v>
          </cell>
          <cell r="C487" t="str">
            <v>Normal</v>
          </cell>
          <cell r="E487">
            <v>670</v>
          </cell>
          <cell r="F487">
            <v>110</v>
          </cell>
          <cell r="G487">
            <v>160</v>
          </cell>
          <cell r="H487">
            <v>110</v>
          </cell>
          <cell r="I487">
            <v>80</v>
          </cell>
          <cell r="J487">
            <v>110</v>
          </cell>
          <cell r="K487">
            <v>100</v>
          </cell>
          <cell r="L487">
            <v>4</v>
          </cell>
          <cell r="M487" t="b">
            <v>1</v>
          </cell>
        </row>
        <row r="488">
          <cell r="A488">
            <v>487</v>
          </cell>
          <cell r="B488" t="str">
            <v>Giratina</v>
          </cell>
          <cell r="C488" t="str">
            <v>Ghost</v>
          </cell>
          <cell r="D488" t="str">
            <v>Dragon</v>
          </cell>
          <cell r="E488">
            <v>680</v>
          </cell>
          <cell r="F488">
            <v>150</v>
          </cell>
          <cell r="G488">
            <v>100</v>
          </cell>
          <cell r="H488">
            <v>120</v>
          </cell>
          <cell r="I488">
            <v>100</v>
          </cell>
          <cell r="J488">
            <v>120</v>
          </cell>
          <cell r="K488">
            <v>90</v>
          </cell>
          <cell r="L488">
            <v>4</v>
          </cell>
          <cell r="M488" t="b">
            <v>1</v>
          </cell>
        </row>
        <row r="489">
          <cell r="A489">
            <v>488</v>
          </cell>
          <cell r="B489" t="str">
            <v>Cresselia</v>
          </cell>
          <cell r="C489" t="str">
            <v>Psychic</v>
          </cell>
          <cell r="E489">
            <v>600</v>
          </cell>
          <cell r="F489">
            <v>120</v>
          </cell>
          <cell r="G489">
            <v>70</v>
          </cell>
          <cell r="H489">
            <v>120</v>
          </cell>
          <cell r="I489">
            <v>75</v>
          </cell>
          <cell r="J489">
            <v>130</v>
          </cell>
          <cell r="K489">
            <v>85</v>
          </cell>
          <cell r="L489">
            <v>4</v>
          </cell>
          <cell r="M489" t="b">
            <v>1</v>
          </cell>
        </row>
        <row r="490">
          <cell r="A490">
            <v>489</v>
          </cell>
          <cell r="B490" t="str">
            <v>Phione</v>
          </cell>
          <cell r="C490" t="str">
            <v>Water</v>
          </cell>
          <cell r="E490">
            <v>480</v>
          </cell>
          <cell r="F490">
            <v>80</v>
          </cell>
          <cell r="G490">
            <v>80</v>
          </cell>
          <cell r="H490">
            <v>80</v>
          </cell>
          <cell r="I490">
            <v>80</v>
          </cell>
          <cell r="J490">
            <v>80</v>
          </cell>
          <cell r="K490">
            <v>80</v>
          </cell>
          <cell r="L490">
            <v>4</v>
          </cell>
          <cell r="M490" t="b">
            <v>1</v>
          </cell>
        </row>
        <row r="491">
          <cell r="A491">
            <v>490</v>
          </cell>
          <cell r="B491" t="str">
            <v>Manaphy</v>
          </cell>
          <cell r="C491" t="str">
            <v>Water</v>
          </cell>
          <cell r="E491">
            <v>600</v>
          </cell>
          <cell r="F491">
            <v>100</v>
          </cell>
          <cell r="G491">
            <v>100</v>
          </cell>
          <cell r="H491">
            <v>100</v>
          </cell>
          <cell r="I491">
            <v>100</v>
          </cell>
          <cell r="J491">
            <v>100</v>
          </cell>
          <cell r="K491">
            <v>100</v>
          </cell>
          <cell r="L491">
            <v>4</v>
          </cell>
          <cell r="M491" t="b">
            <v>1</v>
          </cell>
        </row>
        <row r="492">
          <cell r="A492">
            <v>491</v>
          </cell>
          <cell r="B492" t="str">
            <v>Darkrai</v>
          </cell>
          <cell r="C492" t="str">
            <v>Dark</v>
          </cell>
          <cell r="E492">
            <v>600</v>
          </cell>
          <cell r="F492">
            <v>70</v>
          </cell>
          <cell r="G492">
            <v>90</v>
          </cell>
          <cell r="H492">
            <v>90</v>
          </cell>
          <cell r="I492">
            <v>135</v>
          </cell>
          <cell r="J492">
            <v>90</v>
          </cell>
          <cell r="K492">
            <v>125</v>
          </cell>
          <cell r="L492">
            <v>4</v>
          </cell>
          <cell r="M492" t="b">
            <v>1</v>
          </cell>
        </row>
        <row r="493">
          <cell r="A493">
            <v>492</v>
          </cell>
          <cell r="B493" t="str">
            <v>Shaymin</v>
          </cell>
          <cell r="C493" t="str">
            <v>Grass</v>
          </cell>
          <cell r="E493">
            <v>600</v>
          </cell>
          <cell r="F493">
            <v>100</v>
          </cell>
          <cell r="G493">
            <v>100</v>
          </cell>
          <cell r="H493">
            <v>100</v>
          </cell>
          <cell r="I493">
            <v>100</v>
          </cell>
          <cell r="J493">
            <v>100</v>
          </cell>
          <cell r="K493">
            <v>100</v>
          </cell>
          <cell r="L493">
            <v>4</v>
          </cell>
          <cell r="M493" t="b">
            <v>1</v>
          </cell>
        </row>
        <row r="494">
          <cell r="A494">
            <v>493</v>
          </cell>
          <cell r="B494" t="str">
            <v>Arceus</v>
          </cell>
          <cell r="C494" t="str">
            <v>Normal</v>
          </cell>
          <cell r="E494">
            <v>720</v>
          </cell>
          <cell r="F494">
            <v>120</v>
          </cell>
          <cell r="G494">
            <v>120</v>
          </cell>
          <cell r="H494">
            <v>120</v>
          </cell>
          <cell r="I494">
            <v>120</v>
          </cell>
          <cell r="J494">
            <v>120</v>
          </cell>
          <cell r="K494">
            <v>120</v>
          </cell>
          <cell r="L494">
            <v>4</v>
          </cell>
          <cell r="M494" t="b">
            <v>1</v>
          </cell>
        </row>
        <row r="495">
          <cell r="A495">
            <v>494</v>
          </cell>
          <cell r="B495" t="str">
            <v>Victini</v>
          </cell>
          <cell r="C495" t="str">
            <v>Psychic</v>
          </cell>
          <cell r="D495" t="str">
            <v>Fire</v>
          </cell>
          <cell r="E495">
            <v>600</v>
          </cell>
          <cell r="F495">
            <v>100</v>
          </cell>
          <cell r="G495">
            <v>100</v>
          </cell>
          <cell r="H495">
            <v>100</v>
          </cell>
          <cell r="I495">
            <v>100</v>
          </cell>
          <cell r="J495">
            <v>100</v>
          </cell>
          <cell r="K495">
            <v>100</v>
          </cell>
          <cell r="L495">
            <v>5</v>
          </cell>
          <cell r="M495" t="b">
            <v>1</v>
          </cell>
        </row>
        <row r="496">
          <cell r="A496">
            <v>495</v>
          </cell>
          <cell r="B496" t="str">
            <v>Snivy</v>
          </cell>
          <cell r="C496" t="str">
            <v>Grass</v>
          </cell>
          <cell r="E496">
            <v>308</v>
          </cell>
          <cell r="F496">
            <v>45</v>
          </cell>
          <cell r="G496">
            <v>45</v>
          </cell>
          <cell r="H496">
            <v>55</v>
          </cell>
          <cell r="I496">
            <v>45</v>
          </cell>
          <cell r="J496">
            <v>55</v>
          </cell>
          <cell r="K496">
            <v>63</v>
          </cell>
          <cell r="L496">
            <v>5</v>
          </cell>
          <cell r="M496" t="b">
            <v>0</v>
          </cell>
        </row>
        <row r="497">
          <cell r="A497">
            <v>496</v>
          </cell>
          <cell r="B497" t="str">
            <v>Servine</v>
          </cell>
          <cell r="C497" t="str">
            <v>Grass</v>
          </cell>
          <cell r="E497">
            <v>413</v>
          </cell>
          <cell r="F497">
            <v>60</v>
          </cell>
          <cell r="G497">
            <v>60</v>
          </cell>
          <cell r="H497">
            <v>75</v>
          </cell>
          <cell r="I497">
            <v>60</v>
          </cell>
          <cell r="J497">
            <v>75</v>
          </cell>
          <cell r="K497">
            <v>83</v>
          </cell>
          <cell r="L497">
            <v>5</v>
          </cell>
          <cell r="M497" t="b">
            <v>0</v>
          </cell>
        </row>
        <row r="498">
          <cell r="A498">
            <v>497</v>
          </cell>
          <cell r="B498" t="str">
            <v>Serperior</v>
          </cell>
          <cell r="C498" t="str">
            <v>Grass</v>
          </cell>
          <cell r="E498">
            <v>528</v>
          </cell>
          <cell r="F498">
            <v>75</v>
          </cell>
          <cell r="G498">
            <v>75</v>
          </cell>
          <cell r="H498">
            <v>95</v>
          </cell>
          <cell r="I498">
            <v>75</v>
          </cell>
          <cell r="J498">
            <v>95</v>
          </cell>
          <cell r="K498">
            <v>113</v>
          </cell>
          <cell r="L498">
            <v>5</v>
          </cell>
          <cell r="M498" t="b">
            <v>0</v>
          </cell>
        </row>
        <row r="499">
          <cell r="A499">
            <v>498</v>
          </cell>
          <cell r="B499" t="str">
            <v>Tepig</v>
          </cell>
          <cell r="C499" t="str">
            <v>Fire</v>
          </cell>
          <cell r="E499">
            <v>308</v>
          </cell>
          <cell r="F499">
            <v>65</v>
          </cell>
          <cell r="G499">
            <v>63</v>
          </cell>
          <cell r="H499">
            <v>45</v>
          </cell>
          <cell r="I499">
            <v>45</v>
          </cell>
          <cell r="J499">
            <v>45</v>
          </cell>
          <cell r="K499">
            <v>45</v>
          </cell>
          <cell r="L499">
            <v>5</v>
          </cell>
          <cell r="M499" t="b">
            <v>0</v>
          </cell>
        </row>
        <row r="500">
          <cell r="A500">
            <v>499</v>
          </cell>
          <cell r="B500" t="str">
            <v>Pignite</v>
          </cell>
          <cell r="C500" t="str">
            <v>Fire</v>
          </cell>
          <cell r="D500" t="str">
            <v>Fighting</v>
          </cell>
          <cell r="E500">
            <v>418</v>
          </cell>
          <cell r="F500">
            <v>90</v>
          </cell>
          <cell r="G500">
            <v>93</v>
          </cell>
          <cell r="H500">
            <v>55</v>
          </cell>
          <cell r="I500">
            <v>70</v>
          </cell>
          <cell r="J500">
            <v>55</v>
          </cell>
          <cell r="K500">
            <v>55</v>
          </cell>
          <cell r="L500">
            <v>5</v>
          </cell>
          <cell r="M500" t="b">
            <v>0</v>
          </cell>
        </row>
        <row r="501">
          <cell r="A501">
            <v>500</v>
          </cell>
          <cell r="B501" t="str">
            <v>Emboar</v>
          </cell>
          <cell r="C501" t="str">
            <v>Fire</v>
          </cell>
          <cell r="D501" t="str">
            <v>Fighting</v>
          </cell>
          <cell r="E501">
            <v>528</v>
          </cell>
          <cell r="F501">
            <v>110</v>
          </cell>
          <cell r="G501">
            <v>123</v>
          </cell>
          <cell r="H501">
            <v>65</v>
          </cell>
          <cell r="I501">
            <v>100</v>
          </cell>
          <cell r="J501">
            <v>65</v>
          </cell>
          <cell r="K501">
            <v>65</v>
          </cell>
          <cell r="L501">
            <v>5</v>
          </cell>
          <cell r="M501" t="b">
            <v>0</v>
          </cell>
        </row>
        <row r="502">
          <cell r="A502">
            <v>501</v>
          </cell>
          <cell r="B502" t="str">
            <v>Oshawott</v>
          </cell>
          <cell r="C502" t="str">
            <v>Water</v>
          </cell>
          <cell r="E502">
            <v>308</v>
          </cell>
          <cell r="F502">
            <v>55</v>
          </cell>
          <cell r="G502">
            <v>55</v>
          </cell>
          <cell r="H502">
            <v>45</v>
          </cell>
          <cell r="I502">
            <v>63</v>
          </cell>
          <cell r="J502">
            <v>45</v>
          </cell>
          <cell r="K502">
            <v>45</v>
          </cell>
          <cell r="L502">
            <v>5</v>
          </cell>
          <cell r="M502" t="b">
            <v>0</v>
          </cell>
        </row>
        <row r="503">
          <cell r="A503">
            <v>502</v>
          </cell>
          <cell r="B503" t="str">
            <v>Dewott</v>
          </cell>
          <cell r="C503" t="str">
            <v>Water</v>
          </cell>
          <cell r="E503">
            <v>413</v>
          </cell>
          <cell r="F503">
            <v>75</v>
          </cell>
          <cell r="G503">
            <v>75</v>
          </cell>
          <cell r="H503">
            <v>60</v>
          </cell>
          <cell r="I503">
            <v>83</v>
          </cell>
          <cell r="J503">
            <v>60</v>
          </cell>
          <cell r="K503">
            <v>60</v>
          </cell>
          <cell r="L503">
            <v>5</v>
          </cell>
          <cell r="M503" t="b">
            <v>0</v>
          </cell>
        </row>
        <row r="504">
          <cell r="A504">
            <v>503</v>
          </cell>
          <cell r="B504" t="str">
            <v>Samurott</v>
          </cell>
          <cell r="C504" t="str">
            <v>Water</v>
          </cell>
          <cell r="E504">
            <v>528</v>
          </cell>
          <cell r="F504">
            <v>95</v>
          </cell>
          <cell r="G504">
            <v>100</v>
          </cell>
          <cell r="H504">
            <v>85</v>
          </cell>
          <cell r="I504">
            <v>108</v>
          </cell>
          <cell r="J504">
            <v>70</v>
          </cell>
          <cell r="K504">
            <v>70</v>
          </cell>
          <cell r="L504">
            <v>5</v>
          </cell>
          <cell r="M504" t="b">
            <v>0</v>
          </cell>
        </row>
        <row r="505">
          <cell r="A505">
            <v>504</v>
          </cell>
          <cell r="B505" t="str">
            <v>Patrat</v>
          </cell>
          <cell r="C505" t="str">
            <v>Normal</v>
          </cell>
          <cell r="E505">
            <v>255</v>
          </cell>
          <cell r="F505">
            <v>45</v>
          </cell>
          <cell r="G505">
            <v>55</v>
          </cell>
          <cell r="H505">
            <v>39</v>
          </cell>
          <cell r="I505">
            <v>35</v>
          </cell>
          <cell r="J505">
            <v>39</v>
          </cell>
          <cell r="K505">
            <v>42</v>
          </cell>
          <cell r="L505">
            <v>5</v>
          </cell>
          <cell r="M505" t="b">
            <v>0</v>
          </cell>
        </row>
        <row r="506">
          <cell r="A506">
            <v>505</v>
          </cell>
          <cell r="B506" t="str">
            <v>Watchog</v>
          </cell>
          <cell r="C506" t="str">
            <v>Normal</v>
          </cell>
          <cell r="E506">
            <v>420</v>
          </cell>
          <cell r="F506">
            <v>60</v>
          </cell>
          <cell r="G506">
            <v>85</v>
          </cell>
          <cell r="H506">
            <v>69</v>
          </cell>
          <cell r="I506">
            <v>60</v>
          </cell>
          <cell r="J506">
            <v>69</v>
          </cell>
          <cell r="K506">
            <v>77</v>
          </cell>
          <cell r="L506">
            <v>5</v>
          </cell>
          <cell r="M506" t="b">
            <v>0</v>
          </cell>
        </row>
        <row r="507">
          <cell r="A507">
            <v>506</v>
          </cell>
          <cell r="B507" t="str">
            <v>Lillipup</v>
          </cell>
          <cell r="C507" t="str">
            <v>Normal</v>
          </cell>
          <cell r="E507">
            <v>275</v>
          </cell>
          <cell r="F507">
            <v>45</v>
          </cell>
          <cell r="G507">
            <v>60</v>
          </cell>
          <cell r="H507">
            <v>45</v>
          </cell>
          <cell r="I507">
            <v>25</v>
          </cell>
          <cell r="J507">
            <v>45</v>
          </cell>
          <cell r="K507">
            <v>55</v>
          </cell>
          <cell r="L507">
            <v>5</v>
          </cell>
          <cell r="M507" t="b">
            <v>0</v>
          </cell>
        </row>
        <row r="508">
          <cell r="A508">
            <v>507</v>
          </cell>
          <cell r="B508" t="str">
            <v>Herdier</v>
          </cell>
          <cell r="C508" t="str">
            <v>Normal</v>
          </cell>
          <cell r="E508">
            <v>370</v>
          </cell>
          <cell r="F508">
            <v>65</v>
          </cell>
          <cell r="G508">
            <v>80</v>
          </cell>
          <cell r="H508">
            <v>65</v>
          </cell>
          <cell r="I508">
            <v>35</v>
          </cell>
          <cell r="J508">
            <v>65</v>
          </cell>
          <cell r="K508">
            <v>60</v>
          </cell>
          <cell r="L508">
            <v>5</v>
          </cell>
          <cell r="M508" t="b">
            <v>0</v>
          </cell>
        </row>
        <row r="509">
          <cell r="A509">
            <v>508</v>
          </cell>
          <cell r="B509" t="str">
            <v>Stoutland</v>
          </cell>
          <cell r="C509" t="str">
            <v>Normal</v>
          </cell>
          <cell r="E509">
            <v>500</v>
          </cell>
          <cell r="F509">
            <v>85</v>
          </cell>
          <cell r="G509">
            <v>110</v>
          </cell>
          <cell r="H509">
            <v>90</v>
          </cell>
          <cell r="I509">
            <v>45</v>
          </cell>
          <cell r="J509">
            <v>90</v>
          </cell>
          <cell r="K509">
            <v>80</v>
          </cell>
          <cell r="L509">
            <v>5</v>
          </cell>
          <cell r="M509" t="b">
            <v>0</v>
          </cell>
        </row>
        <row r="510">
          <cell r="A510">
            <v>509</v>
          </cell>
          <cell r="B510" t="str">
            <v>Purrloin</v>
          </cell>
          <cell r="C510" t="str">
            <v>Dark</v>
          </cell>
          <cell r="E510">
            <v>281</v>
          </cell>
          <cell r="F510">
            <v>41</v>
          </cell>
          <cell r="G510">
            <v>50</v>
          </cell>
          <cell r="H510">
            <v>37</v>
          </cell>
          <cell r="I510">
            <v>50</v>
          </cell>
          <cell r="J510">
            <v>37</v>
          </cell>
          <cell r="K510">
            <v>66</v>
          </cell>
          <cell r="L510">
            <v>5</v>
          </cell>
          <cell r="M510" t="b">
            <v>0</v>
          </cell>
        </row>
        <row r="511">
          <cell r="A511">
            <v>510</v>
          </cell>
          <cell r="B511" t="str">
            <v>Liepard</v>
          </cell>
          <cell r="C511" t="str">
            <v>Dark</v>
          </cell>
          <cell r="E511">
            <v>446</v>
          </cell>
          <cell r="F511">
            <v>64</v>
          </cell>
          <cell r="G511">
            <v>88</v>
          </cell>
          <cell r="H511">
            <v>50</v>
          </cell>
          <cell r="I511">
            <v>88</v>
          </cell>
          <cell r="J511">
            <v>50</v>
          </cell>
          <cell r="K511">
            <v>106</v>
          </cell>
          <cell r="L511">
            <v>5</v>
          </cell>
          <cell r="M511" t="b">
            <v>0</v>
          </cell>
        </row>
        <row r="512">
          <cell r="A512">
            <v>511</v>
          </cell>
          <cell r="B512" t="str">
            <v>Pansage</v>
          </cell>
          <cell r="C512" t="str">
            <v>Grass</v>
          </cell>
          <cell r="E512">
            <v>316</v>
          </cell>
          <cell r="F512">
            <v>50</v>
          </cell>
          <cell r="G512">
            <v>53</v>
          </cell>
          <cell r="H512">
            <v>48</v>
          </cell>
          <cell r="I512">
            <v>53</v>
          </cell>
          <cell r="J512">
            <v>48</v>
          </cell>
          <cell r="K512">
            <v>64</v>
          </cell>
          <cell r="L512">
            <v>5</v>
          </cell>
          <cell r="M512" t="b">
            <v>0</v>
          </cell>
        </row>
        <row r="513">
          <cell r="A513">
            <v>512</v>
          </cell>
          <cell r="B513" t="str">
            <v>Simisage</v>
          </cell>
          <cell r="C513" t="str">
            <v>Grass</v>
          </cell>
          <cell r="E513">
            <v>498</v>
          </cell>
          <cell r="F513">
            <v>75</v>
          </cell>
          <cell r="G513">
            <v>98</v>
          </cell>
          <cell r="H513">
            <v>63</v>
          </cell>
          <cell r="I513">
            <v>98</v>
          </cell>
          <cell r="J513">
            <v>63</v>
          </cell>
          <cell r="K513">
            <v>101</v>
          </cell>
          <cell r="L513">
            <v>5</v>
          </cell>
          <cell r="M513" t="b">
            <v>0</v>
          </cell>
        </row>
        <row r="514">
          <cell r="A514">
            <v>513</v>
          </cell>
          <cell r="B514" t="str">
            <v>Pansear</v>
          </cell>
          <cell r="C514" t="str">
            <v>Fire</v>
          </cell>
          <cell r="E514">
            <v>316</v>
          </cell>
          <cell r="F514">
            <v>50</v>
          </cell>
          <cell r="G514">
            <v>53</v>
          </cell>
          <cell r="H514">
            <v>48</v>
          </cell>
          <cell r="I514">
            <v>53</v>
          </cell>
          <cell r="J514">
            <v>48</v>
          </cell>
          <cell r="K514">
            <v>64</v>
          </cell>
          <cell r="L514">
            <v>5</v>
          </cell>
          <cell r="M514" t="b">
            <v>0</v>
          </cell>
        </row>
        <row r="515">
          <cell r="A515">
            <v>514</v>
          </cell>
          <cell r="B515" t="str">
            <v>Simisear</v>
          </cell>
          <cell r="C515" t="str">
            <v>Fire</v>
          </cell>
          <cell r="E515">
            <v>498</v>
          </cell>
          <cell r="F515">
            <v>75</v>
          </cell>
          <cell r="G515">
            <v>98</v>
          </cell>
          <cell r="H515">
            <v>63</v>
          </cell>
          <cell r="I515">
            <v>98</v>
          </cell>
          <cell r="J515">
            <v>63</v>
          </cell>
          <cell r="K515">
            <v>101</v>
          </cell>
          <cell r="L515">
            <v>5</v>
          </cell>
          <cell r="M515" t="b">
            <v>0</v>
          </cell>
        </row>
        <row r="516">
          <cell r="A516">
            <v>515</v>
          </cell>
          <cell r="B516" t="str">
            <v>Panpour</v>
          </cell>
          <cell r="C516" t="str">
            <v>Water</v>
          </cell>
          <cell r="E516">
            <v>316</v>
          </cell>
          <cell r="F516">
            <v>50</v>
          </cell>
          <cell r="G516">
            <v>53</v>
          </cell>
          <cell r="H516">
            <v>48</v>
          </cell>
          <cell r="I516">
            <v>53</v>
          </cell>
          <cell r="J516">
            <v>48</v>
          </cell>
          <cell r="K516">
            <v>64</v>
          </cell>
          <cell r="L516">
            <v>5</v>
          </cell>
          <cell r="M516" t="b">
            <v>0</v>
          </cell>
        </row>
        <row r="517">
          <cell r="A517">
            <v>516</v>
          </cell>
          <cell r="B517" t="str">
            <v>Simipour</v>
          </cell>
          <cell r="C517" t="str">
            <v>Water</v>
          </cell>
          <cell r="E517">
            <v>498</v>
          </cell>
          <cell r="F517">
            <v>75</v>
          </cell>
          <cell r="G517">
            <v>98</v>
          </cell>
          <cell r="H517">
            <v>63</v>
          </cell>
          <cell r="I517">
            <v>98</v>
          </cell>
          <cell r="J517">
            <v>63</v>
          </cell>
          <cell r="K517">
            <v>101</v>
          </cell>
          <cell r="L517">
            <v>5</v>
          </cell>
          <cell r="M517" t="b">
            <v>0</v>
          </cell>
        </row>
        <row r="518">
          <cell r="A518">
            <v>517</v>
          </cell>
          <cell r="B518" t="str">
            <v>Munna</v>
          </cell>
          <cell r="C518" t="str">
            <v>Psychic</v>
          </cell>
          <cell r="E518">
            <v>292</v>
          </cell>
          <cell r="F518">
            <v>76</v>
          </cell>
          <cell r="G518">
            <v>25</v>
          </cell>
          <cell r="H518">
            <v>45</v>
          </cell>
          <cell r="I518">
            <v>67</v>
          </cell>
          <cell r="J518">
            <v>55</v>
          </cell>
          <cell r="K518">
            <v>24</v>
          </cell>
          <cell r="L518">
            <v>5</v>
          </cell>
          <cell r="M518" t="b">
            <v>0</v>
          </cell>
        </row>
        <row r="519">
          <cell r="A519">
            <v>518</v>
          </cell>
          <cell r="B519" t="str">
            <v>Musharna</v>
          </cell>
          <cell r="C519" t="str">
            <v>Psychic</v>
          </cell>
          <cell r="E519">
            <v>487</v>
          </cell>
          <cell r="F519">
            <v>116</v>
          </cell>
          <cell r="G519">
            <v>55</v>
          </cell>
          <cell r="H519">
            <v>85</v>
          </cell>
          <cell r="I519">
            <v>107</v>
          </cell>
          <cell r="J519">
            <v>95</v>
          </cell>
          <cell r="K519">
            <v>29</v>
          </cell>
          <cell r="L519">
            <v>5</v>
          </cell>
          <cell r="M519" t="b">
            <v>0</v>
          </cell>
        </row>
        <row r="520">
          <cell r="A520">
            <v>519</v>
          </cell>
          <cell r="B520" t="str">
            <v>Pidove</v>
          </cell>
          <cell r="C520" t="str">
            <v>Normal</v>
          </cell>
          <cell r="D520" t="str">
            <v>Flying</v>
          </cell>
          <cell r="E520">
            <v>264</v>
          </cell>
          <cell r="F520">
            <v>50</v>
          </cell>
          <cell r="G520">
            <v>55</v>
          </cell>
          <cell r="H520">
            <v>50</v>
          </cell>
          <cell r="I520">
            <v>36</v>
          </cell>
          <cell r="J520">
            <v>30</v>
          </cell>
          <cell r="K520">
            <v>43</v>
          </cell>
          <cell r="L520">
            <v>5</v>
          </cell>
          <cell r="M520" t="b">
            <v>0</v>
          </cell>
        </row>
        <row r="521">
          <cell r="A521">
            <v>520</v>
          </cell>
          <cell r="B521" t="str">
            <v>Tranquill</v>
          </cell>
          <cell r="C521" t="str">
            <v>Normal</v>
          </cell>
          <cell r="D521" t="str">
            <v>Flying</v>
          </cell>
          <cell r="E521">
            <v>358</v>
          </cell>
          <cell r="F521">
            <v>62</v>
          </cell>
          <cell r="G521">
            <v>77</v>
          </cell>
          <cell r="H521">
            <v>62</v>
          </cell>
          <cell r="I521">
            <v>50</v>
          </cell>
          <cell r="J521">
            <v>42</v>
          </cell>
          <cell r="K521">
            <v>65</v>
          </cell>
          <cell r="L521">
            <v>5</v>
          </cell>
          <cell r="M521" t="b">
            <v>0</v>
          </cell>
        </row>
        <row r="522">
          <cell r="A522">
            <v>521</v>
          </cell>
          <cell r="B522" t="str">
            <v>Unfezant</v>
          </cell>
          <cell r="C522" t="str">
            <v>Normal</v>
          </cell>
          <cell r="D522" t="str">
            <v>Flying</v>
          </cell>
          <cell r="E522">
            <v>488</v>
          </cell>
          <cell r="F522">
            <v>80</v>
          </cell>
          <cell r="G522">
            <v>115</v>
          </cell>
          <cell r="H522">
            <v>80</v>
          </cell>
          <cell r="I522">
            <v>65</v>
          </cell>
          <cell r="J522">
            <v>55</v>
          </cell>
          <cell r="K522">
            <v>93</v>
          </cell>
          <cell r="L522">
            <v>5</v>
          </cell>
          <cell r="M522" t="b">
            <v>0</v>
          </cell>
        </row>
        <row r="523">
          <cell r="A523">
            <v>522</v>
          </cell>
          <cell r="B523" t="str">
            <v>Blitzle</v>
          </cell>
          <cell r="C523" t="str">
            <v>Electric</v>
          </cell>
          <cell r="E523">
            <v>295</v>
          </cell>
          <cell r="F523">
            <v>45</v>
          </cell>
          <cell r="G523">
            <v>60</v>
          </cell>
          <cell r="H523">
            <v>32</v>
          </cell>
          <cell r="I523">
            <v>50</v>
          </cell>
          <cell r="J523">
            <v>32</v>
          </cell>
          <cell r="K523">
            <v>76</v>
          </cell>
          <cell r="L523">
            <v>5</v>
          </cell>
          <cell r="M523" t="b">
            <v>0</v>
          </cell>
        </row>
        <row r="524">
          <cell r="A524">
            <v>523</v>
          </cell>
          <cell r="B524" t="str">
            <v>Zebstrika</v>
          </cell>
          <cell r="C524" t="str">
            <v>Electric</v>
          </cell>
          <cell r="E524">
            <v>497</v>
          </cell>
          <cell r="F524">
            <v>75</v>
          </cell>
          <cell r="G524">
            <v>100</v>
          </cell>
          <cell r="H524">
            <v>63</v>
          </cell>
          <cell r="I524">
            <v>80</v>
          </cell>
          <cell r="J524">
            <v>63</v>
          </cell>
          <cell r="K524">
            <v>116</v>
          </cell>
          <cell r="L524">
            <v>5</v>
          </cell>
          <cell r="M524" t="b">
            <v>0</v>
          </cell>
        </row>
        <row r="525">
          <cell r="A525">
            <v>524</v>
          </cell>
          <cell r="B525" t="str">
            <v>Roggenrola</v>
          </cell>
          <cell r="C525" t="str">
            <v>Rock</v>
          </cell>
          <cell r="E525">
            <v>280</v>
          </cell>
          <cell r="F525">
            <v>55</v>
          </cell>
          <cell r="G525">
            <v>75</v>
          </cell>
          <cell r="H525">
            <v>85</v>
          </cell>
          <cell r="I525">
            <v>25</v>
          </cell>
          <cell r="J525">
            <v>25</v>
          </cell>
          <cell r="K525">
            <v>15</v>
          </cell>
          <cell r="L525">
            <v>5</v>
          </cell>
          <cell r="M525" t="b">
            <v>0</v>
          </cell>
        </row>
        <row r="526">
          <cell r="A526">
            <v>525</v>
          </cell>
          <cell r="B526" t="str">
            <v>Boldore</v>
          </cell>
          <cell r="C526" t="str">
            <v>Rock</v>
          </cell>
          <cell r="E526">
            <v>390</v>
          </cell>
          <cell r="F526">
            <v>70</v>
          </cell>
          <cell r="G526">
            <v>105</v>
          </cell>
          <cell r="H526">
            <v>105</v>
          </cell>
          <cell r="I526">
            <v>50</v>
          </cell>
          <cell r="J526">
            <v>40</v>
          </cell>
          <cell r="K526">
            <v>20</v>
          </cell>
          <cell r="L526">
            <v>5</v>
          </cell>
          <cell r="M526" t="b">
            <v>0</v>
          </cell>
        </row>
        <row r="527">
          <cell r="A527">
            <v>526</v>
          </cell>
          <cell r="B527" t="str">
            <v>Gigalith</v>
          </cell>
          <cell r="C527" t="str">
            <v>Rock</v>
          </cell>
          <cell r="E527">
            <v>515</v>
          </cell>
          <cell r="F527">
            <v>85</v>
          </cell>
          <cell r="G527">
            <v>135</v>
          </cell>
          <cell r="H527">
            <v>130</v>
          </cell>
          <cell r="I527">
            <v>60</v>
          </cell>
          <cell r="J527">
            <v>80</v>
          </cell>
          <cell r="K527">
            <v>25</v>
          </cell>
          <cell r="L527">
            <v>5</v>
          </cell>
          <cell r="M527" t="b">
            <v>0</v>
          </cell>
        </row>
        <row r="528">
          <cell r="A528">
            <v>527</v>
          </cell>
          <cell r="B528" t="str">
            <v>Woobat</v>
          </cell>
          <cell r="C528" t="str">
            <v>Psychic</v>
          </cell>
          <cell r="D528" t="str">
            <v>Flying</v>
          </cell>
          <cell r="E528">
            <v>313</v>
          </cell>
          <cell r="F528">
            <v>55</v>
          </cell>
          <cell r="G528">
            <v>45</v>
          </cell>
          <cell r="H528">
            <v>43</v>
          </cell>
          <cell r="I528">
            <v>55</v>
          </cell>
          <cell r="J528">
            <v>43</v>
          </cell>
          <cell r="K528">
            <v>72</v>
          </cell>
          <cell r="L528">
            <v>5</v>
          </cell>
          <cell r="M528" t="b">
            <v>0</v>
          </cell>
        </row>
        <row r="529">
          <cell r="A529">
            <v>528</v>
          </cell>
          <cell r="B529" t="str">
            <v>Swoobat</v>
          </cell>
          <cell r="C529" t="str">
            <v>Psychic</v>
          </cell>
          <cell r="D529" t="str">
            <v>Flying</v>
          </cell>
          <cell r="E529">
            <v>425</v>
          </cell>
          <cell r="F529">
            <v>67</v>
          </cell>
          <cell r="G529">
            <v>57</v>
          </cell>
          <cell r="H529">
            <v>55</v>
          </cell>
          <cell r="I529">
            <v>77</v>
          </cell>
          <cell r="J529">
            <v>55</v>
          </cell>
          <cell r="K529">
            <v>114</v>
          </cell>
          <cell r="L529">
            <v>5</v>
          </cell>
          <cell r="M529" t="b">
            <v>0</v>
          </cell>
        </row>
        <row r="530">
          <cell r="A530">
            <v>529</v>
          </cell>
          <cell r="B530" t="str">
            <v>Drilbur</v>
          </cell>
          <cell r="C530" t="str">
            <v>Ground</v>
          </cell>
          <cell r="E530">
            <v>328</v>
          </cell>
          <cell r="F530">
            <v>60</v>
          </cell>
          <cell r="G530">
            <v>85</v>
          </cell>
          <cell r="H530">
            <v>40</v>
          </cell>
          <cell r="I530">
            <v>30</v>
          </cell>
          <cell r="J530">
            <v>45</v>
          </cell>
          <cell r="K530">
            <v>68</v>
          </cell>
          <cell r="L530">
            <v>5</v>
          </cell>
          <cell r="M530" t="b">
            <v>0</v>
          </cell>
        </row>
        <row r="531">
          <cell r="A531">
            <v>530</v>
          </cell>
          <cell r="B531" t="str">
            <v>Excadrill</v>
          </cell>
          <cell r="C531" t="str">
            <v>Ground</v>
          </cell>
          <cell r="D531" t="str">
            <v>Steel</v>
          </cell>
          <cell r="E531">
            <v>508</v>
          </cell>
          <cell r="F531">
            <v>110</v>
          </cell>
          <cell r="G531">
            <v>135</v>
          </cell>
          <cell r="H531">
            <v>60</v>
          </cell>
          <cell r="I531">
            <v>50</v>
          </cell>
          <cell r="J531">
            <v>65</v>
          </cell>
          <cell r="K531">
            <v>88</v>
          </cell>
          <cell r="L531">
            <v>5</v>
          </cell>
          <cell r="M531" t="b">
            <v>0</v>
          </cell>
        </row>
        <row r="532">
          <cell r="A532">
            <v>531</v>
          </cell>
          <cell r="B532" t="str">
            <v>Audino</v>
          </cell>
          <cell r="C532" t="str">
            <v>Normal</v>
          </cell>
          <cell r="E532">
            <v>445</v>
          </cell>
          <cell r="F532">
            <v>103</v>
          </cell>
          <cell r="G532">
            <v>60</v>
          </cell>
          <cell r="H532">
            <v>86</v>
          </cell>
          <cell r="I532">
            <v>60</v>
          </cell>
          <cell r="J532">
            <v>86</v>
          </cell>
          <cell r="K532">
            <v>50</v>
          </cell>
          <cell r="L532">
            <v>5</v>
          </cell>
          <cell r="M532" t="b">
            <v>0</v>
          </cell>
        </row>
        <row r="533">
          <cell r="A533">
            <v>532</v>
          </cell>
          <cell r="B533" t="str">
            <v>Timburr</v>
          </cell>
          <cell r="C533" t="str">
            <v>Fighting</v>
          </cell>
          <cell r="E533">
            <v>305</v>
          </cell>
          <cell r="F533">
            <v>75</v>
          </cell>
          <cell r="G533">
            <v>80</v>
          </cell>
          <cell r="H533">
            <v>55</v>
          </cell>
          <cell r="I533">
            <v>25</v>
          </cell>
          <cell r="J533">
            <v>35</v>
          </cell>
          <cell r="K533">
            <v>35</v>
          </cell>
          <cell r="L533">
            <v>5</v>
          </cell>
          <cell r="M533" t="b">
            <v>0</v>
          </cell>
        </row>
        <row r="534">
          <cell r="A534">
            <v>533</v>
          </cell>
          <cell r="B534" t="str">
            <v>Gurdurr</v>
          </cell>
          <cell r="C534" t="str">
            <v>Fighting</v>
          </cell>
          <cell r="E534">
            <v>405</v>
          </cell>
          <cell r="F534">
            <v>85</v>
          </cell>
          <cell r="G534">
            <v>105</v>
          </cell>
          <cell r="H534">
            <v>85</v>
          </cell>
          <cell r="I534">
            <v>40</v>
          </cell>
          <cell r="J534">
            <v>50</v>
          </cell>
          <cell r="K534">
            <v>40</v>
          </cell>
          <cell r="L534">
            <v>5</v>
          </cell>
          <cell r="M534" t="b">
            <v>0</v>
          </cell>
        </row>
        <row r="535">
          <cell r="A535">
            <v>534</v>
          </cell>
          <cell r="B535" t="str">
            <v>Conkeldurr</v>
          </cell>
          <cell r="C535" t="str">
            <v>Fighting</v>
          </cell>
          <cell r="E535">
            <v>505</v>
          </cell>
          <cell r="F535">
            <v>105</v>
          </cell>
          <cell r="G535">
            <v>140</v>
          </cell>
          <cell r="H535">
            <v>95</v>
          </cell>
          <cell r="I535">
            <v>55</v>
          </cell>
          <cell r="J535">
            <v>65</v>
          </cell>
          <cell r="K535">
            <v>45</v>
          </cell>
          <cell r="L535">
            <v>5</v>
          </cell>
          <cell r="M535" t="b">
            <v>0</v>
          </cell>
        </row>
        <row r="536">
          <cell r="A536">
            <v>535</v>
          </cell>
          <cell r="B536" t="str">
            <v>Tympole</v>
          </cell>
          <cell r="C536" t="str">
            <v>Water</v>
          </cell>
          <cell r="E536">
            <v>294</v>
          </cell>
          <cell r="F536">
            <v>50</v>
          </cell>
          <cell r="G536">
            <v>50</v>
          </cell>
          <cell r="H536">
            <v>40</v>
          </cell>
          <cell r="I536">
            <v>50</v>
          </cell>
          <cell r="J536">
            <v>40</v>
          </cell>
          <cell r="K536">
            <v>64</v>
          </cell>
          <cell r="L536">
            <v>5</v>
          </cell>
          <cell r="M536" t="b">
            <v>0</v>
          </cell>
        </row>
        <row r="537">
          <cell r="A537">
            <v>536</v>
          </cell>
          <cell r="B537" t="str">
            <v>Palpitoad</v>
          </cell>
          <cell r="C537" t="str">
            <v>Water</v>
          </cell>
          <cell r="D537" t="str">
            <v>Ground</v>
          </cell>
          <cell r="E537">
            <v>384</v>
          </cell>
          <cell r="F537">
            <v>75</v>
          </cell>
          <cell r="G537">
            <v>65</v>
          </cell>
          <cell r="H537">
            <v>55</v>
          </cell>
          <cell r="I537">
            <v>65</v>
          </cell>
          <cell r="J537">
            <v>55</v>
          </cell>
          <cell r="K537">
            <v>69</v>
          </cell>
          <cell r="L537">
            <v>5</v>
          </cell>
          <cell r="M537" t="b">
            <v>0</v>
          </cell>
        </row>
        <row r="538">
          <cell r="A538">
            <v>537</v>
          </cell>
          <cell r="B538" t="str">
            <v>Seismitoad</v>
          </cell>
          <cell r="C538" t="str">
            <v>Water</v>
          </cell>
          <cell r="D538" t="str">
            <v>Ground</v>
          </cell>
          <cell r="E538">
            <v>509</v>
          </cell>
          <cell r="F538">
            <v>105</v>
          </cell>
          <cell r="G538">
            <v>95</v>
          </cell>
          <cell r="H538">
            <v>75</v>
          </cell>
          <cell r="I538">
            <v>85</v>
          </cell>
          <cell r="J538">
            <v>75</v>
          </cell>
          <cell r="K538">
            <v>74</v>
          </cell>
          <cell r="L538">
            <v>5</v>
          </cell>
          <cell r="M538" t="b">
            <v>0</v>
          </cell>
        </row>
        <row r="539">
          <cell r="A539">
            <v>538</v>
          </cell>
          <cell r="B539" t="str">
            <v>Throh</v>
          </cell>
          <cell r="C539" t="str">
            <v>Fighting</v>
          </cell>
          <cell r="E539">
            <v>465</v>
          </cell>
          <cell r="F539">
            <v>120</v>
          </cell>
          <cell r="G539">
            <v>100</v>
          </cell>
          <cell r="H539">
            <v>85</v>
          </cell>
          <cell r="I539">
            <v>30</v>
          </cell>
          <cell r="J539">
            <v>85</v>
          </cell>
          <cell r="K539">
            <v>45</v>
          </cell>
          <cell r="L539">
            <v>5</v>
          </cell>
          <cell r="M539" t="b">
            <v>0</v>
          </cell>
        </row>
        <row r="540">
          <cell r="A540">
            <v>539</v>
          </cell>
          <cell r="B540" t="str">
            <v>Sawk</v>
          </cell>
          <cell r="C540" t="str">
            <v>Fighting</v>
          </cell>
          <cell r="E540">
            <v>465</v>
          </cell>
          <cell r="F540">
            <v>75</v>
          </cell>
          <cell r="G540">
            <v>125</v>
          </cell>
          <cell r="H540">
            <v>75</v>
          </cell>
          <cell r="I540">
            <v>30</v>
          </cell>
          <cell r="J540">
            <v>75</v>
          </cell>
          <cell r="K540">
            <v>85</v>
          </cell>
          <cell r="L540">
            <v>5</v>
          </cell>
          <cell r="M540" t="b">
            <v>0</v>
          </cell>
        </row>
        <row r="541">
          <cell r="A541">
            <v>540</v>
          </cell>
          <cell r="B541" t="str">
            <v>Sewaddle</v>
          </cell>
          <cell r="C541" t="str">
            <v>Bug</v>
          </cell>
          <cell r="D541" t="str">
            <v>Grass</v>
          </cell>
          <cell r="E541">
            <v>310</v>
          </cell>
          <cell r="F541">
            <v>45</v>
          </cell>
          <cell r="G541">
            <v>53</v>
          </cell>
          <cell r="H541">
            <v>70</v>
          </cell>
          <cell r="I541">
            <v>40</v>
          </cell>
          <cell r="J541">
            <v>60</v>
          </cell>
          <cell r="K541">
            <v>42</v>
          </cell>
          <cell r="L541">
            <v>5</v>
          </cell>
          <cell r="M541" t="b">
            <v>0</v>
          </cell>
        </row>
        <row r="542">
          <cell r="A542">
            <v>541</v>
          </cell>
          <cell r="B542" t="str">
            <v>Swadloon</v>
          </cell>
          <cell r="C542" t="str">
            <v>Bug</v>
          </cell>
          <cell r="D542" t="str">
            <v>Grass</v>
          </cell>
          <cell r="E542">
            <v>380</v>
          </cell>
          <cell r="F542">
            <v>55</v>
          </cell>
          <cell r="G542">
            <v>63</v>
          </cell>
          <cell r="H542">
            <v>90</v>
          </cell>
          <cell r="I542">
            <v>50</v>
          </cell>
          <cell r="J542">
            <v>80</v>
          </cell>
          <cell r="K542">
            <v>42</v>
          </cell>
          <cell r="L542">
            <v>5</v>
          </cell>
          <cell r="M542" t="b">
            <v>0</v>
          </cell>
        </row>
        <row r="543">
          <cell r="A543">
            <v>542</v>
          </cell>
          <cell r="B543" t="str">
            <v>Leavanny</v>
          </cell>
          <cell r="C543" t="str">
            <v>Bug</v>
          </cell>
          <cell r="D543" t="str">
            <v>Grass</v>
          </cell>
          <cell r="E543">
            <v>500</v>
          </cell>
          <cell r="F543">
            <v>75</v>
          </cell>
          <cell r="G543">
            <v>103</v>
          </cell>
          <cell r="H543">
            <v>80</v>
          </cell>
          <cell r="I543">
            <v>70</v>
          </cell>
          <cell r="J543">
            <v>80</v>
          </cell>
          <cell r="K543">
            <v>92</v>
          </cell>
          <cell r="L543">
            <v>5</v>
          </cell>
          <cell r="M543" t="b">
            <v>0</v>
          </cell>
        </row>
        <row r="544">
          <cell r="A544">
            <v>543</v>
          </cell>
          <cell r="B544" t="str">
            <v>Venipede</v>
          </cell>
          <cell r="C544" t="str">
            <v>Bug</v>
          </cell>
          <cell r="D544" t="str">
            <v>Poison</v>
          </cell>
          <cell r="E544">
            <v>260</v>
          </cell>
          <cell r="F544">
            <v>30</v>
          </cell>
          <cell r="G544">
            <v>45</v>
          </cell>
          <cell r="H544">
            <v>59</v>
          </cell>
          <cell r="I544">
            <v>30</v>
          </cell>
          <cell r="J544">
            <v>39</v>
          </cell>
          <cell r="K544">
            <v>57</v>
          </cell>
          <cell r="L544">
            <v>5</v>
          </cell>
          <cell r="M544" t="b">
            <v>0</v>
          </cell>
        </row>
        <row r="545">
          <cell r="A545">
            <v>544</v>
          </cell>
          <cell r="B545" t="str">
            <v>Whirlipede</v>
          </cell>
          <cell r="C545" t="str">
            <v>Bug</v>
          </cell>
          <cell r="D545" t="str">
            <v>Poison</v>
          </cell>
          <cell r="E545">
            <v>360</v>
          </cell>
          <cell r="F545">
            <v>40</v>
          </cell>
          <cell r="G545">
            <v>55</v>
          </cell>
          <cell r="H545">
            <v>99</v>
          </cell>
          <cell r="I545">
            <v>40</v>
          </cell>
          <cell r="J545">
            <v>79</v>
          </cell>
          <cell r="K545">
            <v>47</v>
          </cell>
          <cell r="L545">
            <v>5</v>
          </cell>
          <cell r="M545" t="b">
            <v>0</v>
          </cell>
        </row>
        <row r="546">
          <cell r="A546">
            <v>545</v>
          </cell>
          <cell r="B546" t="str">
            <v>Scolipede</v>
          </cell>
          <cell r="C546" t="str">
            <v>Bug</v>
          </cell>
          <cell r="D546" t="str">
            <v>Poison</v>
          </cell>
          <cell r="E546">
            <v>485</v>
          </cell>
          <cell r="F546">
            <v>60</v>
          </cell>
          <cell r="G546">
            <v>100</v>
          </cell>
          <cell r="H546">
            <v>89</v>
          </cell>
          <cell r="I546">
            <v>55</v>
          </cell>
          <cell r="J546">
            <v>69</v>
          </cell>
          <cell r="K546">
            <v>112</v>
          </cell>
          <cell r="L546">
            <v>5</v>
          </cell>
          <cell r="M546" t="b">
            <v>0</v>
          </cell>
        </row>
        <row r="547">
          <cell r="A547">
            <v>546</v>
          </cell>
          <cell r="B547" t="str">
            <v>Cottonee</v>
          </cell>
          <cell r="C547" t="str">
            <v>Grass</v>
          </cell>
          <cell r="D547" t="str">
            <v>Fairy</v>
          </cell>
          <cell r="E547">
            <v>280</v>
          </cell>
          <cell r="F547">
            <v>40</v>
          </cell>
          <cell r="G547">
            <v>27</v>
          </cell>
          <cell r="H547">
            <v>60</v>
          </cell>
          <cell r="I547">
            <v>37</v>
          </cell>
          <cell r="J547">
            <v>50</v>
          </cell>
          <cell r="K547">
            <v>66</v>
          </cell>
          <cell r="L547">
            <v>5</v>
          </cell>
          <cell r="M547" t="b">
            <v>0</v>
          </cell>
        </row>
        <row r="548">
          <cell r="A548">
            <v>547</v>
          </cell>
          <cell r="B548" t="str">
            <v>Whimsicott</v>
          </cell>
          <cell r="C548" t="str">
            <v>Grass</v>
          </cell>
          <cell r="D548" t="str">
            <v>Fairy</v>
          </cell>
          <cell r="E548">
            <v>480</v>
          </cell>
          <cell r="F548">
            <v>60</v>
          </cell>
          <cell r="G548">
            <v>67</v>
          </cell>
          <cell r="H548">
            <v>85</v>
          </cell>
          <cell r="I548">
            <v>77</v>
          </cell>
          <cell r="J548">
            <v>75</v>
          </cell>
          <cell r="K548">
            <v>116</v>
          </cell>
          <cell r="L548">
            <v>5</v>
          </cell>
          <cell r="M548" t="b">
            <v>0</v>
          </cell>
        </row>
        <row r="549">
          <cell r="A549">
            <v>548</v>
          </cell>
          <cell r="B549" t="str">
            <v>Petilil</v>
          </cell>
          <cell r="C549" t="str">
            <v>Grass</v>
          </cell>
          <cell r="E549">
            <v>280</v>
          </cell>
          <cell r="F549">
            <v>45</v>
          </cell>
          <cell r="G549">
            <v>35</v>
          </cell>
          <cell r="H549">
            <v>50</v>
          </cell>
          <cell r="I549">
            <v>70</v>
          </cell>
          <cell r="J549">
            <v>50</v>
          </cell>
          <cell r="K549">
            <v>30</v>
          </cell>
          <cell r="L549">
            <v>5</v>
          </cell>
          <cell r="M549" t="b">
            <v>0</v>
          </cell>
        </row>
        <row r="550">
          <cell r="A550">
            <v>549</v>
          </cell>
          <cell r="B550" t="str">
            <v>Lilligant</v>
          </cell>
          <cell r="C550" t="str">
            <v>Grass</v>
          </cell>
          <cell r="E550">
            <v>480</v>
          </cell>
          <cell r="F550">
            <v>70</v>
          </cell>
          <cell r="G550">
            <v>60</v>
          </cell>
          <cell r="H550">
            <v>75</v>
          </cell>
          <cell r="I550">
            <v>110</v>
          </cell>
          <cell r="J550">
            <v>75</v>
          </cell>
          <cell r="K550">
            <v>90</v>
          </cell>
          <cell r="L550">
            <v>5</v>
          </cell>
          <cell r="M550" t="b">
            <v>0</v>
          </cell>
        </row>
        <row r="551">
          <cell r="A551">
            <v>550</v>
          </cell>
          <cell r="B551" t="str">
            <v>Basculin</v>
          </cell>
          <cell r="C551" t="str">
            <v>Water</v>
          </cell>
          <cell r="E551">
            <v>460</v>
          </cell>
          <cell r="F551">
            <v>70</v>
          </cell>
          <cell r="G551">
            <v>92</v>
          </cell>
          <cell r="H551">
            <v>65</v>
          </cell>
          <cell r="I551">
            <v>80</v>
          </cell>
          <cell r="J551">
            <v>55</v>
          </cell>
          <cell r="K551">
            <v>98</v>
          </cell>
          <cell r="L551">
            <v>5</v>
          </cell>
          <cell r="M551" t="b">
            <v>0</v>
          </cell>
        </row>
        <row r="552">
          <cell r="A552">
            <v>551</v>
          </cell>
          <cell r="B552" t="str">
            <v>Sandile</v>
          </cell>
          <cell r="C552" t="str">
            <v>Ground</v>
          </cell>
          <cell r="D552" t="str">
            <v>Dark</v>
          </cell>
          <cell r="E552">
            <v>292</v>
          </cell>
          <cell r="F552">
            <v>50</v>
          </cell>
          <cell r="G552">
            <v>72</v>
          </cell>
          <cell r="H552">
            <v>35</v>
          </cell>
          <cell r="I552">
            <v>35</v>
          </cell>
          <cell r="J552">
            <v>35</v>
          </cell>
          <cell r="K552">
            <v>65</v>
          </cell>
          <cell r="L552">
            <v>5</v>
          </cell>
          <cell r="M552" t="b">
            <v>0</v>
          </cell>
        </row>
        <row r="553">
          <cell r="A553">
            <v>552</v>
          </cell>
          <cell r="B553" t="str">
            <v>Krokorok</v>
          </cell>
          <cell r="C553" t="str">
            <v>Ground</v>
          </cell>
          <cell r="D553" t="str">
            <v>Dark</v>
          </cell>
          <cell r="E553">
            <v>351</v>
          </cell>
          <cell r="F553">
            <v>60</v>
          </cell>
          <cell r="G553">
            <v>82</v>
          </cell>
          <cell r="H553">
            <v>45</v>
          </cell>
          <cell r="I553">
            <v>45</v>
          </cell>
          <cell r="J553">
            <v>45</v>
          </cell>
          <cell r="K553">
            <v>74</v>
          </cell>
          <cell r="L553">
            <v>5</v>
          </cell>
          <cell r="M553" t="b">
            <v>0</v>
          </cell>
        </row>
        <row r="554">
          <cell r="A554">
            <v>553</v>
          </cell>
          <cell r="B554" t="str">
            <v>Krookodile</v>
          </cell>
          <cell r="C554" t="str">
            <v>Ground</v>
          </cell>
          <cell r="D554" t="str">
            <v>Dark</v>
          </cell>
          <cell r="E554">
            <v>519</v>
          </cell>
          <cell r="F554">
            <v>95</v>
          </cell>
          <cell r="G554">
            <v>117</v>
          </cell>
          <cell r="H554">
            <v>80</v>
          </cell>
          <cell r="I554">
            <v>65</v>
          </cell>
          <cell r="J554">
            <v>70</v>
          </cell>
          <cell r="K554">
            <v>92</v>
          </cell>
          <cell r="L554">
            <v>5</v>
          </cell>
          <cell r="M554" t="b">
            <v>0</v>
          </cell>
        </row>
        <row r="555">
          <cell r="A555">
            <v>554</v>
          </cell>
          <cell r="B555" t="str">
            <v>Darumaka</v>
          </cell>
          <cell r="C555" t="str">
            <v>Fire</v>
          </cell>
          <cell r="E555">
            <v>315</v>
          </cell>
          <cell r="F555">
            <v>70</v>
          </cell>
          <cell r="G555">
            <v>90</v>
          </cell>
          <cell r="H555">
            <v>45</v>
          </cell>
          <cell r="I555">
            <v>15</v>
          </cell>
          <cell r="J555">
            <v>45</v>
          </cell>
          <cell r="K555">
            <v>50</v>
          </cell>
          <cell r="L555">
            <v>5</v>
          </cell>
          <cell r="M555" t="b">
            <v>0</v>
          </cell>
        </row>
        <row r="556">
          <cell r="A556">
            <v>555</v>
          </cell>
          <cell r="B556" t="str">
            <v>Darmanitan</v>
          </cell>
          <cell r="C556" t="str">
            <v>Fire</v>
          </cell>
          <cell r="E556">
            <v>480</v>
          </cell>
          <cell r="F556">
            <v>105</v>
          </cell>
          <cell r="G556">
            <v>140</v>
          </cell>
          <cell r="H556">
            <v>55</v>
          </cell>
          <cell r="I556">
            <v>30</v>
          </cell>
          <cell r="J556">
            <v>55</v>
          </cell>
          <cell r="K556">
            <v>95</v>
          </cell>
          <cell r="L556">
            <v>5</v>
          </cell>
          <cell r="M556" t="b">
            <v>0</v>
          </cell>
        </row>
        <row r="557">
          <cell r="A557">
            <v>556</v>
          </cell>
          <cell r="B557" t="str">
            <v>Maractus</v>
          </cell>
          <cell r="C557" t="str">
            <v>Grass</v>
          </cell>
          <cell r="E557">
            <v>461</v>
          </cell>
          <cell r="F557">
            <v>75</v>
          </cell>
          <cell r="G557">
            <v>86</v>
          </cell>
          <cell r="H557">
            <v>67</v>
          </cell>
          <cell r="I557">
            <v>106</v>
          </cell>
          <cell r="J557">
            <v>67</v>
          </cell>
          <cell r="K557">
            <v>60</v>
          </cell>
          <cell r="L557">
            <v>5</v>
          </cell>
          <cell r="M557" t="b">
            <v>0</v>
          </cell>
        </row>
        <row r="558">
          <cell r="A558">
            <v>557</v>
          </cell>
          <cell r="B558" t="str">
            <v>Dwebble</v>
          </cell>
          <cell r="C558" t="str">
            <v>Bug</v>
          </cell>
          <cell r="D558" t="str">
            <v>Rock</v>
          </cell>
          <cell r="E558">
            <v>325</v>
          </cell>
          <cell r="F558">
            <v>50</v>
          </cell>
          <cell r="G558">
            <v>65</v>
          </cell>
          <cell r="H558">
            <v>85</v>
          </cell>
          <cell r="I558">
            <v>35</v>
          </cell>
          <cell r="J558">
            <v>35</v>
          </cell>
          <cell r="K558">
            <v>55</v>
          </cell>
          <cell r="L558">
            <v>5</v>
          </cell>
          <cell r="M558" t="b">
            <v>0</v>
          </cell>
        </row>
        <row r="559">
          <cell r="A559">
            <v>558</v>
          </cell>
          <cell r="B559" t="str">
            <v>Crustle</v>
          </cell>
          <cell r="C559" t="str">
            <v>Bug</v>
          </cell>
          <cell r="D559" t="str">
            <v>Rock</v>
          </cell>
          <cell r="E559">
            <v>475</v>
          </cell>
          <cell r="F559">
            <v>70</v>
          </cell>
          <cell r="G559">
            <v>95</v>
          </cell>
          <cell r="H559">
            <v>125</v>
          </cell>
          <cell r="I559">
            <v>65</v>
          </cell>
          <cell r="J559">
            <v>75</v>
          </cell>
          <cell r="K559">
            <v>45</v>
          </cell>
          <cell r="L559">
            <v>5</v>
          </cell>
          <cell r="M559" t="b">
            <v>0</v>
          </cell>
        </row>
        <row r="560">
          <cell r="A560">
            <v>559</v>
          </cell>
          <cell r="B560" t="str">
            <v>Scraggy</v>
          </cell>
          <cell r="C560" t="str">
            <v>Dark</v>
          </cell>
          <cell r="D560" t="str">
            <v>Fighting</v>
          </cell>
          <cell r="E560">
            <v>348</v>
          </cell>
          <cell r="F560">
            <v>50</v>
          </cell>
          <cell r="G560">
            <v>75</v>
          </cell>
          <cell r="H560">
            <v>70</v>
          </cell>
          <cell r="I560">
            <v>35</v>
          </cell>
          <cell r="J560">
            <v>70</v>
          </cell>
          <cell r="K560">
            <v>48</v>
          </cell>
          <cell r="L560">
            <v>5</v>
          </cell>
          <cell r="M560" t="b">
            <v>0</v>
          </cell>
        </row>
        <row r="561">
          <cell r="A561">
            <v>560</v>
          </cell>
          <cell r="B561" t="str">
            <v>Scrafty</v>
          </cell>
          <cell r="C561" t="str">
            <v>Dark</v>
          </cell>
          <cell r="D561" t="str">
            <v>Fighting</v>
          </cell>
          <cell r="E561">
            <v>488</v>
          </cell>
          <cell r="F561">
            <v>65</v>
          </cell>
          <cell r="G561">
            <v>90</v>
          </cell>
          <cell r="H561">
            <v>115</v>
          </cell>
          <cell r="I561">
            <v>45</v>
          </cell>
          <cell r="J561">
            <v>115</v>
          </cell>
          <cell r="K561">
            <v>58</v>
          </cell>
          <cell r="L561">
            <v>5</v>
          </cell>
          <cell r="M561" t="b">
            <v>0</v>
          </cell>
        </row>
        <row r="562">
          <cell r="A562">
            <v>561</v>
          </cell>
          <cell r="B562" t="str">
            <v>Sigilyph</v>
          </cell>
          <cell r="C562" t="str">
            <v>Psychic</v>
          </cell>
          <cell r="D562" t="str">
            <v>Flying</v>
          </cell>
          <cell r="E562">
            <v>490</v>
          </cell>
          <cell r="F562">
            <v>72</v>
          </cell>
          <cell r="G562">
            <v>58</v>
          </cell>
          <cell r="H562">
            <v>80</v>
          </cell>
          <cell r="I562">
            <v>103</v>
          </cell>
          <cell r="J562">
            <v>80</v>
          </cell>
          <cell r="K562">
            <v>97</v>
          </cell>
          <cell r="L562">
            <v>5</v>
          </cell>
          <cell r="M562" t="b">
            <v>0</v>
          </cell>
        </row>
        <row r="563">
          <cell r="A563">
            <v>562</v>
          </cell>
          <cell r="B563" t="str">
            <v>Yamask</v>
          </cell>
          <cell r="C563" t="str">
            <v>Ghost</v>
          </cell>
          <cell r="E563">
            <v>303</v>
          </cell>
          <cell r="F563">
            <v>38</v>
          </cell>
          <cell r="G563">
            <v>30</v>
          </cell>
          <cell r="H563">
            <v>85</v>
          </cell>
          <cell r="I563">
            <v>55</v>
          </cell>
          <cell r="J563">
            <v>65</v>
          </cell>
          <cell r="K563">
            <v>30</v>
          </cell>
          <cell r="L563">
            <v>5</v>
          </cell>
          <cell r="M563" t="b">
            <v>0</v>
          </cell>
        </row>
        <row r="564">
          <cell r="A564">
            <v>563</v>
          </cell>
          <cell r="B564" t="str">
            <v>Cofagrigus</v>
          </cell>
          <cell r="C564" t="str">
            <v>Ghost</v>
          </cell>
          <cell r="E564">
            <v>483</v>
          </cell>
          <cell r="F564">
            <v>58</v>
          </cell>
          <cell r="G564">
            <v>50</v>
          </cell>
          <cell r="H564">
            <v>145</v>
          </cell>
          <cell r="I564">
            <v>95</v>
          </cell>
          <cell r="J564">
            <v>105</v>
          </cell>
          <cell r="K564">
            <v>30</v>
          </cell>
          <cell r="L564">
            <v>5</v>
          </cell>
          <cell r="M564" t="b">
            <v>0</v>
          </cell>
        </row>
        <row r="565">
          <cell r="A565">
            <v>564</v>
          </cell>
          <cell r="B565" t="str">
            <v>Tirtouga</v>
          </cell>
          <cell r="C565" t="str">
            <v>Water</v>
          </cell>
          <cell r="D565" t="str">
            <v>Rock</v>
          </cell>
          <cell r="E565">
            <v>355</v>
          </cell>
          <cell r="F565">
            <v>54</v>
          </cell>
          <cell r="G565">
            <v>78</v>
          </cell>
          <cell r="H565">
            <v>103</v>
          </cell>
          <cell r="I565">
            <v>53</v>
          </cell>
          <cell r="J565">
            <v>45</v>
          </cell>
          <cell r="K565">
            <v>22</v>
          </cell>
          <cell r="L565">
            <v>5</v>
          </cell>
          <cell r="M565" t="b">
            <v>0</v>
          </cell>
        </row>
        <row r="566">
          <cell r="A566">
            <v>565</v>
          </cell>
          <cell r="B566" t="str">
            <v>Carracosta</v>
          </cell>
          <cell r="C566" t="str">
            <v>Water</v>
          </cell>
          <cell r="D566" t="str">
            <v>Rock</v>
          </cell>
          <cell r="E566">
            <v>495</v>
          </cell>
          <cell r="F566">
            <v>74</v>
          </cell>
          <cell r="G566">
            <v>108</v>
          </cell>
          <cell r="H566">
            <v>133</v>
          </cell>
          <cell r="I566">
            <v>83</v>
          </cell>
          <cell r="J566">
            <v>65</v>
          </cell>
          <cell r="K566">
            <v>32</v>
          </cell>
          <cell r="L566">
            <v>5</v>
          </cell>
          <cell r="M566" t="b">
            <v>0</v>
          </cell>
        </row>
        <row r="567">
          <cell r="A567">
            <v>566</v>
          </cell>
          <cell r="B567" t="str">
            <v>Archen</v>
          </cell>
          <cell r="C567" t="str">
            <v>Rock</v>
          </cell>
          <cell r="D567" t="str">
            <v>Flying</v>
          </cell>
          <cell r="E567">
            <v>401</v>
          </cell>
          <cell r="F567">
            <v>55</v>
          </cell>
          <cell r="G567">
            <v>112</v>
          </cell>
          <cell r="H567">
            <v>45</v>
          </cell>
          <cell r="I567">
            <v>74</v>
          </cell>
          <cell r="J567">
            <v>45</v>
          </cell>
          <cell r="K567">
            <v>70</v>
          </cell>
          <cell r="L567">
            <v>5</v>
          </cell>
          <cell r="M567" t="b">
            <v>0</v>
          </cell>
        </row>
        <row r="568">
          <cell r="A568">
            <v>567</v>
          </cell>
          <cell r="B568" t="str">
            <v>Archeops</v>
          </cell>
          <cell r="C568" t="str">
            <v>Rock</v>
          </cell>
          <cell r="D568" t="str">
            <v>Flying</v>
          </cell>
          <cell r="E568">
            <v>567</v>
          </cell>
          <cell r="F568">
            <v>75</v>
          </cell>
          <cell r="G568">
            <v>140</v>
          </cell>
          <cell r="H568">
            <v>65</v>
          </cell>
          <cell r="I568">
            <v>112</v>
          </cell>
          <cell r="J568">
            <v>65</v>
          </cell>
          <cell r="K568">
            <v>110</v>
          </cell>
          <cell r="L568">
            <v>5</v>
          </cell>
          <cell r="M568" t="b">
            <v>0</v>
          </cell>
        </row>
        <row r="569">
          <cell r="A569">
            <v>568</v>
          </cell>
          <cell r="B569" t="str">
            <v>Trubbish</v>
          </cell>
          <cell r="C569" t="str">
            <v>Poison</v>
          </cell>
          <cell r="E569">
            <v>329</v>
          </cell>
          <cell r="F569">
            <v>50</v>
          </cell>
          <cell r="G569">
            <v>50</v>
          </cell>
          <cell r="H569">
            <v>62</v>
          </cell>
          <cell r="I569">
            <v>40</v>
          </cell>
          <cell r="J569">
            <v>62</v>
          </cell>
          <cell r="K569">
            <v>65</v>
          </cell>
          <cell r="L569">
            <v>5</v>
          </cell>
          <cell r="M569" t="b">
            <v>0</v>
          </cell>
        </row>
        <row r="570">
          <cell r="A570">
            <v>569</v>
          </cell>
          <cell r="B570" t="str">
            <v>Garbodor</v>
          </cell>
          <cell r="C570" t="str">
            <v>Poison</v>
          </cell>
          <cell r="E570">
            <v>474</v>
          </cell>
          <cell r="F570">
            <v>80</v>
          </cell>
          <cell r="G570">
            <v>95</v>
          </cell>
          <cell r="H570">
            <v>82</v>
          </cell>
          <cell r="I570">
            <v>60</v>
          </cell>
          <cell r="J570">
            <v>82</v>
          </cell>
          <cell r="K570">
            <v>75</v>
          </cell>
          <cell r="L570">
            <v>5</v>
          </cell>
          <cell r="M570" t="b">
            <v>0</v>
          </cell>
        </row>
        <row r="571">
          <cell r="A571">
            <v>570</v>
          </cell>
          <cell r="B571" t="str">
            <v>Zorua</v>
          </cell>
          <cell r="C571" t="str">
            <v>Dark</v>
          </cell>
          <cell r="E571">
            <v>330</v>
          </cell>
          <cell r="F571">
            <v>40</v>
          </cell>
          <cell r="G571">
            <v>65</v>
          </cell>
          <cell r="H571">
            <v>40</v>
          </cell>
          <cell r="I571">
            <v>80</v>
          </cell>
          <cell r="J571">
            <v>40</v>
          </cell>
          <cell r="K571">
            <v>65</v>
          </cell>
          <cell r="L571">
            <v>5</v>
          </cell>
          <cell r="M571" t="b">
            <v>0</v>
          </cell>
        </row>
        <row r="572">
          <cell r="A572">
            <v>571</v>
          </cell>
          <cell r="B572" t="str">
            <v>Zoroark</v>
          </cell>
          <cell r="C572" t="str">
            <v>Dark</v>
          </cell>
          <cell r="E572">
            <v>510</v>
          </cell>
          <cell r="F572">
            <v>60</v>
          </cell>
          <cell r="G572">
            <v>105</v>
          </cell>
          <cell r="H572">
            <v>60</v>
          </cell>
          <cell r="I572">
            <v>120</v>
          </cell>
          <cell r="J572">
            <v>60</v>
          </cell>
          <cell r="K572">
            <v>105</v>
          </cell>
          <cell r="L572">
            <v>5</v>
          </cell>
          <cell r="M572" t="b">
            <v>0</v>
          </cell>
        </row>
        <row r="573">
          <cell r="A573">
            <v>572</v>
          </cell>
          <cell r="B573" t="str">
            <v>Minccino</v>
          </cell>
          <cell r="C573" t="str">
            <v>Normal</v>
          </cell>
          <cell r="E573">
            <v>300</v>
          </cell>
          <cell r="F573">
            <v>55</v>
          </cell>
          <cell r="G573">
            <v>50</v>
          </cell>
          <cell r="H573">
            <v>40</v>
          </cell>
          <cell r="I573">
            <v>40</v>
          </cell>
          <cell r="J573">
            <v>40</v>
          </cell>
          <cell r="K573">
            <v>75</v>
          </cell>
          <cell r="L573">
            <v>5</v>
          </cell>
          <cell r="M573" t="b">
            <v>0</v>
          </cell>
        </row>
        <row r="574">
          <cell r="A574">
            <v>573</v>
          </cell>
          <cell r="B574" t="str">
            <v>Cinccino</v>
          </cell>
          <cell r="C574" t="str">
            <v>Normal</v>
          </cell>
          <cell r="E574">
            <v>470</v>
          </cell>
          <cell r="F574">
            <v>75</v>
          </cell>
          <cell r="G574">
            <v>95</v>
          </cell>
          <cell r="H574">
            <v>60</v>
          </cell>
          <cell r="I574">
            <v>65</v>
          </cell>
          <cell r="J574">
            <v>60</v>
          </cell>
          <cell r="K574">
            <v>115</v>
          </cell>
          <cell r="L574">
            <v>5</v>
          </cell>
          <cell r="M574" t="b">
            <v>0</v>
          </cell>
        </row>
        <row r="575">
          <cell r="A575">
            <v>574</v>
          </cell>
          <cell r="B575" t="str">
            <v>Gothita</v>
          </cell>
          <cell r="C575" t="str">
            <v>Psychic</v>
          </cell>
          <cell r="E575">
            <v>290</v>
          </cell>
          <cell r="F575">
            <v>45</v>
          </cell>
          <cell r="G575">
            <v>30</v>
          </cell>
          <cell r="H575">
            <v>50</v>
          </cell>
          <cell r="I575">
            <v>55</v>
          </cell>
          <cell r="J575">
            <v>65</v>
          </cell>
          <cell r="K575">
            <v>45</v>
          </cell>
          <cell r="L575">
            <v>5</v>
          </cell>
          <cell r="M575" t="b">
            <v>0</v>
          </cell>
        </row>
        <row r="576">
          <cell r="A576">
            <v>575</v>
          </cell>
          <cell r="B576" t="str">
            <v>Gothorita</v>
          </cell>
          <cell r="C576" t="str">
            <v>Psychic</v>
          </cell>
          <cell r="E576">
            <v>390</v>
          </cell>
          <cell r="F576">
            <v>60</v>
          </cell>
          <cell r="G576">
            <v>45</v>
          </cell>
          <cell r="H576">
            <v>70</v>
          </cell>
          <cell r="I576">
            <v>75</v>
          </cell>
          <cell r="J576">
            <v>85</v>
          </cell>
          <cell r="K576">
            <v>55</v>
          </cell>
          <cell r="L576">
            <v>5</v>
          </cell>
          <cell r="M576" t="b">
            <v>0</v>
          </cell>
        </row>
        <row r="577">
          <cell r="A577">
            <v>576</v>
          </cell>
          <cell r="B577" t="str">
            <v>Gothitelle</v>
          </cell>
          <cell r="C577" t="str">
            <v>Psychic</v>
          </cell>
          <cell r="E577">
            <v>490</v>
          </cell>
          <cell r="F577">
            <v>70</v>
          </cell>
          <cell r="G577">
            <v>55</v>
          </cell>
          <cell r="H577">
            <v>95</v>
          </cell>
          <cell r="I577">
            <v>95</v>
          </cell>
          <cell r="J577">
            <v>110</v>
          </cell>
          <cell r="K577">
            <v>65</v>
          </cell>
          <cell r="L577">
            <v>5</v>
          </cell>
          <cell r="M577" t="b">
            <v>0</v>
          </cell>
        </row>
        <row r="578">
          <cell r="A578">
            <v>577</v>
          </cell>
          <cell r="B578" t="str">
            <v>Solosis</v>
          </cell>
          <cell r="C578" t="str">
            <v>Psychic</v>
          </cell>
          <cell r="E578">
            <v>290</v>
          </cell>
          <cell r="F578">
            <v>45</v>
          </cell>
          <cell r="G578">
            <v>30</v>
          </cell>
          <cell r="H578">
            <v>40</v>
          </cell>
          <cell r="I578">
            <v>105</v>
          </cell>
          <cell r="J578">
            <v>50</v>
          </cell>
          <cell r="K578">
            <v>20</v>
          </cell>
          <cell r="L578">
            <v>5</v>
          </cell>
          <cell r="M578" t="b">
            <v>0</v>
          </cell>
        </row>
        <row r="579">
          <cell r="A579">
            <v>578</v>
          </cell>
          <cell r="B579" t="str">
            <v>Duosion</v>
          </cell>
          <cell r="C579" t="str">
            <v>Psychic</v>
          </cell>
          <cell r="E579">
            <v>370</v>
          </cell>
          <cell r="F579">
            <v>65</v>
          </cell>
          <cell r="G579">
            <v>40</v>
          </cell>
          <cell r="H579">
            <v>50</v>
          </cell>
          <cell r="I579">
            <v>125</v>
          </cell>
          <cell r="J579">
            <v>60</v>
          </cell>
          <cell r="K579">
            <v>30</v>
          </cell>
          <cell r="L579">
            <v>5</v>
          </cell>
          <cell r="M579" t="b">
            <v>0</v>
          </cell>
        </row>
        <row r="580">
          <cell r="A580">
            <v>579</v>
          </cell>
          <cell r="B580" t="str">
            <v>Reuniclus</v>
          </cell>
          <cell r="C580" t="str">
            <v>Psychic</v>
          </cell>
          <cell r="E580">
            <v>490</v>
          </cell>
          <cell r="F580">
            <v>110</v>
          </cell>
          <cell r="G580">
            <v>65</v>
          </cell>
          <cell r="H580">
            <v>75</v>
          </cell>
          <cell r="I580">
            <v>125</v>
          </cell>
          <cell r="J580">
            <v>85</v>
          </cell>
          <cell r="K580">
            <v>30</v>
          </cell>
          <cell r="L580">
            <v>5</v>
          </cell>
          <cell r="M580" t="b">
            <v>0</v>
          </cell>
        </row>
        <row r="581">
          <cell r="A581">
            <v>580</v>
          </cell>
          <cell r="B581" t="str">
            <v>Ducklett</v>
          </cell>
          <cell r="C581" t="str">
            <v>Water</v>
          </cell>
          <cell r="D581" t="str">
            <v>Flying</v>
          </cell>
          <cell r="E581">
            <v>305</v>
          </cell>
          <cell r="F581">
            <v>62</v>
          </cell>
          <cell r="G581">
            <v>44</v>
          </cell>
          <cell r="H581">
            <v>50</v>
          </cell>
          <cell r="I581">
            <v>44</v>
          </cell>
          <cell r="J581">
            <v>50</v>
          </cell>
          <cell r="K581">
            <v>55</v>
          </cell>
          <cell r="L581">
            <v>5</v>
          </cell>
          <cell r="M581" t="b">
            <v>0</v>
          </cell>
        </row>
        <row r="582">
          <cell r="A582">
            <v>581</v>
          </cell>
          <cell r="B582" t="str">
            <v>Swanna</v>
          </cell>
          <cell r="C582" t="str">
            <v>Water</v>
          </cell>
          <cell r="D582" t="str">
            <v>Flying</v>
          </cell>
          <cell r="E582">
            <v>473</v>
          </cell>
          <cell r="F582">
            <v>75</v>
          </cell>
          <cell r="G582">
            <v>87</v>
          </cell>
          <cell r="H582">
            <v>63</v>
          </cell>
          <cell r="I582">
            <v>87</v>
          </cell>
          <cell r="J582">
            <v>63</v>
          </cell>
          <cell r="K582">
            <v>98</v>
          </cell>
          <cell r="L582">
            <v>5</v>
          </cell>
          <cell r="M582" t="b">
            <v>0</v>
          </cell>
        </row>
        <row r="583">
          <cell r="A583">
            <v>582</v>
          </cell>
          <cell r="B583" t="str">
            <v>Vanillite</v>
          </cell>
          <cell r="C583" t="str">
            <v>Ice</v>
          </cell>
          <cell r="E583">
            <v>305</v>
          </cell>
          <cell r="F583">
            <v>36</v>
          </cell>
          <cell r="G583">
            <v>50</v>
          </cell>
          <cell r="H583">
            <v>50</v>
          </cell>
          <cell r="I583">
            <v>65</v>
          </cell>
          <cell r="J583">
            <v>60</v>
          </cell>
          <cell r="K583">
            <v>44</v>
          </cell>
          <cell r="L583">
            <v>5</v>
          </cell>
          <cell r="M583" t="b">
            <v>0</v>
          </cell>
        </row>
        <row r="584">
          <cell r="A584">
            <v>583</v>
          </cell>
          <cell r="B584" t="str">
            <v>Vanillish</v>
          </cell>
          <cell r="C584" t="str">
            <v>Ice</v>
          </cell>
          <cell r="E584">
            <v>395</v>
          </cell>
          <cell r="F584">
            <v>51</v>
          </cell>
          <cell r="G584">
            <v>65</v>
          </cell>
          <cell r="H584">
            <v>65</v>
          </cell>
          <cell r="I584">
            <v>80</v>
          </cell>
          <cell r="J584">
            <v>75</v>
          </cell>
          <cell r="K584">
            <v>59</v>
          </cell>
          <cell r="L584">
            <v>5</v>
          </cell>
          <cell r="M584" t="b">
            <v>0</v>
          </cell>
        </row>
        <row r="585">
          <cell r="A585">
            <v>584</v>
          </cell>
          <cell r="B585" t="str">
            <v>Vanilluxe</v>
          </cell>
          <cell r="C585" t="str">
            <v>Ice</v>
          </cell>
          <cell r="E585">
            <v>535</v>
          </cell>
          <cell r="F585">
            <v>71</v>
          </cell>
          <cell r="G585">
            <v>95</v>
          </cell>
          <cell r="H585">
            <v>85</v>
          </cell>
          <cell r="I585">
            <v>110</v>
          </cell>
          <cell r="J585">
            <v>95</v>
          </cell>
          <cell r="K585">
            <v>79</v>
          </cell>
          <cell r="L585">
            <v>5</v>
          </cell>
          <cell r="M585" t="b">
            <v>0</v>
          </cell>
        </row>
        <row r="586">
          <cell r="A586">
            <v>585</v>
          </cell>
          <cell r="B586" t="str">
            <v>Deerling</v>
          </cell>
          <cell r="C586" t="str">
            <v>Normal</v>
          </cell>
          <cell r="D586" t="str">
            <v>Grass</v>
          </cell>
          <cell r="E586">
            <v>335</v>
          </cell>
          <cell r="F586">
            <v>60</v>
          </cell>
          <cell r="G586">
            <v>60</v>
          </cell>
          <cell r="H586">
            <v>50</v>
          </cell>
          <cell r="I586">
            <v>40</v>
          </cell>
          <cell r="J586">
            <v>50</v>
          </cell>
          <cell r="K586">
            <v>75</v>
          </cell>
          <cell r="L586">
            <v>5</v>
          </cell>
          <cell r="M586" t="b">
            <v>0</v>
          </cell>
        </row>
        <row r="587">
          <cell r="A587">
            <v>586</v>
          </cell>
          <cell r="B587" t="str">
            <v>Sawsbuck</v>
          </cell>
          <cell r="C587" t="str">
            <v>Normal</v>
          </cell>
          <cell r="D587" t="str">
            <v>Grass</v>
          </cell>
          <cell r="E587">
            <v>475</v>
          </cell>
          <cell r="F587">
            <v>80</v>
          </cell>
          <cell r="G587">
            <v>100</v>
          </cell>
          <cell r="H587">
            <v>70</v>
          </cell>
          <cell r="I587">
            <v>60</v>
          </cell>
          <cell r="J587">
            <v>70</v>
          </cell>
          <cell r="K587">
            <v>95</v>
          </cell>
          <cell r="L587">
            <v>5</v>
          </cell>
          <cell r="M587" t="b">
            <v>0</v>
          </cell>
        </row>
        <row r="588">
          <cell r="A588">
            <v>587</v>
          </cell>
          <cell r="B588" t="str">
            <v>Emolga</v>
          </cell>
          <cell r="C588" t="str">
            <v>Electric</v>
          </cell>
          <cell r="D588" t="str">
            <v>Flying</v>
          </cell>
          <cell r="E588">
            <v>428</v>
          </cell>
          <cell r="F588">
            <v>55</v>
          </cell>
          <cell r="G588">
            <v>75</v>
          </cell>
          <cell r="H588">
            <v>60</v>
          </cell>
          <cell r="I588">
            <v>75</v>
          </cell>
          <cell r="J588">
            <v>60</v>
          </cell>
          <cell r="K588">
            <v>103</v>
          </cell>
          <cell r="L588">
            <v>5</v>
          </cell>
          <cell r="M588" t="b">
            <v>0</v>
          </cell>
        </row>
        <row r="589">
          <cell r="A589">
            <v>588</v>
          </cell>
          <cell r="B589" t="str">
            <v>Karrablast</v>
          </cell>
          <cell r="C589" t="str">
            <v>Bug</v>
          </cell>
          <cell r="E589">
            <v>315</v>
          </cell>
          <cell r="F589">
            <v>50</v>
          </cell>
          <cell r="G589">
            <v>75</v>
          </cell>
          <cell r="H589">
            <v>45</v>
          </cell>
          <cell r="I589">
            <v>40</v>
          </cell>
          <cell r="J589">
            <v>45</v>
          </cell>
          <cell r="K589">
            <v>60</v>
          </cell>
          <cell r="L589">
            <v>5</v>
          </cell>
          <cell r="M589" t="b">
            <v>0</v>
          </cell>
        </row>
        <row r="590">
          <cell r="A590">
            <v>589</v>
          </cell>
          <cell r="B590" t="str">
            <v>Escavalier</v>
          </cell>
          <cell r="C590" t="str">
            <v>Bug</v>
          </cell>
          <cell r="D590" t="str">
            <v>Steel</v>
          </cell>
          <cell r="E590">
            <v>495</v>
          </cell>
          <cell r="F590">
            <v>70</v>
          </cell>
          <cell r="G590">
            <v>135</v>
          </cell>
          <cell r="H590">
            <v>105</v>
          </cell>
          <cell r="I590">
            <v>60</v>
          </cell>
          <cell r="J590">
            <v>105</v>
          </cell>
          <cell r="K590">
            <v>20</v>
          </cell>
          <cell r="L590">
            <v>5</v>
          </cell>
          <cell r="M590" t="b">
            <v>0</v>
          </cell>
        </row>
        <row r="591">
          <cell r="A591">
            <v>590</v>
          </cell>
          <cell r="B591" t="str">
            <v>Foongus</v>
          </cell>
          <cell r="C591" t="str">
            <v>Grass</v>
          </cell>
          <cell r="D591" t="str">
            <v>Poison</v>
          </cell>
          <cell r="E591">
            <v>294</v>
          </cell>
          <cell r="F591">
            <v>69</v>
          </cell>
          <cell r="G591">
            <v>55</v>
          </cell>
          <cell r="H591">
            <v>45</v>
          </cell>
          <cell r="I591">
            <v>55</v>
          </cell>
          <cell r="J591">
            <v>55</v>
          </cell>
          <cell r="K591">
            <v>15</v>
          </cell>
          <cell r="L591">
            <v>5</v>
          </cell>
          <cell r="M591" t="b">
            <v>0</v>
          </cell>
        </row>
        <row r="592">
          <cell r="A592">
            <v>591</v>
          </cell>
          <cell r="B592" t="str">
            <v>Amoonguss</v>
          </cell>
          <cell r="C592" t="str">
            <v>Grass</v>
          </cell>
          <cell r="D592" t="str">
            <v>Poison</v>
          </cell>
          <cell r="E592">
            <v>464</v>
          </cell>
          <cell r="F592">
            <v>114</v>
          </cell>
          <cell r="G592">
            <v>85</v>
          </cell>
          <cell r="H592">
            <v>70</v>
          </cell>
          <cell r="I592">
            <v>85</v>
          </cell>
          <cell r="J592">
            <v>80</v>
          </cell>
          <cell r="K592">
            <v>30</v>
          </cell>
          <cell r="L592">
            <v>5</v>
          </cell>
          <cell r="M592" t="b">
            <v>0</v>
          </cell>
        </row>
        <row r="593">
          <cell r="A593">
            <v>592</v>
          </cell>
          <cell r="B593" t="str">
            <v>Frillish</v>
          </cell>
          <cell r="C593" t="str">
            <v>Water</v>
          </cell>
          <cell r="D593" t="str">
            <v>Ghost</v>
          </cell>
          <cell r="E593">
            <v>335</v>
          </cell>
          <cell r="F593">
            <v>55</v>
          </cell>
          <cell r="G593">
            <v>40</v>
          </cell>
          <cell r="H593">
            <v>50</v>
          </cell>
          <cell r="I593">
            <v>65</v>
          </cell>
          <cell r="J593">
            <v>85</v>
          </cell>
          <cell r="K593">
            <v>40</v>
          </cell>
          <cell r="L593">
            <v>5</v>
          </cell>
          <cell r="M593" t="b">
            <v>0</v>
          </cell>
        </row>
        <row r="594">
          <cell r="A594">
            <v>593</v>
          </cell>
          <cell r="B594" t="str">
            <v>Jellicent</v>
          </cell>
          <cell r="C594" t="str">
            <v>Water</v>
          </cell>
          <cell r="D594" t="str">
            <v>Ghost</v>
          </cell>
          <cell r="E594">
            <v>480</v>
          </cell>
          <cell r="F594">
            <v>100</v>
          </cell>
          <cell r="G594">
            <v>60</v>
          </cell>
          <cell r="H594">
            <v>70</v>
          </cell>
          <cell r="I594">
            <v>85</v>
          </cell>
          <cell r="J594">
            <v>105</v>
          </cell>
          <cell r="K594">
            <v>60</v>
          </cell>
          <cell r="L594">
            <v>5</v>
          </cell>
          <cell r="M594" t="b">
            <v>0</v>
          </cell>
        </row>
        <row r="595">
          <cell r="A595">
            <v>594</v>
          </cell>
          <cell r="B595" t="str">
            <v>Alomomola</v>
          </cell>
          <cell r="C595" t="str">
            <v>Water</v>
          </cell>
          <cell r="E595">
            <v>470</v>
          </cell>
          <cell r="F595">
            <v>165</v>
          </cell>
          <cell r="G595">
            <v>75</v>
          </cell>
          <cell r="H595">
            <v>80</v>
          </cell>
          <cell r="I595">
            <v>40</v>
          </cell>
          <cell r="J595">
            <v>45</v>
          </cell>
          <cell r="K595">
            <v>65</v>
          </cell>
          <cell r="L595">
            <v>5</v>
          </cell>
          <cell r="M595" t="b">
            <v>0</v>
          </cell>
        </row>
        <row r="596">
          <cell r="A596">
            <v>595</v>
          </cell>
          <cell r="B596" t="str">
            <v>Joltik</v>
          </cell>
          <cell r="C596" t="str">
            <v>Bug</v>
          </cell>
          <cell r="D596" t="str">
            <v>Electric</v>
          </cell>
          <cell r="E596">
            <v>319</v>
          </cell>
          <cell r="F596">
            <v>50</v>
          </cell>
          <cell r="G596">
            <v>47</v>
          </cell>
          <cell r="H596">
            <v>50</v>
          </cell>
          <cell r="I596">
            <v>57</v>
          </cell>
          <cell r="J596">
            <v>50</v>
          </cell>
          <cell r="K596">
            <v>65</v>
          </cell>
          <cell r="L596">
            <v>5</v>
          </cell>
          <cell r="M596" t="b">
            <v>0</v>
          </cell>
        </row>
        <row r="597">
          <cell r="A597">
            <v>596</v>
          </cell>
          <cell r="B597" t="str">
            <v>Galvantula</v>
          </cell>
          <cell r="C597" t="str">
            <v>Bug</v>
          </cell>
          <cell r="D597" t="str">
            <v>Electric</v>
          </cell>
          <cell r="E597">
            <v>472</v>
          </cell>
          <cell r="F597">
            <v>70</v>
          </cell>
          <cell r="G597">
            <v>77</v>
          </cell>
          <cell r="H597">
            <v>60</v>
          </cell>
          <cell r="I597">
            <v>97</v>
          </cell>
          <cell r="J597">
            <v>60</v>
          </cell>
          <cell r="K597">
            <v>108</v>
          </cell>
          <cell r="L597">
            <v>5</v>
          </cell>
          <cell r="M597" t="b">
            <v>0</v>
          </cell>
        </row>
        <row r="598">
          <cell r="A598">
            <v>597</v>
          </cell>
          <cell r="B598" t="str">
            <v>Ferroseed</v>
          </cell>
          <cell r="C598" t="str">
            <v>Grass</v>
          </cell>
          <cell r="D598" t="str">
            <v>Steel</v>
          </cell>
          <cell r="E598">
            <v>305</v>
          </cell>
          <cell r="F598">
            <v>44</v>
          </cell>
          <cell r="G598">
            <v>50</v>
          </cell>
          <cell r="H598">
            <v>91</v>
          </cell>
          <cell r="I598">
            <v>24</v>
          </cell>
          <cell r="J598">
            <v>86</v>
          </cell>
          <cell r="K598">
            <v>10</v>
          </cell>
          <cell r="L598">
            <v>5</v>
          </cell>
          <cell r="M598" t="b">
            <v>0</v>
          </cell>
        </row>
        <row r="599">
          <cell r="A599">
            <v>598</v>
          </cell>
          <cell r="B599" t="str">
            <v>Ferrothorn</v>
          </cell>
          <cell r="C599" t="str">
            <v>Grass</v>
          </cell>
          <cell r="D599" t="str">
            <v>Steel</v>
          </cell>
          <cell r="E599">
            <v>489</v>
          </cell>
          <cell r="F599">
            <v>74</v>
          </cell>
          <cell r="G599">
            <v>94</v>
          </cell>
          <cell r="H599">
            <v>131</v>
          </cell>
          <cell r="I599">
            <v>54</v>
          </cell>
          <cell r="J599">
            <v>116</v>
          </cell>
          <cell r="K599">
            <v>20</v>
          </cell>
          <cell r="L599">
            <v>5</v>
          </cell>
          <cell r="M599" t="b">
            <v>0</v>
          </cell>
        </row>
        <row r="600">
          <cell r="A600">
            <v>599</v>
          </cell>
          <cell r="B600" t="str">
            <v>Klink</v>
          </cell>
          <cell r="C600" t="str">
            <v>Steel</v>
          </cell>
          <cell r="E600">
            <v>300</v>
          </cell>
          <cell r="F600">
            <v>40</v>
          </cell>
          <cell r="G600">
            <v>55</v>
          </cell>
          <cell r="H600">
            <v>70</v>
          </cell>
          <cell r="I600">
            <v>45</v>
          </cell>
          <cell r="J600">
            <v>60</v>
          </cell>
          <cell r="K600">
            <v>30</v>
          </cell>
          <cell r="L600">
            <v>5</v>
          </cell>
          <cell r="M600" t="b">
            <v>0</v>
          </cell>
        </row>
        <row r="601">
          <cell r="A601">
            <v>600</v>
          </cell>
          <cell r="B601" t="str">
            <v>Klang</v>
          </cell>
          <cell r="C601" t="str">
            <v>Steel</v>
          </cell>
          <cell r="E601">
            <v>440</v>
          </cell>
          <cell r="F601">
            <v>60</v>
          </cell>
          <cell r="G601">
            <v>80</v>
          </cell>
          <cell r="H601">
            <v>95</v>
          </cell>
          <cell r="I601">
            <v>70</v>
          </cell>
          <cell r="J601">
            <v>85</v>
          </cell>
          <cell r="K601">
            <v>50</v>
          </cell>
          <cell r="L601">
            <v>5</v>
          </cell>
          <cell r="M601" t="b">
            <v>0</v>
          </cell>
        </row>
        <row r="602">
          <cell r="A602">
            <v>601</v>
          </cell>
          <cell r="B602" t="str">
            <v>Klinklang</v>
          </cell>
          <cell r="C602" t="str">
            <v>Steel</v>
          </cell>
          <cell r="E602">
            <v>520</v>
          </cell>
          <cell r="F602">
            <v>60</v>
          </cell>
          <cell r="G602">
            <v>100</v>
          </cell>
          <cell r="H602">
            <v>115</v>
          </cell>
          <cell r="I602">
            <v>70</v>
          </cell>
          <cell r="J602">
            <v>85</v>
          </cell>
          <cell r="K602">
            <v>90</v>
          </cell>
          <cell r="L602">
            <v>5</v>
          </cell>
          <cell r="M602" t="b">
            <v>0</v>
          </cell>
        </row>
        <row r="603">
          <cell r="A603">
            <v>602</v>
          </cell>
          <cell r="B603" t="str">
            <v>Tynamo</v>
          </cell>
          <cell r="C603" t="str">
            <v>Electric</v>
          </cell>
          <cell r="E603">
            <v>275</v>
          </cell>
          <cell r="F603">
            <v>35</v>
          </cell>
          <cell r="G603">
            <v>55</v>
          </cell>
          <cell r="H603">
            <v>40</v>
          </cell>
          <cell r="I603">
            <v>45</v>
          </cell>
          <cell r="J603">
            <v>40</v>
          </cell>
          <cell r="K603">
            <v>60</v>
          </cell>
          <cell r="L603">
            <v>5</v>
          </cell>
          <cell r="M603" t="b">
            <v>0</v>
          </cell>
        </row>
        <row r="604">
          <cell r="A604">
            <v>603</v>
          </cell>
          <cell r="B604" t="str">
            <v>Eelektrik</v>
          </cell>
          <cell r="C604" t="str">
            <v>Electric</v>
          </cell>
          <cell r="E604">
            <v>405</v>
          </cell>
          <cell r="F604">
            <v>65</v>
          </cell>
          <cell r="G604">
            <v>85</v>
          </cell>
          <cell r="H604">
            <v>70</v>
          </cell>
          <cell r="I604">
            <v>75</v>
          </cell>
          <cell r="J604">
            <v>70</v>
          </cell>
          <cell r="K604">
            <v>40</v>
          </cell>
          <cell r="L604">
            <v>5</v>
          </cell>
          <cell r="M604" t="b">
            <v>0</v>
          </cell>
        </row>
        <row r="605">
          <cell r="A605">
            <v>604</v>
          </cell>
          <cell r="B605" t="str">
            <v>Eelektross</v>
          </cell>
          <cell r="C605" t="str">
            <v>Electric</v>
          </cell>
          <cell r="E605">
            <v>515</v>
          </cell>
          <cell r="F605">
            <v>85</v>
          </cell>
          <cell r="G605">
            <v>115</v>
          </cell>
          <cell r="H605">
            <v>80</v>
          </cell>
          <cell r="I605">
            <v>105</v>
          </cell>
          <cell r="J605">
            <v>80</v>
          </cell>
          <cell r="K605">
            <v>50</v>
          </cell>
          <cell r="L605">
            <v>5</v>
          </cell>
          <cell r="M605" t="b">
            <v>0</v>
          </cell>
        </row>
        <row r="606">
          <cell r="A606">
            <v>605</v>
          </cell>
          <cell r="B606" t="str">
            <v>Elgyem</v>
          </cell>
          <cell r="C606" t="str">
            <v>Psychic</v>
          </cell>
          <cell r="E606">
            <v>335</v>
          </cell>
          <cell r="F606">
            <v>55</v>
          </cell>
          <cell r="G606">
            <v>55</v>
          </cell>
          <cell r="H606">
            <v>55</v>
          </cell>
          <cell r="I606">
            <v>85</v>
          </cell>
          <cell r="J606">
            <v>55</v>
          </cell>
          <cell r="K606">
            <v>30</v>
          </cell>
          <cell r="L606">
            <v>5</v>
          </cell>
          <cell r="M606" t="b">
            <v>0</v>
          </cell>
        </row>
        <row r="607">
          <cell r="A607">
            <v>606</v>
          </cell>
          <cell r="B607" t="str">
            <v>Beheeyem</v>
          </cell>
          <cell r="C607" t="str">
            <v>Psychic</v>
          </cell>
          <cell r="E607">
            <v>485</v>
          </cell>
          <cell r="F607">
            <v>75</v>
          </cell>
          <cell r="G607">
            <v>75</v>
          </cell>
          <cell r="H607">
            <v>75</v>
          </cell>
          <cell r="I607">
            <v>125</v>
          </cell>
          <cell r="J607">
            <v>95</v>
          </cell>
          <cell r="K607">
            <v>40</v>
          </cell>
          <cell r="L607">
            <v>5</v>
          </cell>
          <cell r="M607" t="b">
            <v>0</v>
          </cell>
        </row>
        <row r="608">
          <cell r="A608">
            <v>607</v>
          </cell>
          <cell r="B608" t="str">
            <v>Litwick</v>
          </cell>
          <cell r="C608" t="str">
            <v>Ghost</v>
          </cell>
          <cell r="D608" t="str">
            <v>Fire</v>
          </cell>
          <cell r="E608">
            <v>275</v>
          </cell>
          <cell r="F608">
            <v>50</v>
          </cell>
          <cell r="G608">
            <v>30</v>
          </cell>
          <cell r="H608">
            <v>55</v>
          </cell>
          <cell r="I608">
            <v>65</v>
          </cell>
          <cell r="J608">
            <v>55</v>
          </cell>
          <cell r="K608">
            <v>20</v>
          </cell>
          <cell r="L608">
            <v>5</v>
          </cell>
          <cell r="M608" t="b">
            <v>0</v>
          </cell>
        </row>
        <row r="609">
          <cell r="A609">
            <v>608</v>
          </cell>
          <cell r="B609" t="str">
            <v>Lampent</v>
          </cell>
          <cell r="C609" t="str">
            <v>Ghost</v>
          </cell>
          <cell r="D609" t="str">
            <v>Fire</v>
          </cell>
          <cell r="E609">
            <v>370</v>
          </cell>
          <cell r="F609">
            <v>60</v>
          </cell>
          <cell r="G609">
            <v>40</v>
          </cell>
          <cell r="H609">
            <v>60</v>
          </cell>
          <cell r="I609">
            <v>95</v>
          </cell>
          <cell r="J609">
            <v>60</v>
          </cell>
          <cell r="K609">
            <v>55</v>
          </cell>
          <cell r="L609">
            <v>5</v>
          </cell>
          <cell r="M609" t="b">
            <v>0</v>
          </cell>
        </row>
        <row r="610">
          <cell r="A610">
            <v>609</v>
          </cell>
          <cell r="B610" t="str">
            <v>Chandelure</v>
          </cell>
          <cell r="C610" t="str">
            <v>Ghost</v>
          </cell>
          <cell r="D610" t="str">
            <v>Fire</v>
          </cell>
          <cell r="E610">
            <v>520</v>
          </cell>
          <cell r="F610">
            <v>60</v>
          </cell>
          <cell r="G610">
            <v>55</v>
          </cell>
          <cell r="H610">
            <v>90</v>
          </cell>
          <cell r="I610">
            <v>145</v>
          </cell>
          <cell r="J610">
            <v>90</v>
          </cell>
          <cell r="K610">
            <v>80</v>
          </cell>
          <cell r="L610">
            <v>5</v>
          </cell>
          <cell r="M610" t="b">
            <v>0</v>
          </cell>
        </row>
        <row r="611">
          <cell r="A611">
            <v>610</v>
          </cell>
          <cell r="B611" t="str">
            <v>Axew</v>
          </cell>
          <cell r="C611" t="str">
            <v>Dragon</v>
          </cell>
          <cell r="E611">
            <v>320</v>
          </cell>
          <cell r="F611">
            <v>46</v>
          </cell>
          <cell r="G611">
            <v>87</v>
          </cell>
          <cell r="H611">
            <v>60</v>
          </cell>
          <cell r="I611">
            <v>30</v>
          </cell>
          <cell r="J611">
            <v>40</v>
          </cell>
          <cell r="K611">
            <v>57</v>
          </cell>
          <cell r="L611">
            <v>5</v>
          </cell>
          <cell r="M611" t="b">
            <v>0</v>
          </cell>
        </row>
        <row r="612">
          <cell r="A612">
            <v>611</v>
          </cell>
          <cell r="B612" t="str">
            <v>Fraxure</v>
          </cell>
          <cell r="C612" t="str">
            <v>Dragon</v>
          </cell>
          <cell r="E612">
            <v>410</v>
          </cell>
          <cell r="F612">
            <v>66</v>
          </cell>
          <cell r="G612">
            <v>117</v>
          </cell>
          <cell r="H612">
            <v>70</v>
          </cell>
          <cell r="I612">
            <v>40</v>
          </cell>
          <cell r="J612">
            <v>50</v>
          </cell>
          <cell r="K612">
            <v>67</v>
          </cell>
          <cell r="L612">
            <v>5</v>
          </cell>
          <cell r="M612" t="b">
            <v>0</v>
          </cell>
        </row>
        <row r="613">
          <cell r="A613">
            <v>612</v>
          </cell>
          <cell r="B613" t="str">
            <v>Haxorus</v>
          </cell>
          <cell r="C613" t="str">
            <v>Dragon</v>
          </cell>
          <cell r="E613">
            <v>540</v>
          </cell>
          <cell r="F613">
            <v>76</v>
          </cell>
          <cell r="G613">
            <v>147</v>
          </cell>
          <cell r="H613">
            <v>90</v>
          </cell>
          <cell r="I613">
            <v>60</v>
          </cell>
          <cell r="J613">
            <v>70</v>
          </cell>
          <cell r="K613">
            <v>97</v>
          </cell>
          <cell r="L613">
            <v>5</v>
          </cell>
          <cell r="M613" t="b">
            <v>0</v>
          </cell>
        </row>
        <row r="614">
          <cell r="A614">
            <v>613</v>
          </cell>
          <cell r="B614" t="str">
            <v>Cubchoo</v>
          </cell>
          <cell r="C614" t="str">
            <v>Ice</v>
          </cell>
          <cell r="E614">
            <v>305</v>
          </cell>
          <cell r="F614">
            <v>55</v>
          </cell>
          <cell r="G614">
            <v>70</v>
          </cell>
          <cell r="H614">
            <v>40</v>
          </cell>
          <cell r="I614">
            <v>60</v>
          </cell>
          <cell r="J614">
            <v>40</v>
          </cell>
          <cell r="K614">
            <v>40</v>
          </cell>
          <cell r="L614">
            <v>5</v>
          </cell>
          <cell r="M614" t="b">
            <v>0</v>
          </cell>
        </row>
        <row r="615">
          <cell r="A615">
            <v>614</v>
          </cell>
          <cell r="B615" t="str">
            <v>Beartic</v>
          </cell>
          <cell r="C615" t="str">
            <v>Ice</v>
          </cell>
          <cell r="E615">
            <v>485</v>
          </cell>
          <cell r="F615">
            <v>95</v>
          </cell>
          <cell r="G615">
            <v>110</v>
          </cell>
          <cell r="H615">
            <v>80</v>
          </cell>
          <cell r="I615">
            <v>70</v>
          </cell>
          <cell r="J615">
            <v>80</v>
          </cell>
          <cell r="K615">
            <v>50</v>
          </cell>
          <cell r="L615">
            <v>5</v>
          </cell>
          <cell r="M615" t="b">
            <v>0</v>
          </cell>
        </row>
        <row r="616">
          <cell r="A616">
            <v>615</v>
          </cell>
          <cell r="B616" t="str">
            <v>Cryogonal</v>
          </cell>
          <cell r="C616" t="str">
            <v>Ice</v>
          </cell>
          <cell r="E616">
            <v>485</v>
          </cell>
          <cell r="F616">
            <v>70</v>
          </cell>
          <cell r="G616">
            <v>50</v>
          </cell>
          <cell r="H616">
            <v>30</v>
          </cell>
          <cell r="I616">
            <v>95</v>
          </cell>
          <cell r="J616">
            <v>135</v>
          </cell>
          <cell r="K616">
            <v>105</v>
          </cell>
          <cell r="L616">
            <v>5</v>
          </cell>
          <cell r="M616" t="b">
            <v>0</v>
          </cell>
        </row>
        <row r="617">
          <cell r="A617">
            <v>616</v>
          </cell>
          <cell r="B617" t="str">
            <v>Shelmet</v>
          </cell>
          <cell r="C617" t="str">
            <v>Bug</v>
          </cell>
          <cell r="E617">
            <v>305</v>
          </cell>
          <cell r="F617">
            <v>50</v>
          </cell>
          <cell r="G617">
            <v>40</v>
          </cell>
          <cell r="H617">
            <v>85</v>
          </cell>
          <cell r="I617">
            <v>40</v>
          </cell>
          <cell r="J617">
            <v>65</v>
          </cell>
          <cell r="K617">
            <v>25</v>
          </cell>
          <cell r="L617">
            <v>5</v>
          </cell>
          <cell r="M617" t="b">
            <v>0</v>
          </cell>
        </row>
        <row r="618">
          <cell r="A618">
            <v>617</v>
          </cell>
          <cell r="B618" t="str">
            <v>Accelgor</v>
          </cell>
          <cell r="C618" t="str">
            <v>Bug</v>
          </cell>
          <cell r="E618">
            <v>495</v>
          </cell>
          <cell r="F618">
            <v>80</v>
          </cell>
          <cell r="G618">
            <v>70</v>
          </cell>
          <cell r="H618">
            <v>40</v>
          </cell>
          <cell r="I618">
            <v>100</v>
          </cell>
          <cell r="J618">
            <v>60</v>
          </cell>
          <cell r="K618">
            <v>145</v>
          </cell>
          <cell r="L618">
            <v>5</v>
          </cell>
          <cell r="M618" t="b">
            <v>0</v>
          </cell>
        </row>
        <row r="619">
          <cell r="A619">
            <v>618</v>
          </cell>
          <cell r="B619" t="str">
            <v>Stunfisk</v>
          </cell>
          <cell r="C619" t="str">
            <v>Ground</v>
          </cell>
          <cell r="D619" t="str">
            <v>Electric</v>
          </cell>
          <cell r="E619">
            <v>471</v>
          </cell>
          <cell r="F619">
            <v>109</v>
          </cell>
          <cell r="G619">
            <v>66</v>
          </cell>
          <cell r="H619">
            <v>84</v>
          </cell>
          <cell r="I619">
            <v>81</v>
          </cell>
          <cell r="J619">
            <v>99</v>
          </cell>
          <cell r="K619">
            <v>32</v>
          </cell>
          <cell r="L619">
            <v>5</v>
          </cell>
          <cell r="M619" t="b">
            <v>0</v>
          </cell>
        </row>
        <row r="620">
          <cell r="A620">
            <v>619</v>
          </cell>
          <cell r="B620" t="str">
            <v>Mienfoo</v>
          </cell>
          <cell r="C620" t="str">
            <v>Fighting</v>
          </cell>
          <cell r="E620">
            <v>350</v>
          </cell>
          <cell r="F620">
            <v>45</v>
          </cell>
          <cell r="G620">
            <v>85</v>
          </cell>
          <cell r="H620">
            <v>50</v>
          </cell>
          <cell r="I620">
            <v>55</v>
          </cell>
          <cell r="J620">
            <v>50</v>
          </cell>
          <cell r="K620">
            <v>65</v>
          </cell>
          <cell r="L620">
            <v>5</v>
          </cell>
          <cell r="M620" t="b">
            <v>0</v>
          </cell>
        </row>
        <row r="621">
          <cell r="A621">
            <v>620</v>
          </cell>
          <cell r="B621" t="str">
            <v>Mienshao</v>
          </cell>
          <cell r="C621" t="str">
            <v>Fighting</v>
          </cell>
          <cell r="E621">
            <v>510</v>
          </cell>
          <cell r="F621">
            <v>65</v>
          </cell>
          <cell r="G621">
            <v>125</v>
          </cell>
          <cell r="H621">
            <v>60</v>
          </cell>
          <cell r="I621">
            <v>95</v>
          </cell>
          <cell r="J621">
            <v>60</v>
          </cell>
          <cell r="K621">
            <v>105</v>
          </cell>
          <cell r="L621">
            <v>5</v>
          </cell>
          <cell r="M621" t="b">
            <v>0</v>
          </cell>
        </row>
        <row r="622">
          <cell r="A622">
            <v>621</v>
          </cell>
          <cell r="B622" t="str">
            <v>Druddigon</v>
          </cell>
          <cell r="C622" t="str">
            <v>Dragon</v>
          </cell>
          <cell r="E622">
            <v>485</v>
          </cell>
          <cell r="F622">
            <v>77</v>
          </cell>
          <cell r="G622">
            <v>120</v>
          </cell>
          <cell r="H622">
            <v>90</v>
          </cell>
          <cell r="I622">
            <v>60</v>
          </cell>
          <cell r="J622">
            <v>90</v>
          </cell>
          <cell r="K622">
            <v>48</v>
          </cell>
          <cell r="L622">
            <v>5</v>
          </cell>
          <cell r="M622" t="b">
            <v>0</v>
          </cell>
        </row>
        <row r="623">
          <cell r="A623">
            <v>622</v>
          </cell>
          <cell r="B623" t="str">
            <v>Golett</v>
          </cell>
          <cell r="C623" t="str">
            <v>Ground</v>
          </cell>
          <cell r="D623" t="str">
            <v>Ghost</v>
          </cell>
          <cell r="E623">
            <v>303</v>
          </cell>
          <cell r="F623">
            <v>59</v>
          </cell>
          <cell r="G623">
            <v>74</v>
          </cell>
          <cell r="H623">
            <v>50</v>
          </cell>
          <cell r="I623">
            <v>35</v>
          </cell>
          <cell r="J623">
            <v>50</v>
          </cell>
          <cell r="K623">
            <v>35</v>
          </cell>
          <cell r="L623">
            <v>5</v>
          </cell>
          <cell r="M623" t="b">
            <v>0</v>
          </cell>
        </row>
        <row r="624">
          <cell r="A624">
            <v>623</v>
          </cell>
          <cell r="B624" t="str">
            <v>Golurk</v>
          </cell>
          <cell r="C624" t="str">
            <v>Ground</v>
          </cell>
          <cell r="D624" t="str">
            <v>Ghost</v>
          </cell>
          <cell r="E624">
            <v>483</v>
          </cell>
          <cell r="F624">
            <v>89</v>
          </cell>
          <cell r="G624">
            <v>124</v>
          </cell>
          <cell r="H624">
            <v>80</v>
          </cell>
          <cell r="I624">
            <v>55</v>
          </cell>
          <cell r="J624">
            <v>80</v>
          </cell>
          <cell r="K624">
            <v>55</v>
          </cell>
          <cell r="L624">
            <v>5</v>
          </cell>
          <cell r="M624" t="b">
            <v>0</v>
          </cell>
        </row>
        <row r="625">
          <cell r="A625">
            <v>624</v>
          </cell>
          <cell r="B625" t="str">
            <v>Pawniard</v>
          </cell>
          <cell r="C625" t="str">
            <v>Dark</v>
          </cell>
          <cell r="D625" t="str">
            <v>Steel</v>
          </cell>
          <cell r="E625">
            <v>340</v>
          </cell>
          <cell r="F625">
            <v>45</v>
          </cell>
          <cell r="G625">
            <v>85</v>
          </cell>
          <cell r="H625">
            <v>70</v>
          </cell>
          <cell r="I625">
            <v>40</v>
          </cell>
          <cell r="J625">
            <v>40</v>
          </cell>
          <cell r="K625">
            <v>60</v>
          </cell>
          <cell r="L625">
            <v>5</v>
          </cell>
          <cell r="M625" t="b">
            <v>0</v>
          </cell>
        </row>
        <row r="626">
          <cell r="A626">
            <v>625</v>
          </cell>
          <cell r="B626" t="str">
            <v>Bisharp</v>
          </cell>
          <cell r="C626" t="str">
            <v>Dark</v>
          </cell>
          <cell r="D626" t="str">
            <v>Steel</v>
          </cell>
          <cell r="E626">
            <v>490</v>
          </cell>
          <cell r="F626">
            <v>65</v>
          </cell>
          <cell r="G626">
            <v>125</v>
          </cell>
          <cell r="H626">
            <v>100</v>
          </cell>
          <cell r="I626">
            <v>60</v>
          </cell>
          <cell r="J626">
            <v>70</v>
          </cell>
          <cell r="K626">
            <v>70</v>
          </cell>
          <cell r="L626">
            <v>5</v>
          </cell>
          <cell r="M626" t="b">
            <v>0</v>
          </cell>
        </row>
        <row r="627">
          <cell r="A627">
            <v>626</v>
          </cell>
          <cell r="B627" t="str">
            <v>Bouffalant</v>
          </cell>
          <cell r="C627" t="str">
            <v>Normal</v>
          </cell>
          <cell r="E627">
            <v>490</v>
          </cell>
          <cell r="F627">
            <v>95</v>
          </cell>
          <cell r="G627">
            <v>110</v>
          </cell>
          <cell r="H627">
            <v>95</v>
          </cell>
          <cell r="I627">
            <v>40</v>
          </cell>
          <cell r="J627">
            <v>95</v>
          </cell>
          <cell r="K627">
            <v>55</v>
          </cell>
          <cell r="L627">
            <v>5</v>
          </cell>
          <cell r="M627" t="b">
            <v>0</v>
          </cell>
        </row>
        <row r="628">
          <cell r="A628">
            <v>627</v>
          </cell>
          <cell r="B628" t="str">
            <v>Rufflet</v>
          </cell>
          <cell r="C628" t="str">
            <v>Normal</v>
          </cell>
          <cell r="D628" t="str">
            <v>Flying</v>
          </cell>
          <cell r="E628">
            <v>350</v>
          </cell>
          <cell r="F628">
            <v>70</v>
          </cell>
          <cell r="G628">
            <v>83</v>
          </cell>
          <cell r="H628">
            <v>50</v>
          </cell>
          <cell r="I628">
            <v>37</v>
          </cell>
          <cell r="J628">
            <v>50</v>
          </cell>
          <cell r="K628">
            <v>60</v>
          </cell>
          <cell r="L628">
            <v>5</v>
          </cell>
          <cell r="M628" t="b">
            <v>0</v>
          </cell>
        </row>
        <row r="629">
          <cell r="A629">
            <v>628</v>
          </cell>
          <cell r="B629" t="str">
            <v>Braviary</v>
          </cell>
          <cell r="C629" t="str">
            <v>Normal</v>
          </cell>
          <cell r="D629" t="str">
            <v>Flying</v>
          </cell>
          <cell r="E629">
            <v>510</v>
          </cell>
          <cell r="F629">
            <v>100</v>
          </cell>
          <cell r="G629">
            <v>123</v>
          </cell>
          <cell r="H629">
            <v>75</v>
          </cell>
          <cell r="I629">
            <v>57</v>
          </cell>
          <cell r="J629">
            <v>75</v>
          </cell>
          <cell r="K629">
            <v>80</v>
          </cell>
          <cell r="L629">
            <v>5</v>
          </cell>
          <cell r="M629" t="b">
            <v>0</v>
          </cell>
        </row>
        <row r="630">
          <cell r="A630">
            <v>629</v>
          </cell>
          <cell r="B630" t="str">
            <v>Vullaby</v>
          </cell>
          <cell r="C630" t="str">
            <v>Dark</v>
          </cell>
          <cell r="D630" t="str">
            <v>Flying</v>
          </cell>
          <cell r="E630">
            <v>370</v>
          </cell>
          <cell r="F630">
            <v>70</v>
          </cell>
          <cell r="G630">
            <v>55</v>
          </cell>
          <cell r="H630">
            <v>75</v>
          </cell>
          <cell r="I630">
            <v>45</v>
          </cell>
          <cell r="J630">
            <v>65</v>
          </cell>
          <cell r="K630">
            <v>60</v>
          </cell>
          <cell r="L630">
            <v>5</v>
          </cell>
          <cell r="M630" t="b">
            <v>0</v>
          </cell>
        </row>
        <row r="631">
          <cell r="A631">
            <v>630</v>
          </cell>
          <cell r="B631" t="str">
            <v>Mandibuzz</v>
          </cell>
          <cell r="C631" t="str">
            <v>Dark</v>
          </cell>
          <cell r="D631" t="str">
            <v>Flying</v>
          </cell>
          <cell r="E631">
            <v>510</v>
          </cell>
          <cell r="F631">
            <v>110</v>
          </cell>
          <cell r="G631">
            <v>65</v>
          </cell>
          <cell r="H631">
            <v>105</v>
          </cell>
          <cell r="I631">
            <v>55</v>
          </cell>
          <cell r="J631">
            <v>95</v>
          </cell>
          <cell r="K631">
            <v>80</v>
          </cell>
          <cell r="L631">
            <v>5</v>
          </cell>
          <cell r="M631" t="b">
            <v>0</v>
          </cell>
        </row>
        <row r="632">
          <cell r="A632">
            <v>631</v>
          </cell>
          <cell r="B632" t="str">
            <v>Heatmor</v>
          </cell>
          <cell r="C632" t="str">
            <v>Fire</v>
          </cell>
          <cell r="E632">
            <v>484</v>
          </cell>
          <cell r="F632">
            <v>85</v>
          </cell>
          <cell r="G632">
            <v>97</v>
          </cell>
          <cell r="H632">
            <v>66</v>
          </cell>
          <cell r="I632">
            <v>105</v>
          </cell>
          <cell r="J632">
            <v>66</v>
          </cell>
          <cell r="K632">
            <v>65</v>
          </cell>
          <cell r="L632">
            <v>5</v>
          </cell>
          <cell r="M632" t="b">
            <v>0</v>
          </cell>
        </row>
        <row r="633">
          <cell r="A633">
            <v>632</v>
          </cell>
          <cell r="B633" t="str">
            <v>Durant</v>
          </cell>
          <cell r="C633" t="str">
            <v>Bug</v>
          </cell>
          <cell r="D633" t="str">
            <v>Steel</v>
          </cell>
          <cell r="E633">
            <v>484</v>
          </cell>
          <cell r="F633">
            <v>58</v>
          </cell>
          <cell r="G633">
            <v>109</v>
          </cell>
          <cell r="H633">
            <v>112</v>
          </cell>
          <cell r="I633">
            <v>48</v>
          </cell>
          <cell r="J633">
            <v>48</v>
          </cell>
          <cell r="K633">
            <v>109</v>
          </cell>
          <cell r="L633">
            <v>5</v>
          </cell>
          <cell r="M633" t="b">
            <v>0</v>
          </cell>
        </row>
        <row r="634">
          <cell r="A634">
            <v>633</v>
          </cell>
          <cell r="B634" t="str">
            <v>Deino</v>
          </cell>
          <cell r="C634" t="str">
            <v>Dark</v>
          </cell>
          <cell r="D634" t="str">
            <v>Dragon</v>
          </cell>
          <cell r="E634">
            <v>300</v>
          </cell>
          <cell r="F634">
            <v>52</v>
          </cell>
          <cell r="G634">
            <v>65</v>
          </cell>
          <cell r="H634">
            <v>50</v>
          </cell>
          <cell r="I634">
            <v>45</v>
          </cell>
          <cell r="J634">
            <v>50</v>
          </cell>
          <cell r="K634">
            <v>38</v>
          </cell>
          <cell r="L634">
            <v>5</v>
          </cell>
          <cell r="M634" t="b">
            <v>0</v>
          </cell>
        </row>
        <row r="635">
          <cell r="A635">
            <v>634</v>
          </cell>
          <cell r="B635" t="str">
            <v>Zweilous</v>
          </cell>
          <cell r="C635" t="str">
            <v>Dark</v>
          </cell>
          <cell r="D635" t="str">
            <v>Dragon</v>
          </cell>
          <cell r="E635">
            <v>420</v>
          </cell>
          <cell r="F635">
            <v>72</v>
          </cell>
          <cell r="G635">
            <v>85</v>
          </cell>
          <cell r="H635">
            <v>70</v>
          </cell>
          <cell r="I635">
            <v>65</v>
          </cell>
          <cell r="J635">
            <v>70</v>
          </cell>
          <cell r="K635">
            <v>58</v>
          </cell>
          <cell r="L635">
            <v>5</v>
          </cell>
          <cell r="M635" t="b">
            <v>0</v>
          </cell>
        </row>
        <row r="636">
          <cell r="A636">
            <v>635</v>
          </cell>
          <cell r="B636" t="str">
            <v>Hydreigon</v>
          </cell>
          <cell r="C636" t="str">
            <v>Dark</v>
          </cell>
          <cell r="D636" t="str">
            <v>Dragon</v>
          </cell>
          <cell r="E636">
            <v>600</v>
          </cell>
          <cell r="F636">
            <v>92</v>
          </cell>
          <cell r="G636">
            <v>105</v>
          </cell>
          <cell r="H636">
            <v>90</v>
          </cell>
          <cell r="I636">
            <v>125</v>
          </cell>
          <cell r="J636">
            <v>90</v>
          </cell>
          <cell r="K636">
            <v>98</v>
          </cell>
          <cell r="L636">
            <v>5</v>
          </cell>
          <cell r="M636" t="b">
            <v>0</v>
          </cell>
        </row>
        <row r="637">
          <cell r="A637">
            <v>636</v>
          </cell>
          <cell r="B637" t="str">
            <v>Larvesta</v>
          </cell>
          <cell r="C637" t="str">
            <v>Bug</v>
          </cell>
          <cell r="D637" t="str">
            <v>Fire</v>
          </cell>
          <cell r="E637">
            <v>360</v>
          </cell>
          <cell r="F637">
            <v>55</v>
          </cell>
          <cell r="G637">
            <v>85</v>
          </cell>
          <cell r="H637">
            <v>55</v>
          </cell>
          <cell r="I637">
            <v>50</v>
          </cell>
          <cell r="J637">
            <v>55</v>
          </cell>
          <cell r="K637">
            <v>60</v>
          </cell>
          <cell r="L637">
            <v>5</v>
          </cell>
          <cell r="M637" t="b">
            <v>0</v>
          </cell>
        </row>
        <row r="638">
          <cell r="A638">
            <v>637</v>
          </cell>
          <cell r="B638" t="str">
            <v>Volcarona</v>
          </cell>
          <cell r="C638" t="str">
            <v>Bug</v>
          </cell>
          <cell r="D638" t="str">
            <v>Fire</v>
          </cell>
          <cell r="E638">
            <v>550</v>
          </cell>
          <cell r="F638">
            <v>85</v>
          </cell>
          <cell r="G638">
            <v>60</v>
          </cell>
          <cell r="H638">
            <v>65</v>
          </cell>
          <cell r="I638">
            <v>135</v>
          </cell>
          <cell r="J638">
            <v>105</v>
          </cell>
          <cell r="K638">
            <v>100</v>
          </cell>
          <cell r="L638">
            <v>5</v>
          </cell>
          <cell r="M638" t="b">
            <v>0</v>
          </cell>
        </row>
        <row r="639">
          <cell r="A639">
            <v>638</v>
          </cell>
          <cell r="B639" t="str">
            <v>Cobalion</v>
          </cell>
          <cell r="C639" t="str">
            <v>Steel</v>
          </cell>
          <cell r="D639" t="str">
            <v>Fighting</v>
          </cell>
          <cell r="E639">
            <v>580</v>
          </cell>
          <cell r="F639">
            <v>91</v>
          </cell>
          <cell r="G639">
            <v>90</v>
          </cell>
          <cell r="H639">
            <v>129</v>
          </cell>
          <cell r="I639">
            <v>90</v>
          </cell>
          <cell r="J639">
            <v>72</v>
          </cell>
          <cell r="K639">
            <v>108</v>
          </cell>
          <cell r="L639">
            <v>5</v>
          </cell>
          <cell r="M639" t="b">
            <v>1</v>
          </cell>
        </row>
        <row r="640">
          <cell r="A640">
            <v>639</v>
          </cell>
          <cell r="B640" t="str">
            <v>Terrakion</v>
          </cell>
          <cell r="C640" t="str">
            <v>Rock</v>
          </cell>
          <cell r="D640" t="str">
            <v>Fighting</v>
          </cell>
          <cell r="E640">
            <v>580</v>
          </cell>
          <cell r="F640">
            <v>91</v>
          </cell>
          <cell r="G640">
            <v>129</v>
          </cell>
          <cell r="H640">
            <v>90</v>
          </cell>
          <cell r="I640">
            <v>72</v>
          </cell>
          <cell r="J640">
            <v>90</v>
          </cell>
          <cell r="K640">
            <v>108</v>
          </cell>
          <cell r="L640">
            <v>5</v>
          </cell>
          <cell r="M640" t="b">
            <v>1</v>
          </cell>
        </row>
        <row r="641">
          <cell r="A641">
            <v>640</v>
          </cell>
          <cell r="B641" t="str">
            <v>Virizion</v>
          </cell>
          <cell r="C641" t="str">
            <v>Grass</v>
          </cell>
          <cell r="D641" t="str">
            <v>Fighting</v>
          </cell>
          <cell r="E641">
            <v>580</v>
          </cell>
          <cell r="F641">
            <v>91</v>
          </cell>
          <cell r="G641">
            <v>90</v>
          </cell>
          <cell r="H641">
            <v>72</v>
          </cell>
          <cell r="I641">
            <v>90</v>
          </cell>
          <cell r="J641">
            <v>129</v>
          </cell>
          <cell r="K641">
            <v>108</v>
          </cell>
          <cell r="L641">
            <v>5</v>
          </cell>
          <cell r="M641" t="b">
            <v>1</v>
          </cell>
        </row>
        <row r="642">
          <cell r="A642">
            <v>641</v>
          </cell>
          <cell r="B642" t="str">
            <v>Tornadus</v>
          </cell>
          <cell r="C642" t="str">
            <v>Flying</v>
          </cell>
          <cell r="E642">
            <v>580</v>
          </cell>
          <cell r="F642">
            <v>79</v>
          </cell>
          <cell r="G642">
            <v>115</v>
          </cell>
          <cell r="H642">
            <v>70</v>
          </cell>
          <cell r="I642">
            <v>125</v>
          </cell>
          <cell r="J642">
            <v>80</v>
          </cell>
          <cell r="K642">
            <v>111</v>
          </cell>
          <cell r="L642">
            <v>5</v>
          </cell>
          <cell r="M642" t="b">
            <v>1</v>
          </cell>
        </row>
        <row r="643">
          <cell r="A643">
            <v>642</v>
          </cell>
          <cell r="B643" t="str">
            <v>Thundurus</v>
          </cell>
          <cell r="C643" t="str">
            <v>Electric</v>
          </cell>
          <cell r="D643" t="str">
            <v>Flying</v>
          </cell>
          <cell r="E643">
            <v>580</v>
          </cell>
          <cell r="F643">
            <v>79</v>
          </cell>
          <cell r="G643">
            <v>115</v>
          </cell>
          <cell r="H643">
            <v>70</v>
          </cell>
          <cell r="I643">
            <v>125</v>
          </cell>
          <cell r="J643">
            <v>80</v>
          </cell>
          <cell r="K643">
            <v>111</v>
          </cell>
          <cell r="L643">
            <v>5</v>
          </cell>
          <cell r="M643" t="b">
            <v>1</v>
          </cell>
        </row>
        <row r="644">
          <cell r="A644">
            <v>643</v>
          </cell>
          <cell r="B644" t="str">
            <v>Reshiram</v>
          </cell>
          <cell r="C644" t="str">
            <v>Dragon</v>
          </cell>
          <cell r="D644" t="str">
            <v>Fire</v>
          </cell>
          <cell r="E644">
            <v>680</v>
          </cell>
          <cell r="F644">
            <v>100</v>
          </cell>
          <cell r="G644">
            <v>120</v>
          </cell>
          <cell r="H644">
            <v>100</v>
          </cell>
          <cell r="I644">
            <v>150</v>
          </cell>
          <cell r="J644">
            <v>120</v>
          </cell>
          <cell r="K644">
            <v>90</v>
          </cell>
          <cell r="L644">
            <v>5</v>
          </cell>
          <cell r="M644" t="b">
            <v>1</v>
          </cell>
        </row>
        <row r="645">
          <cell r="A645">
            <v>644</v>
          </cell>
          <cell r="B645" t="str">
            <v>Zekrom</v>
          </cell>
          <cell r="C645" t="str">
            <v>Dragon</v>
          </cell>
          <cell r="D645" t="str">
            <v>Electric</v>
          </cell>
          <cell r="E645">
            <v>680</v>
          </cell>
          <cell r="F645">
            <v>100</v>
          </cell>
          <cell r="G645">
            <v>150</v>
          </cell>
          <cell r="H645">
            <v>120</v>
          </cell>
          <cell r="I645">
            <v>120</v>
          </cell>
          <cell r="J645">
            <v>100</v>
          </cell>
          <cell r="K645">
            <v>90</v>
          </cell>
          <cell r="L645">
            <v>5</v>
          </cell>
          <cell r="M645" t="b">
            <v>1</v>
          </cell>
        </row>
        <row r="646">
          <cell r="A646">
            <v>645</v>
          </cell>
          <cell r="B646" t="str">
            <v>Landorus</v>
          </cell>
          <cell r="C646" t="str">
            <v>Ground</v>
          </cell>
          <cell r="D646" t="str">
            <v>Flying</v>
          </cell>
          <cell r="E646">
            <v>600</v>
          </cell>
          <cell r="F646">
            <v>89</v>
          </cell>
          <cell r="G646">
            <v>125</v>
          </cell>
          <cell r="H646">
            <v>90</v>
          </cell>
          <cell r="I646">
            <v>115</v>
          </cell>
          <cell r="J646">
            <v>80</v>
          </cell>
          <cell r="K646">
            <v>101</v>
          </cell>
          <cell r="L646">
            <v>5</v>
          </cell>
          <cell r="M646" t="b">
            <v>1</v>
          </cell>
        </row>
        <row r="647">
          <cell r="A647">
            <v>646</v>
          </cell>
          <cell r="B647" t="str">
            <v>Kyurem</v>
          </cell>
          <cell r="C647" t="str">
            <v>Dragon</v>
          </cell>
          <cell r="D647" t="str">
            <v>Ice</v>
          </cell>
          <cell r="E647">
            <v>660</v>
          </cell>
          <cell r="F647">
            <v>125</v>
          </cell>
          <cell r="G647">
            <v>130</v>
          </cell>
          <cell r="H647">
            <v>90</v>
          </cell>
          <cell r="I647">
            <v>130</v>
          </cell>
          <cell r="J647">
            <v>90</v>
          </cell>
          <cell r="K647">
            <v>95</v>
          </cell>
          <cell r="L647">
            <v>5</v>
          </cell>
          <cell r="M647" t="b">
            <v>1</v>
          </cell>
        </row>
        <row r="648">
          <cell r="A648">
            <v>647</v>
          </cell>
          <cell r="B648" t="str">
            <v>Keldeo</v>
          </cell>
          <cell r="C648" t="str">
            <v>Water</v>
          </cell>
          <cell r="D648" t="str">
            <v>Fighting</v>
          </cell>
          <cell r="E648">
            <v>580</v>
          </cell>
          <cell r="F648">
            <v>91</v>
          </cell>
          <cell r="G648">
            <v>72</v>
          </cell>
          <cell r="H648">
            <v>90</v>
          </cell>
          <cell r="I648">
            <v>129</v>
          </cell>
          <cell r="J648">
            <v>90</v>
          </cell>
          <cell r="K648">
            <v>108</v>
          </cell>
          <cell r="L648">
            <v>5</v>
          </cell>
          <cell r="M648" t="b">
            <v>1</v>
          </cell>
        </row>
        <row r="649">
          <cell r="A649">
            <v>648</v>
          </cell>
          <cell r="B649" t="str">
            <v>Meloetta</v>
          </cell>
          <cell r="C649" t="str">
            <v>Normal</v>
          </cell>
          <cell r="D649" t="str">
            <v>Psychic</v>
          </cell>
          <cell r="E649">
            <v>600</v>
          </cell>
          <cell r="F649">
            <v>100</v>
          </cell>
          <cell r="G649">
            <v>77</v>
          </cell>
          <cell r="H649">
            <v>77</v>
          </cell>
          <cell r="I649">
            <v>128</v>
          </cell>
          <cell r="J649">
            <v>128</v>
          </cell>
          <cell r="K649">
            <v>90</v>
          </cell>
          <cell r="L649">
            <v>5</v>
          </cell>
          <cell r="M649" t="b">
            <v>1</v>
          </cell>
        </row>
        <row r="650">
          <cell r="A650">
            <v>649</v>
          </cell>
          <cell r="B650" t="str">
            <v>Genesect</v>
          </cell>
          <cell r="C650" t="str">
            <v>Bug</v>
          </cell>
          <cell r="D650" t="str">
            <v>Steel</v>
          </cell>
          <cell r="E650">
            <v>600</v>
          </cell>
          <cell r="F650">
            <v>71</v>
          </cell>
          <cell r="G650">
            <v>120</v>
          </cell>
          <cell r="H650">
            <v>95</v>
          </cell>
          <cell r="I650">
            <v>120</v>
          </cell>
          <cell r="J650">
            <v>95</v>
          </cell>
          <cell r="K650">
            <v>99</v>
          </cell>
          <cell r="L650">
            <v>5</v>
          </cell>
          <cell r="M650" t="b">
            <v>0</v>
          </cell>
        </row>
        <row r="651">
          <cell r="A651">
            <v>650</v>
          </cell>
          <cell r="B651" t="str">
            <v>Chespin</v>
          </cell>
          <cell r="C651" t="str">
            <v>Grass</v>
          </cell>
          <cell r="E651">
            <v>313</v>
          </cell>
          <cell r="F651">
            <v>56</v>
          </cell>
          <cell r="G651">
            <v>61</v>
          </cell>
          <cell r="H651">
            <v>65</v>
          </cell>
          <cell r="I651">
            <v>48</v>
          </cell>
          <cell r="J651">
            <v>45</v>
          </cell>
          <cell r="K651">
            <v>38</v>
          </cell>
          <cell r="L651">
            <v>6</v>
          </cell>
          <cell r="M651" t="b">
            <v>0</v>
          </cell>
        </row>
        <row r="652">
          <cell r="A652">
            <v>651</v>
          </cell>
          <cell r="B652" t="str">
            <v>Quilladin</v>
          </cell>
          <cell r="C652" t="str">
            <v>Grass</v>
          </cell>
          <cell r="E652">
            <v>405</v>
          </cell>
          <cell r="F652">
            <v>61</v>
          </cell>
          <cell r="G652">
            <v>78</v>
          </cell>
          <cell r="H652">
            <v>95</v>
          </cell>
          <cell r="I652">
            <v>56</v>
          </cell>
          <cell r="J652">
            <v>58</v>
          </cell>
          <cell r="K652">
            <v>57</v>
          </cell>
          <cell r="L652">
            <v>6</v>
          </cell>
          <cell r="M652" t="b">
            <v>0</v>
          </cell>
        </row>
        <row r="653">
          <cell r="A653">
            <v>652</v>
          </cell>
          <cell r="B653" t="str">
            <v>Chesnaught</v>
          </cell>
          <cell r="C653" t="str">
            <v>Grass</v>
          </cell>
          <cell r="D653" t="str">
            <v>Fighting</v>
          </cell>
          <cell r="E653">
            <v>530</v>
          </cell>
          <cell r="F653">
            <v>88</v>
          </cell>
          <cell r="G653">
            <v>107</v>
          </cell>
          <cell r="H653">
            <v>122</v>
          </cell>
          <cell r="I653">
            <v>74</v>
          </cell>
          <cell r="J653">
            <v>75</v>
          </cell>
          <cell r="K653">
            <v>64</v>
          </cell>
          <cell r="L653">
            <v>6</v>
          </cell>
          <cell r="M653" t="b">
            <v>0</v>
          </cell>
        </row>
        <row r="654">
          <cell r="A654">
            <v>653</v>
          </cell>
          <cell r="B654" t="str">
            <v>Fennekin</v>
          </cell>
          <cell r="C654" t="str">
            <v>Fire</v>
          </cell>
          <cell r="E654">
            <v>307</v>
          </cell>
          <cell r="F654">
            <v>40</v>
          </cell>
          <cell r="G654">
            <v>45</v>
          </cell>
          <cell r="H654">
            <v>40</v>
          </cell>
          <cell r="I654">
            <v>62</v>
          </cell>
          <cell r="J654">
            <v>60</v>
          </cell>
          <cell r="K654">
            <v>60</v>
          </cell>
          <cell r="L654">
            <v>6</v>
          </cell>
          <cell r="M654" t="b">
            <v>0</v>
          </cell>
        </row>
        <row r="655">
          <cell r="A655">
            <v>654</v>
          </cell>
          <cell r="B655" t="str">
            <v>Braixen</v>
          </cell>
          <cell r="C655" t="str">
            <v>Fire</v>
          </cell>
          <cell r="E655">
            <v>409</v>
          </cell>
          <cell r="F655">
            <v>59</v>
          </cell>
          <cell r="G655">
            <v>59</v>
          </cell>
          <cell r="H655">
            <v>58</v>
          </cell>
          <cell r="I655">
            <v>90</v>
          </cell>
          <cell r="J655">
            <v>70</v>
          </cell>
          <cell r="K655">
            <v>73</v>
          </cell>
          <cell r="L655">
            <v>6</v>
          </cell>
          <cell r="M655" t="b">
            <v>0</v>
          </cell>
        </row>
        <row r="656">
          <cell r="A656">
            <v>655</v>
          </cell>
          <cell r="B656" t="str">
            <v>Delphox</v>
          </cell>
          <cell r="C656" t="str">
            <v>Fire</v>
          </cell>
          <cell r="D656" t="str">
            <v>Psychic</v>
          </cell>
          <cell r="E656">
            <v>534</v>
          </cell>
          <cell r="F656">
            <v>75</v>
          </cell>
          <cell r="G656">
            <v>69</v>
          </cell>
          <cell r="H656">
            <v>72</v>
          </cell>
          <cell r="I656">
            <v>114</v>
          </cell>
          <cell r="J656">
            <v>100</v>
          </cell>
          <cell r="K656">
            <v>104</v>
          </cell>
          <cell r="L656">
            <v>6</v>
          </cell>
          <cell r="M656" t="b">
            <v>0</v>
          </cell>
        </row>
        <row r="657">
          <cell r="A657">
            <v>656</v>
          </cell>
          <cell r="B657" t="str">
            <v>Froakie</v>
          </cell>
          <cell r="C657" t="str">
            <v>Water</v>
          </cell>
          <cell r="E657">
            <v>314</v>
          </cell>
          <cell r="F657">
            <v>41</v>
          </cell>
          <cell r="G657">
            <v>56</v>
          </cell>
          <cell r="H657">
            <v>40</v>
          </cell>
          <cell r="I657">
            <v>62</v>
          </cell>
          <cell r="J657">
            <v>44</v>
          </cell>
          <cell r="K657">
            <v>71</v>
          </cell>
          <cell r="L657">
            <v>6</v>
          </cell>
          <cell r="M657" t="b">
            <v>0</v>
          </cell>
        </row>
        <row r="658">
          <cell r="A658">
            <v>657</v>
          </cell>
          <cell r="B658" t="str">
            <v>Frogadier</v>
          </cell>
          <cell r="C658" t="str">
            <v>Water</v>
          </cell>
          <cell r="E658">
            <v>405</v>
          </cell>
          <cell r="F658">
            <v>54</v>
          </cell>
          <cell r="G658">
            <v>63</v>
          </cell>
          <cell r="H658">
            <v>52</v>
          </cell>
          <cell r="I658">
            <v>83</v>
          </cell>
          <cell r="J658">
            <v>56</v>
          </cell>
          <cell r="K658">
            <v>97</v>
          </cell>
          <cell r="L658">
            <v>6</v>
          </cell>
          <cell r="M658" t="b">
            <v>0</v>
          </cell>
        </row>
        <row r="659">
          <cell r="A659">
            <v>658</v>
          </cell>
          <cell r="B659" t="str">
            <v>Greninja</v>
          </cell>
          <cell r="C659" t="str">
            <v>Water</v>
          </cell>
          <cell r="D659" t="str">
            <v>Dark</v>
          </cell>
          <cell r="E659">
            <v>530</v>
          </cell>
          <cell r="F659">
            <v>72</v>
          </cell>
          <cell r="G659">
            <v>95</v>
          </cell>
          <cell r="H659">
            <v>67</v>
          </cell>
          <cell r="I659">
            <v>103</v>
          </cell>
          <cell r="J659">
            <v>71</v>
          </cell>
          <cell r="K659">
            <v>122</v>
          </cell>
          <cell r="L659">
            <v>6</v>
          </cell>
          <cell r="M659" t="b">
            <v>0</v>
          </cell>
        </row>
        <row r="660">
          <cell r="A660">
            <v>659</v>
          </cell>
          <cell r="B660" t="str">
            <v>Bunnelby</v>
          </cell>
          <cell r="C660" t="str">
            <v>Normal</v>
          </cell>
          <cell r="E660">
            <v>237</v>
          </cell>
          <cell r="F660">
            <v>38</v>
          </cell>
          <cell r="G660">
            <v>36</v>
          </cell>
          <cell r="H660">
            <v>38</v>
          </cell>
          <cell r="I660">
            <v>32</v>
          </cell>
          <cell r="J660">
            <v>36</v>
          </cell>
          <cell r="K660">
            <v>57</v>
          </cell>
          <cell r="L660">
            <v>6</v>
          </cell>
          <cell r="M660" t="b">
            <v>0</v>
          </cell>
        </row>
        <row r="661">
          <cell r="A661">
            <v>660</v>
          </cell>
          <cell r="B661" t="str">
            <v>Diggersby</v>
          </cell>
          <cell r="C661" t="str">
            <v>Normal</v>
          </cell>
          <cell r="D661" t="str">
            <v>Ground</v>
          </cell>
          <cell r="E661">
            <v>423</v>
          </cell>
          <cell r="F661">
            <v>85</v>
          </cell>
          <cell r="G661">
            <v>56</v>
          </cell>
          <cell r="H661">
            <v>77</v>
          </cell>
          <cell r="I661">
            <v>50</v>
          </cell>
          <cell r="J661">
            <v>77</v>
          </cell>
          <cell r="K661">
            <v>78</v>
          </cell>
          <cell r="L661">
            <v>6</v>
          </cell>
          <cell r="M661" t="b">
            <v>0</v>
          </cell>
        </row>
        <row r="662">
          <cell r="A662">
            <v>661</v>
          </cell>
          <cell r="B662" t="str">
            <v>Fletchling</v>
          </cell>
          <cell r="C662" t="str">
            <v>Normal</v>
          </cell>
          <cell r="D662" t="str">
            <v>Flying</v>
          </cell>
          <cell r="E662">
            <v>278</v>
          </cell>
          <cell r="F662">
            <v>45</v>
          </cell>
          <cell r="G662">
            <v>50</v>
          </cell>
          <cell r="H662">
            <v>43</v>
          </cell>
          <cell r="I662">
            <v>40</v>
          </cell>
          <cell r="J662">
            <v>38</v>
          </cell>
          <cell r="K662">
            <v>62</v>
          </cell>
          <cell r="L662">
            <v>6</v>
          </cell>
          <cell r="M662" t="b">
            <v>0</v>
          </cell>
        </row>
        <row r="663">
          <cell r="A663">
            <v>662</v>
          </cell>
          <cell r="B663" t="str">
            <v>Fletchinder</v>
          </cell>
          <cell r="C663" t="str">
            <v>Fire</v>
          </cell>
          <cell r="D663" t="str">
            <v>Flying</v>
          </cell>
          <cell r="E663">
            <v>382</v>
          </cell>
          <cell r="F663">
            <v>62</v>
          </cell>
          <cell r="G663">
            <v>73</v>
          </cell>
          <cell r="H663">
            <v>55</v>
          </cell>
          <cell r="I663">
            <v>56</v>
          </cell>
          <cell r="J663">
            <v>52</v>
          </cell>
          <cell r="K663">
            <v>84</v>
          </cell>
          <cell r="L663">
            <v>6</v>
          </cell>
          <cell r="M663" t="b">
            <v>0</v>
          </cell>
        </row>
        <row r="664">
          <cell r="A664">
            <v>663</v>
          </cell>
          <cell r="B664" t="str">
            <v>Talonflame</v>
          </cell>
          <cell r="C664" t="str">
            <v>Fire</v>
          </cell>
          <cell r="D664" t="str">
            <v>Flying</v>
          </cell>
          <cell r="E664">
            <v>499</v>
          </cell>
          <cell r="F664">
            <v>78</v>
          </cell>
          <cell r="G664">
            <v>81</v>
          </cell>
          <cell r="H664">
            <v>71</v>
          </cell>
          <cell r="I664">
            <v>74</v>
          </cell>
          <cell r="J664">
            <v>69</v>
          </cell>
          <cell r="K664">
            <v>126</v>
          </cell>
          <cell r="L664">
            <v>6</v>
          </cell>
          <cell r="M664" t="b">
            <v>0</v>
          </cell>
        </row>
        <row r="665">
          <cell r="A665">
            <v>664</v>
          </cell>
          <cell r="B665" t="str">
            <v>Scatterbug</v>
          </cell>
          <cell r="C665" t="str">
            <v>Bug</v>
          </cell>
          <cell r="E665">
            <v>200</v>
          </cell>
          <cell r="F665">
            <v>38</v>
          </cell>
          <cell r="G665">
            <v>35</v>
          </cell>
          <cell r="H665">
            <v>40</v>
          </cell>
          <cell r="I665">
            <v>27</v>
          </cell>
          <cell r="J665">
            <v>25</v>
          </cell>
          <cell r="K665">
            <v>35</v>
          </cell>
          <cell r="L665">
            <v>6</v>
          </cell>
          <cell r="M665" t="b">
            <v>0</v>
          </cell>
        </row>
        <row r="666">
          <cell r="A666">
            <v>665</v>
          </cell>
          <cell r="B666" t="str">
            <v>Spewpa</v>
          </cell>
          <cell r="C666" t="str">
            <v>Bug</v>
          </cell>
          <cell r="E666">
            <v>213</v>
          </cell>
          <cell r="F666">
            <v>45</v>
          </cell>
          <cell r="G666">
            <v>22</v>
          </cell>
          <cell r="H666">
            <v>60</v>
          </cell>
          <cell r="I666">
            <v>27</v>
          </cell>
          <cell r="J666">
            <v>30</v>
          </cell>
          <cell r="K666">
            <v>29</v>
          </cell>
          <cell r="L666">
            <v>6</v>
          </cell>
          <cell r="M666" t="b">
            <v>0</v>
          </cell>
        </row>
        <row r="667">
          <cell r="A667">
            <v>666</v>
          </cell>
          <cell r="B667" t="str">
            <v>Vivillon</v>
          </cell>
          <cell r="C667" t="str">
            <v>Bug</v>
          </cell>
          <cell r="D667" t="str">
            <v>Flying</v>
          </cell>
          <cell r="E667">
            <v>411</v>
          </cell>
          <cell r="F667">
            <v>80</v>
          </cell>
          <cell r="G667">
            <v>52</v>
          </cell>
          <cell r="H667">
            <v>50</v>
          </cell>
          <cell r="I667">
            <v>90</v>
          </cell>
          <cell r="J667">
            <v>50</v>
          </cell>
          <cell r="K667">
            <v>89</v>
          </cell>
          <cell r="L667">
            <v>6</v>
          </cell>
          <cell r="M667" t="b">
            <v>0</v>
          </cell>
        </row>
        <row r="668">
          <cell r="A668">
            <v>667</v>
          </cell>
          <cell r="B668" t="str">
            <v>Litleo</v>
          </cell>
          <cell r="C668" t="str">
            <v>Fire</v>
          </cell>
          <cell r="D668" t="str">
            <v>Normal</v>
          </cell>
          <cell r="E668">
            <v>369</v>
          </cell>
          <cell r="F668">
            <v>62</v>
          </cell>
          <cell r="G668">
            <v>50</v>
          </cell>
          <cell r="H668">
            <v>58</v>
          </cell>
          <cell r="I668">
            <v>73</v>
          </cell>
          <cell r="J668">
            <v>54</v>
          </cell>
          <cell r="K668">
            <v>72</v>
          </cell>
          <cell r="L668">
            <v>6</v>
          </cell>
          <cell r="M668" t="b">
            <v>0</v>
          </cell>
        </row>
        <row r="669">
          <cell r="A669">
            <v>668</v>
          </cell>
          <cell r="B669" t="str">
            <v>Pyroar</v>
          </cell>
          <cell r="C669" t="str">
            <v>Fire</v>
          </cell>
          <cell r="D669" t="str">
            <v>Normal</v>
          </cell>
          <cell r="E669">
            <v>507</v>
          </cell>
          <cell r="F669">
            <v>86</v>
          </cell>
          <cell r="G669">
            <v>68</v>
          </cell>
          <cell r="H669">
            <v>72</v>
          </cell>
          <cell r="I669">
            <v>109</v>
          </cell>
          <cell r="J669">
            <v>66</v>
          </cell>
          <cell r="K669">
            <v>106</v>
          </cell>
          <cell r="L669">
            <v>6</v>
          </cell>
          <cell r="M669" t="b">
            <v>0</v>
          </cell>
        </row>
        <row r="670">
          <cell r="A670">
            <v>669</v>
          </cell>
          <cell r="B670" t="str">
            <v>Flabebe</v>
          </cell>
          <cell r="C670" t="str">
            <v>Fairy</v>
          </cell>
          <cell r="E670">
            <v>303</v>
          </cell>
          <cell r="F670">
            <v>44</v>
          </cell>
          <cell r="G670">
            <v>38</v>
          </cell>
          <cell r="H670">
            <v>39</v>
          </cell>
          <cell r="I670">
            <v>61</v>
          </cell>
          <cell r="J670">
            <v>79</v>
          </cell>
          <cell r="K670">
            <v>42</v>
          </cell>
          <cell r="L670">
            <v>6</v>
          </cell>
          <cell r="M670" t="b">
            <v>0</v>
          </cell>
        </row>
        <row r="671">
          <cell r="A671">
            <v>670</v>
          </cell>
          <cell r="B671" t="str">
            <v>Floette</v>
          </cell>
          <cell r="C671" t="str">
            <v>Fairy</v>
          </cell>
          <cell r="E671">
            <v>371</v>
          </cell>
          <cell r="F671">
            <v>54</v>
          </cell>
          <cell r="G671">
            <v>45</v>
          </cell>
          <cell r="H671">
            <v>47</v>
          </cell>
          <cell r="I671">
            <v>75</v>
          </cell>
          <cell r="J671">
            <v>98</v>
          </cell>
          <cell r="K671">
            <v>52</v>
          </cell>
          <cell r="L671">
            <v>6</v>
          </cell>
          <cell r="M671" t="b">
            <v>0</v>
          </cell>
        </row>
        <row r="672">
          <cell r="A672">
            <v>671</v>
          </cell>
          <cell r="B672" t="str">
            <v>Florges</v>
          </cell>
          <cell r="C672" t="str">
            <v>Fairy</v>
          </cell>
          <cell r="E672">
            <v>552</v>
          </cell>
          <cell r="F672">
            <v>78</v>
          </cell>
          <cell r="G672">
            <v>65</v>
          </cell>
          <cell r="H672">
            <v>68</v>
          </cell>
          <cell r="I672">
            <v>112</v>
          </cell>
          <cell r="J672">
            <v>154</v>
          </cell>
          <cell r="K672">
            <v>75</v>
          </cell>
          <cell r="L672">
            <v>6</v>
          </cell>
          <cell r="M672" t="b">
            <v>0</v>
          </cell>
        </row>
        <row r="673">
          <cell r="A673">
            <v>672</v>
          </cell>
          <cell r="B673" t="str">
            <v>Skiddo</v>
          </cell>
          <cell r="C673" t="str">
            <v>Grass</v>
          </cell>
          <cell r="E673">
            <v>350</v>
          </cell>
          <cell r="F673">
            <v>66</v>
          </cell>
          <cell r="G673">
            <v>65</v>
          </cell>
          <cell r="H673">
            <v>48</v>
          </cell>
          <cell r="I673">
            <v>62</v>
          </cell>
          <cell r="J673">
            <v>57</v>
          </cell>
          <cell r="K673">
            <v>52</v>
          </cell>
          <cell r="L673">
            <v>6</v>
          </cell>
          <cell r="M673" t="b">
            <v>0</v>
          </cell>
        </row>
        <row r="674">
          <cell r="A674">
            <v>673</v>
          </cell>
          <cell r="B674" t="str">
            <v>Gogoat</v>
          </cell>
          <cell r="C674" t="str">
            <v>Grass</v>
          </cell>
          <cell r="E674">
            <v>531</v>
          </cell>
          <cell r="F674">
            <v>123</v>
          </cell>
          <cell r="G674">
            <v>100</v>
          </cell>
          <cell r="H674">
            <v>62</v>
          </cell>
          <cell r="I674">
            <v>97</v>
          </cell>
          <cell r="J674">
            <v>81</v>
          </cell>
          <cell r="K674">
            <v>68</v>
          </cell>
          <cell r="L674">
            <v>6</v>
          </cell>
          <cell r="M674" t="b">
            <v>0</v>
          </cell>
        </row>
        <row r="675">
          <cell r="A675">
            <v>674</v>
          </cell>
          <cell r="B675" t="str">
            <v>Pancham</v>
          </cell>
          <cell r="C675" t="str">
            <v>Fighting</v>
          </cell>
          <cell r="E675">
            <v>348</v>
          </cell>
          <cell r="F675">
            <v>67</v>
          </cell>
          <cell r="G675">
            <v>82</v>
          </cell>
          <cell r="H675">
            <v>62</v>
          </cell>
          <cell r="I675">
            <v>46</v>
          </cell>
          <cell r="J675">
            <v>48</v>
          </cell>
          <cell r="K675">
            <v>43</v>
          </cell>
          <cell r="L675">
            <v>6</v>
          </cell>
          <cell r="M675" t="b">
            <v>0</v>
          </cell>
        </row>
        <row r="676">
          <cell r="A676">
            <v>675</v>
          </cell>
          <cell r="B676" t="str">
            <v>Pangoro</v>
          </cell>
          <cell r="C676" t="str">
            <v>Fighting</v>
          </cell>
          <cell r="D676" t="str">
            <v>Dark</v>
          </cell>
          <cell r="E676">
            <v>495</v>
          </cell>
          <cell r="F676">
            <v>95</v>
          </cell>
          <cell r="G676">
            <v>124</v>
          </cell>
          <cell r="H676">
            <v>78</v>
          </cell>
          <cell r="I676">
            <v>69</v>
          </cell>
          <cell r="J676">
            <v>71</v>
          </cell>
          <cell r="K676">
            <v>58</v>
          </cell>
          <cell r="L676">
            <v>6</v>
          </cell>
          <cell r="M676" t="b">
            <v>0</v>
          </cell>
        </row>
        <row r="677">
          <cell r="A677">
            <v>676</v>
          </cell>
          <cell r="B677" t="str">
            <v>Furfrou</v>
          </cell>
          <cell r="C677" t="str">
            <v>Normal</v>
          </cell>
          <cell r="E677">
            <v>472</v>
          </cell>
          <cell r="F677">
            <v>75</v>
          </cell>
          <cell r="G677">
            <v>80</v>
          </cell>
          <cell r="H677">
            <v>60</v>
          </cell>
          <cell r="I677">
            <v>65</v>
          </cell>
          <cell r="J677">
            <v>90</v>
          </cell>
          <cell r="K677">
            <v>102</v>
          </cell>
          <cell r="L677">
            <v>6</v>
          </cell>
          <cell r="M677" t="b">
            <v>0</v>
          </cell>
        </row>
        <row r="678">
          <cell r="A678">
            <v>677</v>
          </cell>
          <cell r="B678" t="str">
            <v>Espurr</v>
          </cell>
          <cell r="C678" t="str">
            <v>Psychic</v>
          </cell>
          <cell r="E678">
            <v>355</v>
          </cell>
          <cell r="F678">
            <v>62</v>
          </cell>
          <cell r="G678">
            <v>48</v>
          </cell>
          <cell r="H678">
            <v>54</v>
          </cell>
          <cell r="I678">
            <v>63</v>
          </cell>
          <cell r="J678">
            <v>60</v>
          </cell>
          <cell r="K678">
            <v>68</v>
          </cell>
          <cell r="L678">
            <v>6</v>
          </cell>
          <cell r="M678" t="b">
            <v>0</v>
          </cell>
        </row>
        <row r="679">
          <cell r="A679">
            <v>678</v>
          </cell>
          <cell r="B679" t="str">
            <v>Meowstic</v>
          </cell>
          <cell r="C679" t="str">
            <v>Psychic</v>
          </cell>
          <cell r="E679">
            <v>466</v>
          </cell>
          <cell r="F679">
            <v>74</v>
          </cell>
          <cell r="G679">
            <v>48</v>
          </cell>
          <cell r="H679">
            <v>76</v>
          </cell>
          <cell r="I679">
            <v>83</v>
          </cell>
          <cell r="J679">
            <v>81</v>
          </cell>
          <cell r="K679">
            <v>104</v>
          </cell>
          <cell r="L679">
            <v>6</v>
          </cell>
          <cell r="M679" t="b">
            <v>0</v>
          </cell>
        </row>
        <row r="680">
          <cell r="A680">
            <v>679</v>
          </cell>
          <cell r="B680" t="str">
            <v>Honedge</v>
          </cell>
          <cell r="C680" t="str">
            <v>Steel</v>
          </cell>
          <cell r="D680" t="str">
            <v>Ghost</v>
          </cell>
          <cell r="E680">
            <v>325</v>
          </cell>
          <cell r="F680">
            <v>45</v>
          </cell>
          <cell r="G680">
            <v>80</v>
          </cell>
          <cell r="H680">
            <v>100</v>
          </cell>
          <cell r="I680">
            <v>35</v>
          </cell>
          <cell r="J680">
            <v>37</v>
          </cell>
          <cell r="K680">
            <v>28</v>
          </cell>
          <cell r="L680">
            <v>6</v>
          </cell>
          <cell r="M680" t="b">
            <v>0</v>
          </cell>
        </row>
        <row r="681">
          <cell r="A681">
            <v>680</v>
          </cell>
          <cell r="B681" t="str">
            <v>Doublade</v>
          </cell>
          <cell r="C681" t="str">
            <v>Steel</v>
          </cell>
          <cell r="D681" t="str">
            <v>Ghost</v>
          </cell>
          <cell r="E681">
            <v>448</v>
          </cell>
          <cell r="F681">
            <v>59</v>
          </cell>
          <cell r="G681">
            <v>110</v>
          </cell>
          <cell r="H681">
            <v>150</v>
          </cell>
          <cell r="I681">
            <v>45</v>
          </cell>
          <cell r="J681">
            <v>49</v>
          </cell>
          <cell r="K681">
            <v>35</v>
          </cell>
          <cell r="L681">
            <v>6</v>
          </cell>
          <cell r="M681" t="b">
            <v>0</v>
          </cell>
        </row>
        <row r="682">
          <cell r="A682">
            <v>681</v>
          </cell>
          <cell r="B682" t="str">
            <v>Aegislash</v>
          </cell>
          <cell r="C682" t="str">
            <v>Steel</v>
          </cell>
          <cell r="D682" t="str">
            <v>Ghost</v>
          </cell>
          <cell r="E682">
            <v>520</v>
          </cell>
          <cell r="F682">
            <v>60</v>
          </cell>
          <cell r="G682">
            <v>150</v>
          </cell>
          <cell r="H682">
            <v>50</v>
          </cell>
          <cell r="I682">
            <v>150</v>
          </cell>
          <cell r="J682">
            <v>50</v>
          </cell>
          <cell r="K682">
            <v>60</v>
          </cell>
          <cell r="L682">
            <v>6</v>
          </cell>
          <cell r="M682" t="b">
            <v>0</v>
          </cell>
        </row>
        <row r="683">
          <cell r="A683">
            <v>682</v>
          </cell>
          <cell r="B683" t="str">
            <v>Spritzee</v>
          </cell>
          <cell r="C683" t="str">
            <v>Fairy</v>
          </cell>
          <cell r="E683">
            <v>341</v>
          </cell>
          <cell r="F683">
            <v>78</v>
          </cell>
          <cell r="G683">
            <v>52</v>
          </cell>
          <cell r="H683">
            <v>60</v>
          </cell>
          <cell r="I683">
            <v>63</v>
          </cell>
          <cell r="J683">
            <v>65</v>
          </cell>
          <cell r="K683">
            <v>23</v>
          </cell>
          <cell r="L683">
            <v>6</v>
          </cell>
          <cell r="M683" t="b">
            <v>0</v>
          </cell>
        </row>
        <row r="684">
          <cell r="A684">
            <v>683</v>
          </cell>
          <cell r="B684" t="str">
            <v>Aromatisse</v>
          </cell>
          <cell r="C684" t="str">
            <v>Fairy</v>
          </cell>
          <cell r="E684">
            <v>462</v>
          </cell>
          <cell r="F684">
            <v>101</v>
          </cell>
          <cell r="G684">
            <v>72</v>
          </cell>
          <cell r="H684">
            <v>72</v>
          </cell>
          <cell r="I684">
            <v>99</v>
          </cell>
          <cell r="J684">
            <v>89</v>
          </cell>
          <cell r="K684">
            <v>29</v>
          </cell>
          <cell r="L684">
            <v>6</v>
          </cell>
          <cell r="M684" t="b">
            <v>0</v>
          </cell>
        </row>
        <row r="685">
          <cell r="A685">
            <v>684</v>
          </cell>
          <cell r="B685" t="str">
            <v>Swirlix</v>
          </cell>
          <cell r="C685" t="str">
            <v>Fairy</v>
          </cell>
          <cell r="E685">
            <v>341</v>
          </cell>
          <cell r="F685">
            <v>62</v>
          </cell>
          <cell r="G685">
            <v>48</v>
          </cell>
          <cell r="H685">
            <v>66</v>
          </cell>
          <cell r="I685">
            <v>59</v>
          </cell>
          <cell r="J685">
            <v>57</v>
          </cell>
          <cell r="K685">
            <v>49</v>
          </cell>
          <cell r="L685">
            <v>6</v>
          </cell>
          <cell r="M685" t="b">
            <v>0</v>
          </cell>
        </row>
        <row r="686">
          <cell r="A686">
            <v>685</v>
          </cell>
          <cell r="B686" t="str">
            <v>Slurpuff</v>
          </cell>
          <cell r="C686" t="str">
            <v>Fairy</v>
          </cell>
          <cell r="E686">
            <v>480</v>
          </cell>
          <cell r="F686">
            <v>82</v>
          </cell>
          <cell r="G686">
            <v>80</v>
          </cell>
          <cell r="H686">
            <v>86</v>
          </cell>
          <cell r="I686">
            <v>85</v>
          </cell>
          <cell r="J686">
            <v>75</v>
          </cell>
          <cell r="K686">
            <v>72</v>
          </cell>
          <cell r="L686">
            <v>6</v>
          </cell>
          <cell r="M686" t="b">
            <v>0</v>
          </cell>
        </row>
        <row r="687">
          <cell r="A687">
            <v>686</v>
          </cell>
          <cell r="B687" t="str">
            <v>Inkay</v>
          </cell>
          <cell r="C687" t="str">
            <v>Dark</v>
          </cell>
          <cell r="D687" t="str">
            <v>Psychic</v>
          </cell>
          <cell r="E687">
            <v>288</v>
          </cell>
          <cell r="F687">
            <v>53</v>
          </cell>
          <cell r="G687">
            <v>54</v>
          </cell>
          <cell r="H687">
            <v>53</v>
          </cell>
          <cell r="I687">
            <v>37</v>
          </cell>
          <cell r="J687">
            <v>46</v>
          </cell>
          <cell r="K687">
            <v>45</v>
          </cell>
          <cell r="L687">
            <v>6</v>
          </cell>
          <cell r="M687" t="b">
            <v>0</v>
          </cell>
        </row>
        <row r="688">
          <cell r="A688">
            <v>687</v>
          </cell>
          <cell r="B688" t="str">
            <v>Malamar</v>
          </cell>
          <cell r="C688" t="str">
            <v>Dark</v>
          </cell>
          <cell r="D688" t="str">
            <v>Psychic</v>
          </cell>
          <cell r="E688">
            <v>482</v>
          </cell>
          <cell r="F688">
            <v>86</v>
          </cell>
          <cell r="G688">
            <v>92</v>
          </cell>
          <cell r="H688">
            <v>88</v>
          </cell>
          <cell r="I688">
            <v>68</v>
          </cell>
          <cell r="J688">
            <v>75</v>
          </cell>
          <cell r="K688">
            <v>73</v>
          </cell>
          <cell r="L688">
            <v>6</v>
          </cell>
          <cell r="M688" t="b">
            <v>0</v>
          </cell>
        </row>
        <row r="689">
          <cell r="A689">
            <v>688</v>
          </cell>
          <cell r="B689" t="str">
            <v>Binacle</v>
          </cell>
          <cell r="C689" t="str">
            <v>Rock</v>
          </cell>
          <cell r="D689" t="str">
            <v>Water</v>
          </cell>
          <cell r="E689">
            <v>306</v>
          </cell>
          <cell r="F689">
            <v>42</v>
          </cell>
          <cell r="G689">
            <v>52</v>
          </cell>
          <cell r="H689">
            <v>67</v>
          </cell>
          <cell r="I689">
            <v>39</v>
          </cell>
          <cell r="J689">
            <v>56</v>
          </cell>
          <cell r="K689">
            <v>50</v>
          </cell>
          <cell r="L689">
            <v>6</v>
          </cell>
          <cell r="M689" t="b">
            <v>0</v>
          </cell>
        </row>
        <row r="690">
          <cell r="A690">
            <v>689</v>
          </cell>
          <cell r="B690" t="str">
            <v>Barbaracle</v>
          </cell>
          <cell r="C690" t="str">
            <v>Rock</v>
          </cell>
          <cell r="D690" t="str">
            <v>Water</v>
          </cell>
          <cell r="E690">
            <v>500</v>
          </cell>
          <cell r="F690">
            <v>72</v>
          </cell>
          <cell r="G690">
            <v>105</v>
          </cell>
          <cell r="H690">
            <v>115</v>
          </cell>
          <cell r="I690">
            <v>54</v>
          </cell>
          <cell r="J690">
            <v>86</v>
          </cell>
          <cell r="K690">
            <v>68</v>
          </cell>
          <cell r="L690">
            <v>6</v>
          </cell>
          <cell r="M690" t="b">
            <v>0</v>
          </cell>
        </row>
        <row r="691">
          <cell r="A691">
            <v>690</v>
          </cell>
          <cell r="B691" t="str">
            <v>Skrelp</v>
          </cell>
          <cell r="C691" t="str">
            <v>Poison</v>
          </cell>
          <cell r="D691" t="str">
            <v>Water</v>
          </cell>
          <cell r="E691">
            <v>320</v>
          </cell>
          <cell r="F691">
            <v>50</v>
          </cell>
          <cell r="G691">
            <v>60</v>
          </cell>
          <cell r="H691">
            <v>60</v>
          </cell>
          <cell r="I691">
            <v>60</v>
          </cell>
          <cell r="J691">
            <v>60</v>
          </cell>
          <cell r="K691">
            <v>30</v>
          </cell>
          <cell r="L691">
            <v>6</v>
          </cell>
          <cell r="M691" t="b">
            <v>0</v>
          </cell>
        </row>
        <row r="692">
          <cell r="A692">
            <v>691</v>
          </cell>
          <cell r="B692" t="str">
            <v>Dragalge</v>
          </cell>
          <cell r="C692" t="str">
            <v>Poison</v>
          </cell>
          <cell r="D692" t="str">
            <v>Dragon</v>
          </cell>
          <cell r="E692">
            <v>494</v>
          </cell>
          <cell r="F692">
            <v>65</v>
          </cell>
          <cell r="G692">
            <v>75</v>
          </cell>
          <cell r="H692">
            <v>90</v>
          </cell>
          <cell r="I692">
            <v>97</v>
          </cell>
          <cell r="J692">
            <v>123</v>
          </cell>
          <cell r="K692">
            <v>44</v>
          </cell>
          <cell r="L692">
            <v>6</v>
          </cell>
          <cell r="M692" t="b">
            <v>0</v>
          </cell>
        </row>
        <row r="693">
          <cell r="A693">
            <v>692</v>
          </cell>
          <cell r="B693" t="str">
            <v>Clauncher</v>
          </cell>
          <cell r="C693" t="str">
            <v>Water</v>
          </cell>
          <cell r="E693">
            <v>330</v>
          </cell>
          <cell r="F693">
            <v>50</v>
          </cell>
          <cell r="G693">
            <v>53</v>
          </cell>
          <cell r="H693">
            <v>62</v>
          </cell>
          <cell r="I693">
            <v>58</v>
          </cell>
          <cell r="J693">
            <v>63</v>
          </cell>
          <cell r="K693">
            <v>44</v>
          </cell>
          <cell r="L693">
            <v>6</v>
          </cell>
          <cell r="M693" t="b">
            <v>0</v>
          </cell>
        </row>
        <row r="694">
          <cell r="A694">
            <v>693</v>
          </cell>
          <cell r="B694" t="str">
            <v>Clawitzer</v>
          </cell>
          <cell r="C694" t="str">
            <v>Water</v>
          </cell>
          <cell r="E694">
            <v>500</v>
          </cell>
          <cell r="F694">
            <v>71</v>
          </cell>
          <cell r="G694">
            <v>73</v>
          </cell>
          <cell r="H694">
            <v>88</v>
          </cell>
          <cell r="I694">
            <v>120</v>
          </cell>
          <cell r="J694">
            <v>89</v>
          </cell>
          <cell r="K694">
            <v>59</v>
          </cell>
          <cell r="L694">
            <v>6</v>
          </cell>
          <cell r="M694" t="b">
            <v>0</v>
          </cell>
        </row>
        <row r="695">
          <cell r="A695">
            <v>694</v>
          </cell>
          <cell r="B695" t="str">
            <v>Helioptile</v>
          </cell>
          <cell r="C695" t="str">
            <v>Electric</v>
          </cell>
          <cell r="D695" t="str">
            <v>Normal</v>
          </cell>
          <cell r="E695">
            <v>289</v>
          </cell>
          <cell r="F695">
            <v>44</v>
          </cell>
          <cell r="G695">
            <v>38</v>
          </cell>
          <cell r="H695">
            <v>33</v>
          </cell>
          <cell r="I695">
            <v>61</v>
          </cell>
          <cell r="J695">
            <v>43</v>
          </cell>
          <cell r="K695">
            <v>70</v>
          </cell>
          <cell r="L695">
            <v>6</v>
          </cell>
          <cell r="M695" t="b">
            <v>0</v>
          </cell>
        </row>
        <row r="696">
          <cell r="A696">
            <v>695</v>
          </cell>
          <cell r="B696" t="str">
            <v>Heliolisk</v>
          </cell>
          <cell r="C696" t="str">
            <v>Electric</v>
          </cell>
          <cell r="D696" t="str">
            <v>Normal</v>
          </cell>
          <cell r="E696">
            <v>481</v>
          </cell>
          <cell r="F696">
            <v>62</v>
          </cell>
          <cell r="G696">
            <v>55</v>
          </cell>
          <cell r="H696">
            <v>52</v>
          </cell>
          <cell r="I696">
            <v>109</v>
          </cell>
          <cell r="J696">
            <v>94</v>
          </cell>
          <cell r="K696">
            <v>109</v>
          </cell>
          <cell r="L696">
            <v>6</v>
          </cell>
          <cell r="M696" t="b">
            <v>0</v>
          </cell>
        </row>
        <row r="697">
          <cell r="A697">
            <v>696</v>
          </cell>
          <cell r="B697" t="str">
            <v>Tyrunt</v>
          </cell>
          <cell r="C697" t="str">
            <v>Rock</v>
          </cell>
          <cell r="D697" t="str">
            <v>Dragon</v>
          </cell>
          <cell r="E697">
            <v>362</v>
          </cell>
          <cell r="F697">
            <v>58</v>
          </cell>
          <cell r="G697">
            <v>89</v>
          </cell>
          <cell r="H697">
            <v>77</v>
          </cell>
          <cell r="I697">
            <v>45</v>
          </cell>
          <cell r="J697">
            <v>45</v>
          </cell>
          <cell r="K697">
            <v>48</v>
          </cell>
          <cell r="L697">
            <v>6</v>
          </cell>
          <cell r="M697" t="b">
            <v>0</v>
          </cell>
        </row>
        <row r="698">
          <cell r="A698">
            <v>697</v>
          </cell>
          <cell r="B698" t="str">
            <v>Tyrantrum</v>
          </cell>
          <cell r="C698" t="str">
            <v>Rock</v>
          </cell>
          <cell r="D698" t="str">
            <v>Dragon</v>
          </cell>
          <cell r="E698">
            <v>521</v>
          </cell>
          <cell r="F698">
            <v>82</v>
          </cell>
          <cell r="G698">
            <v>121</v>
          </cell>
          <cell r="H698">
            <v>119</v>
          </cell>
          <cell r="I698">
            <v>69</v>
          </cell>
          <cell r="J698">
            <v>59</v>
          </cell>
          <cell r="K698">
            <v>71</v>
          </cell>
          <cell r="L698">
            <v>6</v>
          </cell>
          <cell r="M698" t="b">
            <v>0</v>
          </cell>
        </row>
        <row r="699">
          <cell r="A699">
            <v>698</v>
          </cell>
          <cell r="B699" t="str">
            <v>Amaura</v>
          </cell>
          <cell r="C699" t="str">
            <v>Rock</v>
          </cell>
          <cell r="D699" t="str">
            <v>Ice</v>
          </cell>
          <cell r="E699">
            <v>362</v>
          </cell>
          <cell r="F699">
            <v>77</v>
          </cell>
          <cell r="G699">
            <v>59</v>
          </cell>
          <cell r="H699">
            <v>50</v>
          </cell>
          <cell r="I699">
            <v>67</v>
          </cell>
          <cell r="J699">
            <v>63</v>
          </cell>
          <cell r="K699">
            <v>46</v>
          </cell>
          <cell r="L699">
            <v>6</v>
          </cell>
          <cell r="M699" t="b">
            <v>0</v>
          </cell>
        </row>
        <row r="700">
          <cell r="A700">
            <v>699</v>
          </cell>
          <cell r="B700" t="str">
            <v>Aurorus</v>
          </cell>
          <cell r="C700" t="str">
            <v>Rock</v>
          </cell>
          <cell r="D700" t="str">
            <v>Ice</v>
          </cell>
          <cell r="E700">
            <v>521</v>
          </cell>
          <cell r="F700">
            <v>123</v>
          </cell>
          <cell r="G700">
            <v>77</v>
          </cell>
          <cell r="H700">
            <v>72</v>
          </cell>
          <cell r="I700">
            <v>99</v>
          </cell>
          <cell r="J700">
            <v>92</v>
          </cell>
          <cell r="K700">
            <v>58</v>
          </cell>
          <cell r="L700">
            <v>6</v>
          </cell>
          <cell r="M700" t="b">
            <v>0</v>
          </cell>
        </row>
        <row r="701">
          <cell r="A701">
            <v>700</v>
          </cell>
          <cell r="B701" t="str">
            <v>Sylveon</v>
          </cell>
          <cell r="C701" t="str">
            <v>Fairy</v>
          </cell>
          <cell r="E701">
            <v>525</v>
          </cell>
          <cell r="F701">
            <v>95</v>
          </cell>
          <cell r="G701">
            <v>65</v>
          </cell>
          <cell r="H701">
            <v>65</v>
          </cell>
          <cell r="I701">
            <v>110</v>
          </cell>
          <cell r="J701">
            <v>130</v>
          </cell>
          <cell r="K701">
            <v>60</v>
          </cell>
          <cell r="L701">
            <v>6</v>
          </cell>
          <cell r="M701" t="b">
            <v>0</v>
          </cell>
        </row>
        <row r="702">
          <cell r="A702">
            <v>701</v>
          </cell>
          <cell r="B702" t="str">
            <v>Hawlucha</v>
          </cell>
          <cell r="C702" t="str">
            <v>Fighting</v>
          </cell>
          <cell r="D702" t="str">
            <v>Flying</v>
          </cell>
          <cell r="E702">
            <v>500</v>
          </cell>
          <cell r="F702">
            <v>78</v>
          </cell>
          <cell r="G702">
            <v>92</v>
          </cell>
          <cell r="H702">
            <v>75</v>
          </cell>
          <cell r="I702">
            <v>74</v>
          </cell>
          <cell r="J702">
            <v>63</v>
          </cell>
          <cell r="K702">
            <v>118</v>
          </cell>
          <cell r="L702">
            <v>6</v>
          </cell>
          <cell r="M702" t="b">
            <v>0</v>
          </cell>
        </row>
        <row r="703">
          <cell r="A703">
            <v>702</v>
          </cell>
          <cell r="B703" t="str">
            <v>Dedenne</v>
          </cell>
          <cell r="C703" t="str">
            <v>Electric</v>
          </cell>
          <cell r="D703" t="str">
            <v>Fairy</v>
          </cell>
          <cell r="E703">
            <v>431</v>
          </cell>
          <cell r="F703">
            <v>67</v>
          </cell>
          <cell r="G703">
            <v>58</v>
          </cell>
          <cell r="H703">
            <v>57</v>
          </cell>
          <cell r="I703">
            <v>81</v>
          </cell>
          <cell r="J703">
            <v>67</v>
          </cell>
          <cell r="K703">
            <v>101</v>
          </cell>
          <cell r="L703">
            <v>6</v>
          </cell>
          <cell r="M703" t="b">
            <v>0</v>
          </cell>
        </row>
        <row r="704">
          <cell r="A704">
            <v>703</v>
          </cell>
          <cell r="B704" t="str">
            <v>Carbink</v>
          </cell>
          <cell r="C704" t="str">
            <v>Rock</v>
          </cell>
          <cell r="D704" t="str">
            <v>Fairy</v>
          </cell>
          <cell r="E704">
            <v>500</v>
          </cell>
          <cell r="F704">
            <v>50</v>
          </cell>
          <cell r="G704">
            <v>50</v>
          </cell>
          <cell r="H704">
            <v>150</v>
          </cell>
          <cell r="I704">
            <v>50</v>
          </cell>
          <cell r="J704">
            <v>150</v>
          </cell>
          <cell r="K704">
            <v>50</v>
          </cell>
          <cell r="L704">
            <v>6</v>
          </cell>
          <cell r="M704" t="b">
            <v>0</v>
          </cell>
        </row>
        <row r="705">
          <cell r="A705">
            <v>704</v>
          </cell>
          <cell r="B705" t="str">
            <v>Goomy</v>
          </cell>
          <cell r="C705" t="str">
            <v>Dragon</v>
          </cell>
          <cell r="E705">
            <v>300</v>
          </cell>
          <cell r="F705">
            <v>45</v>
          </cell>
          <cell r="G705">
            <v>50</v>
          </cell>
          <cell r="H705">
            <v>35</v>
          </cell>
          <cell r="I705">
            <v>55</v>
          </cell>
          <cell r="J705">
            <v>75</v>
          </cell>
          <cell r="K705">
            <v>40</v>
          </cell>
          <cell r="L705">
            <v>6</v>
          </cell>
          <cell r="M705" t="b">
            <v>0</v>
          </cell>
        </row>
        <row r="706">
          <cell r="A706">
            <v>705</v>
          </cell>
          <cell r="B706" t="str">
            <v>Sliggoo</v>
          </cell>
          <cell r="C706" t="str">
            <v>Dragon</v>
          </cell>
          <cell r="E706">
            <v>452</v>
          </cell>
          <cell r="F706">
            <v>68</v>
          </cell>
          <cell r="G706">
            <v>75</v>
          </cell>
          <cell r="H706">
            <v>53</v>
          </cell>
          <cell r="I706">
            <v>83</v>
          </cell>
          <cell r="J706">
            <v>113</v>
          </cell>
          <cell r="K706">
            <v>60</v>
          </cell>
          <cell r="L706">
            <v>6</v>
          </cell>
          <cell r="M706" t="b">
            <v>0</v>
          </cell>
        </row>
        <row r="707">
          <cell r="A707">
            <v>706</v>
          </cell>
          <cell r="B707" t="str">
            <v>Goodra</v>
          </cell>
          <cell r="C707" t="str">
            <v>Dragon</v>
          </cell>
          <cell r="E707">
            <v>600</v>
          </cell>
          <cell r="F707">
            <v>90</v>
          </cell>
          <cell r="G707">
            <v>100</v>
          </cell>
          <cell r="H707">
            <v>70</v>
          </cell>
          <cell r="I707">
            <v>110</v>
          </cell>
          <cell r="J707">
            <v>150</v>
          </cell>
          <cell r="K707">
            <v>80</v>
          </cell>
          <cell r="L707">
            <v>6</v>
          </cell>
          <cell r="M707" t="b">
            <v>0</v>
          </cell>
        </row>
        <row r="708">
          <cell r="A708">
            <v>707</v>
          </cell>
          <cell r="B708" t="str">
            <v>Klefki</v>
          </cell>
          <cell r="C708" t="str">
            <v>Steel</v>
          </cell>
          <cell r="D708" t="str">
            <v>Fairy</v>
          </cell>
          <cell r="E708">
            <v>470</v>
          </cell>
          <cell r="F708">
            <v>57</v>
          </cell>
          <cell r="G708">
            <v>80</v>
          </cell>
          <cell r="H708">
            <v>91</v>
          </cell>
          <cell r="I708">
            <v>80</v>
          </cell>
          <cell r="J708">
            <v>87</v>
          </cell>
          <cell r="K708">
            <v>75</v>
          </cell>
          <cell r="L708">
            <v>6</v>
          </cell>
          <cell r="M708" t="b">
            <v>0</v>
          </cell>
        </row>
        <row r="709">
          <cell r="A709">
            <v>708</v>
          </cell>
          <cell r="B709" t="str">
            <v>Phantump</v>
          </cell>
          <cell r="C709" t="str">
            <v>Ghost</v>
          </cell>
          <cell r="D709" t="str">
            <v>Grass</v>
          </cell>
          <cell r="E709">
            <v>309</v>
          </cell>
          <cell r="F709">
            <v>43</v>
          </cell>
          <cell r="G709">
            <v>70</v>
          </cell>
          <cell r="H709">
            <v>48</v>
          </cell>
          <cell r="I709">
            <v>50</v>
          </cell>
          <cell r="J709">
            <v>60</v>
          </cell>
          <cell r="K709">
            <v>38</v>
          </cell>
          <cell r="L709">
            <v>6</v>
          </cell>
          <cell r="M709" t="b">
            <v>0</v>
          </cell>
        </row>
        <row r="710">
          <cell r="A710">
            <v>709</v>
          </cell>
          <cell r="B710" t="str">
            <v>Trevenant</v>
          </cell>
          <cell r="C710" t="str">
            <v>Ghost</v>
          </cell>
          <cell r="D710" t="str">
            <v>Grass</v>
          </cell>
          <cell r="E710">
            <v>474</v>
          </cell>
          <cell r="F710">
            <v>85</v>
          </cell>
          <cell r="G710">
            <v>110</v>
          </cell>
          <cell r="H710">
            <v>76</v>
          </cell>
          <cell r="I710">
            <v>65</v>
          </cell>
          <cell r="J710">
            <v>82</v>
          </cell>
          <cell r="K710">
            <v>56</v>
          </cell>
          <cell r="L710">
            <v>6</v>
          </cell>
          <cell r="M710" t="b">
            <v>0</v>
          </cell>
        </row>
        <row r="711">
          <cell r="A711">
            <v>710</v>
          </cell>
          <cell r="B711" t="str">
            <v>Pumpkaboo</v>
          </cell>
          <cell r="C711" t="str">
            <v>Ghost</v>
          </cell>
          <cell r="D711" t="str">
            <v>Grass</v>
          </cell>
          <cell r="E711">
            <v>335</v>
          </cell>
          <cell r="F711">
            <v>49</v>
          </cell>
          <cell r="G711">
            <v>66</v>
          </cell>
          <cell r="H711">
            <v>70</v>
          </cell>
          <cell r="I711">
            <v>44</v>
          </cell>
          <cell r="J711">
            <v>55</v>
          </cell>
          <cell r="K711">
            <v>51</v>
          </cell>
          <cell r="L711">
            <v>6</v>
          </cell>
          <cell r="M711" t="b">
            <v>0</v>
          </cell>
        </row>
        <row r="712">
          <cell r="A712">
            <v>711</v>
          </cell>
          <cell r="B712" t="str">
            <v>Gourgeist</v>
          </cell>
          <cell r="C712" t="str">
            <v>Ghost</v>
          </cell>
          <cell r="D712" t="str">
            <v>Grass</v>
          </cell>
          <cell r="E712">
            <v>494</v>
          </cell>
          <cell r="F712">
            <v>65</v>
          </cell>
          <cell r="G712">
            <v>90</v>
          </cell>
          <cell r="H712">
            <v>122</v>
          </cell>
          <cell r="I712">
            <v>58</v>
          </cell>
          <cell r="J712">
            <v>75</v>
          </cell>
          <cell r="K712">
            <v>84</v>
          </cell>
          <cell r="L712">
            <v>6</v>
          </cell>
          <cell r="M712" t="b">
            <v>0</v>
          </cell>
        </row>
        <row r="713">
          <cell r="A713">
            <v>712</v>
          </cell>
          <cell r="B713" t="str">
            <v>Bergmite</v>
          </cell>
          <cell r="C713" t="str">
            <v>Ice</v>
          </cell>
          <cell r="E713">
            <v>304</v>
          </cell>
          <cell r="F713">
            <v>55</v>
          </cell>
          <cell r="G713">
            <v>69</v>
          </cell>
          <cell r="H713">
            <v>85</v>
          </cell>
          <cell r="I713">
            <v>32</v>
          </cell>
          <cell r="J713">
            <v>35</v>
          </cell>
          <cell r="K713">
            <v>28</v>
          </cell>
          <cell r="L713">
            <v>6</v>
          </cell>
          <cell r="M713" t="b">
            <v>0</v>
          </cell>
        </row>
        <row r="714">
          <cell r="A714">
            <v>713</v>
          </cell>
          <cell r="B714" t="str">
            <v>Avalugg</v>
          </cell>
          <cell r="C714" t="str">
            <v>Ice</v>
          </cell>
          <cell r="E714">
            <v>514</v>
          </cell>
          <cell r="F714">
            <v>95</v>
          </cell>
          <cell r="G714">
            <v>117</v>
          </cell>
          <cell r="H714">
            <v>184</v>
          </cell>
          <cell r="I714">
            <v>44</v>
          </cell>
          <cell r="J714">
            <v>46</v>
          </cell>
          <cell r="K714">
            <v>28</v>
          </cell>
          <cell r="L714">
            <v>6</v>
          </cell>
          <cell r="M714" t="b">
            <v>0</v>
          </cell>
        </row>
        <row r="715">
          <cell r="A715">
            <v>714</v>
          </cell>
          <cell r="B715" t="str">
            <v>Noibat</v>
          </cell>
          <cell r="C715" t="str">
            <v>Flying</v>
          </cell>
          <cell r="D715" t="str">
            <v>Dragon</v>
          </cell>
          <cell r="E715">
            <v>245</v>
          </cell>
          <cell r="F715">
            <v>40</v>
          </cell>
          <cell r="G715">
            <v>30</v>
          </cell>
          <cell r="H715">
            <v>35</v>
          </cell>
          <cell r="I715">
            <v>45</v>
          </cell>
          <cell r="J715">
            <v>40</v>
          </cell>
          <cell r="K715">
            <v>55</v>
          </cell>
          <cell r="L715">
            <v>6</v>
          </cell>
          <cell r="M715" t="b">
            <v>0</v>
          </cell>
        </row>
        <row r="716">
          <cell r="A716">
            <v>715</v>
          </cell>
          <cell r="B716" t="str">
            <v>Noivern</v>
          </cell>
          <cell r="C716" t="str">
            <v>Flying</v>
          </cell>
          <cell r="D716" t="str">
            <v>Dragon</v>
          </cell>
          <cell r="E716">
            <v>535</v>
          </cell>
          <cell r="F716">
            <v>85</v>
          </cell>
          <cell r="G716">
            <v>70</v>
          </cell>
          <cell r="H716">
            <v>80</v>
          </cell>
          <cell r="I716">
            <v>97</v>
          </cell>
          <cell r="J716">
            <v>80</v>
          </cell>
          <cell r="K716">
            <v>123</v>
          </cell>
          <cell r="L716">
            <v>6</v>
          </cell>
          <cell r="M716" t="b">
            <v>0</v>
          </cell>
        </row>
        <row r="717">
          <cell r="A717">
            <v>716</v>
          </cell>
          <cell r="B717" t="str">
            <v>Xerneas</v>
          </cell>
          <cell r="C717" t="str">
            <v>Fairy</v>
          </cell>
          <cell r="E717">
            <v>680</v>
          </cell>
          <cell r="F717">
            <v>126</v>
          </cell>
          <cell r="G717">
            <v>131</v>
          </cell>
          <cell r="H717">
            <v>95</v>
          </cell>
          <cell r="I717">
            <v>131</v>
          </cell>
          <cell r="J717">
            <v>98</v>
          </cell>
          <cell r="K717">
            <v>99</v>
          </cell>
          <cell r="L717">
            <v>6</v>
          </cell>
          <cell r="M717" t="b">
            <v>1</v>
          </cell>
        </row>
        <row r="718">
          <cell r="A718">
            <v>717</v>
          </cell>
          <cell r="B718" t="str">
            <v>Yveltal</v>
          </cell>
          <cell r="C718" t="str">
            <v>Dark</v>
          </cell>
          <cell r="D718" t="str">
            <v>Flying</v>
          </cell>
          <cell r="E718">
            <v>680</v>
          </cell>
          <cell r="F718">
            <v>126</v>
          </cell>
          <cell r="G718">
            <v>131</v>
          </cell>
          <cell r="H718">
            <v>95</v>
          </cell>
          <cell r="I718">
            <v>131</v>
          </cell>
          <cell r="J718">
            <v>98</v>
          </cell>
          <cell r="K718">
            <v>99</v>
          </cell>
          <cell r="L718">
            <v>6</v>
          </cell>
          <cell r="M718" t="b">
            <v>1</v>
          </cell>
        </row>
        <row r="719">
          <cell r="A719">
            <v>718</v>
          </cell>
          <cell r="B719" t="str">
            <v>Zygarde</v>
          </cell>
          <cell r="C719" t="str">
            <v>Dragon</v>
          </cell>
          <cell r="D719" t="str">
            <v>Ground</v>
          </cell>
          <cell r="E719">
            <v>600</v>
          </cell>
          <cell r="F719">
            <v>108</v>
          </cell>
          <cell r="G719">
            <v>100</v>
          </cell>
          <cell r="H719">
            <v>121</v>
          </cell>
          <cell r="I719">
            <v>81</v>
          </cell>
          <cell r="J719">
            <v>95</v>
          </cell>
          <cell r="K719">
            <v>95</v>
          </cell>
          <cell r="L719">
            <v>6</v>
          </cell>
          <cell r="M719" t="b">
            <v>1</v>
          </cell>
        </row>
        <row r="720">
          <cell r="A720">
            <v>719</v>
          </cell>
          <cell r="B720" t="str">
            <v>Diancie</v>
          </cell>
          <cell r="C720" t="str">
            <v>Rock</v>
          </cell>
          <cell r="D720" t="str">
            <v>Fairy</v>
          </cell>
          <cell r="E720">
            <v>600</v>
          </cell>
          <cell r="F720">
            <v>50</v>
          </cell>
          <cell r="G720">
            <v>100</v>
          </cell>
          <cell r="H720">
            <v>150</v>
          </cell>
          <cell r="I720">
            <v>100</v>
          </cell>
          <cell r="J720">
            <v>150</v>
          </cell>
          <cell r="K720">
            <v>50</v>
          </cell>
          <cell r="L720">
            <v>6</v>
          </cell>
          <cell r="M720" t="b">
            <v>1</v>
          </cell>
        </row>
        <row r="721">
          <cell r="A721">
            <v>720</v>
          </cell>
          <cell r="B721" t="str">
            <v>Hoopa</v>
          </cell>
          <cell r="C721" t="str">
            <v>Psychic</v>
          </cell>
          <cell r="D721" t="str">
            <v>Ghost</v>
          </cell>
          <cell r="E721">
            <v>600</v>
          </cell>
          <cell r="F721">
            <v>80</v>
          </cell>
          <cell r="G721">
            <v>110</v>
          </cell>
          <cell r="H721">
            <v>60</v>
          </cell>
          <cell r="I721">
            <v>150</v>
          </cell>
          <cell r="J721">
            <v>130</v>
          </cell>
          <cell r="K721">
            <v>70</v>
          </cell>
          <cell r="L721">
            <v>6</v>
          </cell>
          <cell r="M721" t="b">
            <v>1</v>
          </cell>
        </row>
        <row r="722">
          <cell r="A722">
            <v>721</v>
          </cell>
          <cell r="B722" t="str">
            <v>Volcanion</v>
          </cell>
          <cell r="C722" t="str">
            <v>Fire</v>
          </cell>
          <cell r="D722" t="str">
            <v>Water</v>
          </cell>
          <cell r="E722">
            <v>600</v>
          </cell>
          <cell r="F722">
            <v>80</v>
          </cell>
          <cell r="G722">
            <v>110</v>
          </cell>
          <cell r="H722">
            <v>120</v>
          </cell>
          <cell r="I722">
            <v>130</v>
          </cell>
          <cell r="J722">
            <v>90</v>
          </cell>
          <cell r="K722">
            <v>70</v>
          </cell>
          <cell r="L722">
            <v>6</v>
          </cell>
          <cell r="M722" t="b">
            <v>1</v>
          </cell>
        </row>
        <row r="723">
          <cell r="A723">
            <v>722</v>
          </cell>
          <cell r="B723" t="str">
            <v>Rowlet</v>
          </cell>
          <cell r="C723" t="str">
            <v>Grass</v>
          </cell>
          <cell r="D723" t="str">
            <v>Flying</v>
          </cell>
          <cell r="L723">
            <v>7</v>
          </cell>
        </row>
        <row r="724">
          <cell r="A724">
            <v>723</v>
          </cell>
          <cell r="B724" t="str">
            <v>Dartrix</v>
          </cell>
          <cell r="C724" t="str">
            <v>Grass</v>
          </cell>
          <cell r="D724" t="str">
            <v>Flying</v>
          </cell>
          <cell r="L724">
            <v>7</v>
          </cell>
        </row>
        <row r="725">
          <cell r="A725">
            <v>724</v>
          </cell>
          <cell r="B725" t="str">
            <v>Decidueye</v>
          </cell>
          <cell r="C725" t="str">
            <v>Grass</v>
          </cell>
          <cell r="D725" t="str">
            <v>Ghost</v>
          </cell>
          <cell r="L725">
            <v>7</v>
          </cell>
        </row>
        <row r="726">
          <cell r="A726">
            <v>725</v>
          </cell>
          <cell r="B726" t="str">
            <v>Litten</v>
          </cell>
          <cell r="C726" t="str">
            <v>Fire</v>
          </cell>
          <cell r="L726">
            <v>7</v>
          </cell>
        </row>
        <row r="727">
          <cell r="A727">
            <v>726</v>
          </cell>
          <cell r="B727" t="str">
            <v>Torracat</v>
          </cell>
          <cell r="C727" t="str">
            <v>Fire</v>
          </cell>
          <cell r="L727">
            <v>7</v>
          </cell>
        </row>
        <row r="728">
          <cell r="A728">
            <v>727</v>
          </cell>
          <cell r="B728" t="str">
            <v>Incineroar</v>
          </cell>
          <cell r="C728" t="str">
            <v>Fire</v>
          </cell>
          <cell r="D728" t="str">
            <v>Dark</v>
          </cell>
          <cell r="L728">
            <v>7</v>
          </cell>
        </row>
        <row r="729">
          <cell r="A729">
            <v>728</v>
          </cell>
          <cell r="B729" t="str">
            <v>Popplio</v>
          </cell>
          <cell r="C729" t="str">
            <v>Water</v>
          </cell>
          <cell r="L729">
            <v>7</v>
          </cell>
        </row>
        <row r="730">
          <cell r="A730">
            <v>729</v>
          </cell>
          <cell r="B730" t="str">
            <v>Brionne</v>
          </cell>
          <cell r="C730" t="str">
            <v>Water</v>
          </cell>
          <cell r="L730">
            <v>7</v>
          </cell>
        </row>
        <row r="731">
          <cell r="A731">
            <v>730</v>
          </cell>
          <cell r="B731" t="str">
            <v>Primarina</v>
          </cell>
          <cell r="C731" t="str">
            <v>Water</v>
          </cell>
          <cell r="D731" t="str">
            <v>Fairy</v>
          </cell>
          <cell r="L731">
            <v>7</v>
          </cell>
        </row>
        <row r="732">
          <cell r="A732">
            <v>731</v>
          </cell>
          <cell r="B732" t="str">
            <v>Pikipek</v>
          </cell>
          <cell r="C732" t="str">
            <v>Normal</v>
          </cell>
          <cell r="D732" t="str">
            <v>Flying</v>
          </cell>
          <cell r="L732">
            <v>7</v>
          </cell>
        </row>
        <row r="733">
          <cell r="A733">
            <v>732</v>
          </cell>
          <cell r="B733" t="str">
            <v>Trumbeak</v>
          </cell>
          <cell r="C733" t="str">
            <v>Normal</v>
          </cell>
          <cell r="D733" t="str">
            <v>Flying</v>
          </cell>
          <cell r="L733">
            <v>7</v>
          </cell>
        </row>
        <row r="734">
          <cell r="A734">
            <v>733</v>
          </cell>
          <cell r="B734" t="str">
            <v>Toucannon</v>
          </cell>
          <cell r="C734" t="str">
            <v>Normal</v>
          </cell>
          <cell r="D734" t="str">
            <v>Flying</v>
          </cell>
          <cell r="L734">
            <v>7</v>
          </cell>
        </row>
        <row r="735">
          <cell r="A735">
            <v>734</v>
          </cell>
          <cell r="B735" t="str">
            <v>Yungoos</v>
          </cell>
          <cell r="C735" t="str">
            <v>Normal</v>
          </cell>
          <cell r="L735">
            <v>7</v>
          </cell>
        </row>
        <row r="736">
          <cell r="A736">
            <v>735</v>
          </cell>
          <cell r="B736" t="str">
            <v>Gumshoos</v>
          </cell>
          <cell r="C736" t="str">
            <v>Normal</v>
          </cell>
          <cell r="L736">
            <v>7</v>
          </cell>
        </row>
        <row r="737">
          <cell r="A737">
            <v>736</v>
          </cell>
          <cell r="B737" t="str">
            <v>Grubbin</v>
          </cell>
          <cell r="C737" t="str">
            <v>Bug</v>
          </cell>
          <cell r="L737">
            <v>7</v>
          </cell>
        </row>
        <row r="738">
          <cell r="A738">
            <v>737</v>
          </cell>
          <cell r="B738" t="str">
            <v>Charjabug</v>
          </cell>
          <cell r="C738" t="str">
            <v>Bug</v>
          </cell>
          <cell r="D738" t="str">
            <v>Electric</v>
          </cell>
          <cell r="L738">
            <v>7</v>
          </cell>
        </row>
        <row r="739">
          <cell r="A739">
            <v>738</v>
          </cell>
          <cell r="B739" t="str">
            <v>Vikavolt</v>
          </cell>
          <cell r="C739" t="str">
            <v>Bug</v>
          </cell>
          <cell r="D739" t="str">
            <v>Electric</v>
          </cell>
          <cell r="L739">
            <v>7</v>
          </cell>
        </row>
        <row r="740">
          <cell r="A740">
            <v>739</v>
          </cell>
          <cell r="B740" t="str">
            <v>Crabrawler</v>
          </cell>
          <cell r="C740" t="str">
            <v>Fighting</v>
          </cell>
          <cell r="L740">
            <v>7</v>
          </cell>
        </row>
        <row r="741">
          <cell r="A741">
            <v>740</v>
          </cell>
          <cell r="B741" t="str">
            <v>Crabominable</v>
          </cell>
          <cell r="C741" t="str">
            <v>Fighting</v>
          </cell>
          <cell r="L741">
            <v>7</v>
          </cell>
        </row>
        <row r="742">
          <cell r="A742">
            <v>741</v>
          </cell>
          <cell r="B742" t="str">
            <v>Oricorio</v>
          </cell>
          <cell r="C742" t="str">
            <v>Fire</v>
          </cell>
          <cell r="D742" t="str">
            <v>Flying</v>
          </cell>
          <cell r="L742">
            <v>7</v>
          </cell>
        </row>
        <row r="743">
          <cell r="A743">
            <v>742</v>
          </cell>
          <cell r="B743" t="str">
            <v>Cutiefly</v>
          </cell>
          <cell r="C743" t="str">
            <v>Bug</v>
          </cell>
          <cell r="D743" t="str">
            <v>Fairy</v>
          </cell>
          <cell r="L743">
            <v>7</v>
          </cell>
        </row>
        <row r="744">
          <cell r="A744">
            <v>743</v>
          </cell>
          <cell r="B744" t="str">
            <v>Ribombee</v>
          </cell>
          <cell r="C744" t="str">
            <v>Bug</v>
          </cell>
          <cell r="D744" t="str">
            <v>Fairy</v>
          </cell>
          <cell r="L744">
            <v>7</v>
          </cell>
        </row>
        <row r="745">
          <cell r="A745">
            <v>744</v>
          </cell>
          <cell r="B745" t="str">
            <v>Rockruff</v>
          </cell>
          <cell r="C745" t="str">
            <v>Rock</v>
          </cell>
          <cell r="L745">
            <v>7</v>
          </cell>
        </row>
        <row r="746">
          <cell r="A746">
            <v>745</v>
          </cell>
          <cell r="B746" t="str">
            <v>Lycanroc</v>
          </cell>
          <cell r="C746" t="str">
            <v>Rock</v>
          </cell>
          <cell r="L746">
            <v>7</v>
          </cell>
        </row>
        <row r="747">
          <cell r="A747">
            <v>746</v>
          </cell>
          <cell r="B747" t="str">
            <v>Wishiwashi</v>
          </cell>
          <cell r="C747" t="str">
            <v>Water</v>
          </cell>
          <cell r="L747">
            <v>7</v>
          </cell>
        </row>
        <row r="748">
          <cell r="A748">
            <v>747</v>
          </cell>
          <cell r="B748" t="str">
            <v>Mareanie</v>
          </cell>
          <cell r="C748" t="str">
            <v>Water</v>
          </cell>
          <cell r="D748" t="str">
            <v>Poison</v>
          </cell>
          <cell r="L748">
            <v>7</v>
          </cell>
        </row>
        <row r="749">
          <cell r="A749">
            <v>748</v>
          </cell>
          <cell r="B749" t="str">
            <v>Toxapex</v>
          </cell>
          <cell r="C749" t="str">
            <v>Water</v>
          </cell>
          <cell r="D749" t="str">
            <v>Poison</v>
          </cell>
          <cell r="L749">
            <v>7</v>
          </cell>
        </row>
        <row r="750">
          <cell r="A750">
            <v>749</v>
          </cell>
          <cell r="B750" t="str">
            <v>Mudbray</v>
          </cell>
          <cell r="C750" t="str">
            <v>Ground</v>
          </cell>
          <cell r="L750">
            <v>7</v>
          </cell>
        </row>
        <row r="751">
          <cell r="A751">
            <v>750</v>
          </cell>
          <cell r="B751" t="str">
            <v>Mudsdale</v>
          </cell>
          <cell r="C751" t="str">
            <v>Ground</v>
          </cell>
          <cell r="L751">
            <v>7</v>
          </cell>
        </row>
        <row r="752">
          <cell r="A752">
            <v>751</v>
          </cell>
          <cell r="B752" t="str">
            <v>Dewpider</v>
          </cell>
          <cell r="C752" t="str">
            <v>Water</v>
          </cell>
          <cell r="D752" t="str">
            <v>Bug</v>
          </cell>
          <cell r="L752">
            <v>7</v>
          </cell>
        </row>
        <row r="753">
          <cell r="A753">
            <v>752</v>
          </cell>
          <cell r="B753" t="str">
            <v>Araquanid</v>
          </cell>
          <cell r="C753" t="str">
            <v>Water</v>
          </cell>
          <cell r="D753" t="str">
            <v>Bug</v>
          </cell>
          <cell r="L753">
            <v>7</v>
          </cell>
        </row>
        <row r="754">
          <cell r="A754">
            <v>753</v>
          </cell>
          <cell r="B754" t="str">
            <v>Fomantis</v>
          </cell>
          <cell r="C754" t="str">
            <v>Grass</v>
          </cell>
          <cell r="L754">
            <v>7</v>
          </cell>
        </row>
        <row r="755">
          <cell r="A755">
            <v>754</v>
          </cell>
          <cell r="B755" t="str">
            <v>Lurantis</v>
          </cell>
          <cell r="C755" t="str">
            <v>Grass</v>
          </cell>
          <cell r="L755">
            <v>7</v>
          </cell>
        </row>
        <row r="756">
          <cell r="A756">
            <v>755</v>
          </cell>
          <cell r="B756" t="str">
            <v>Morelull</v>
          </cell>
          <cell r="C756" t="str">
            <v>Grass</v>
          </cell>
          <cell r="D756" t="str">
            <v>Fairy</v>
          </cell>
          <cell r="L756">
            <v>7</v>
          </cell>
        </row>
        <row r="757">
          <cell r="A757">
            <v>756</v>
          </cell>
          <cell r="B757" t="str">
            <v>Shiinotic</v>
          </cell>
          <cell r="C757" t="str">
            <v>Grass</v>
          </cell>
          <cell r="D757" t="str">
            <v>Fairy</v>
          </cell>
          <cell r="L757">
            <v>7</v>
          </cell>
        </row>
        <row r="758">
          <cell r="A758">
            <v>757</v>
          </cell>
          <cell r="B758" t="str">
            <v>Salandit</v>
          </cell>
          <cell r="C758" t="str">
            <v>Poison</v>
          </cell>
          <cell r="D758" t="str">
            <v>Fire</v>
          </cell>
          <cell r="L758">
            <v>7</v>
          </cell>
        </row>
        <row r="759">
          <cell r="A759">
            <v>758</v>
          </cell>
          <cell r="B759" t="str">
            <v>Salazzle</v>
          </cell>
          <cell r="C759" t="str">
            <v>Poison</v>
          </cell>
          <cell r="D759" t="str">
            <v>Fire</v>
          </cell>
          <cell r="L759">
            <v>7</v>
          </cell>
        </row>
        <row r="760">
          <cell r="A760">
            <v>759</v>
          </cell>
          <cell r="B760" t="str">
            <v>Stufful</v>
          </cell>
          <cell r="C760" t="str">
            <v>Normal</v>
          </cell>
          <cell r="D760" t="str">
            <v>Fighting</v>
          </cell>
          <cell r="L760">
            <v>7</v>
          </cell>
        </row>
        <row r="761">
          <cell r="A761">
            <v>760</v>
          </cell>
          <cell r="B761" t="str">
            <v>Bewear</v>
          </cell>
          <cell r="C761" t="str">
            <v>Normal</v>
          </cell>
          <cell r="D761" t="str">
            <v>Fighting</v>
          </cell>
          <cell r="L761">
            <v>7</v>
          </cell>
        </row>
        <row r="762">
          <cell r="A762">
            <v>761</v>
          </cell>
          <cell r="B762" t="str">
            <v>Bounsweet</v>
          </cell>
          <cell r="C762" t="str">
            <v>Grass</v>
          </cell>
          <cell r="L762">
            <v>7</v>
          </cell>
        </row>
        <row r="763">
          <cell r="A763">
            <v>762</v>
          </cell>
          <cell r="B763" t="str">
            <v>Steenee</v>
          </cell>
          <cell r="C763" t="str">
            <v>Grass</v>
          </cell>
          <cell r="L763">
            <v>7</v>
          </cell>
        </row>
        <row r="764">
          <cell r="A764">
            <v>763</v>
          </cell>
          <cell r="B764" t="str">
            <v>Tsareena</v>
          </cell>
          <cell r="C764" t="str">
            <v>Grass</v>
          </cell>
          <cell r="L764">
            <v>7</v>
          </cell>
        </row>
        <row r="765">
          <cell r="A765">
            <v>764</v>
          </cell>
          <cell r="B765" t="str">
            <v>Comfey</v>
          </cell>
          <cell r="C765" t="str">
            <v>Fairy</v>
          </cell>
          <cell r="L765">
            <v>7</v>
          </cell>
        </row>
        <row r="766">
          <cell r="A766">
            <v>765</v>
          </cell>
          <cell r="B766" t="str">
            <v>Oranguru</v>
          </cell>
          <cell r="C766" t="str">
            <v>Normal</v>
          </cell>
          <cell r="D766" t="str">
            <v>Psychic</v>
          </cell>
          <cell r="L766">
            <v>7</v>
          </cell>
        </row>
        <row r="767">
          <cell r="A767">
            <v>766</v>
          </cell>
          <cell r="B767" t="str">
            <v>Passimian</v>
          </cell>
          <cell r="C767" t="str">
            <v>Fighting</v>
          </cell>
          <cell r="L767">
            <v>7</v>
          </cell>
        </row>
        <row r="768">
          <cell r="A768">
            <v>767</v>
          </cell>
          <cell r="B768" t="str">
            <v>Wimpod</v>
          </cell>
          <cell r="C768" t="str">
            <v>Bug</v>
          </cell>
          <cell r="D768" t="str">
            <v>Water</v>
          </cell>
          <cell r="L768">
            <v>7</v>
          </cell>
        </row>
        <row r="769">
          <cell r="A769">
            <v>768</v>
          </cell>
          <cell r="B769" t="str">
            <v>Golisopod</v>
          </cell>
          <cell r="C769" t="str">
            <v>Bug</v>
          </cell>
          <cell r="D769" t="str">
            <v>Water</v>
          </cell>
          <cell r="L769">
            <v>7</v>
          </cell>
        </row>
        <row r="770">
          <cell r="A770">
            <v>769</v>
          </cell>
          <cell r="B770" t="str">
            <v>Sandygast</v>
          </cell>
          <cell r="C770" t="str">
            <v>Ghost</v>
          </cell>
          <cell r="D770" t="str">
            <v>Ground</v>
          </cell>
          <cell r="L770">
            <v>7</v>
          </cell>
        </row>
        <row r="771">
          <cell r="A771">
            <v>770</v>
          </cell>
          <cell r="B771" t="str">
            <v>Palossand</v>
          </cell>
          <cell r="C771" t="str">
            <v>Ghost</v>
          </cell>
          <cell r="D771" t="str">
            <v>Ground</v>
          </cell>
          <cell r="L771">
            <v>7</v>
          </cell>
        </row>
        <row r="772">
          <cell r="A772">
            <v>771</v>
          </cell>
          <cell r="B772" t="str">
            <v>Pyukumuku</v>
          </cell>
          <cell r="C772" t="str">
            <v>Water</v>
          </cell>
          <cell r="L772">
            <v>7</v>
          </cell>
        </row>
        <row r="773">
          <cell r="A773">
            <v>772</v>
          </cell>
          <cell r="B773" t="str">
            <v>TypeNull</v>
          </cell>
          <cell r="C773" t="str">
            <v>Normal</v>
          </cell>
          <cell r="L773">
            <v>7</v>
          </cell>
          <cell r="M773" t="b">
            <v>1</v>
          </cell>
        </row>
        <row r="774">
          <cell r="A774">
            <v>773</v>
          </cell>
          <cell r="B774" t="str">
            <v>Silvally</v>
          </cell>
          <cell r="C774" t="str">
            <v>Normal</v>
          </cell>
          <cell r="L774">
            <v>7</v>
          </cell>
          <cell r="M774" t="b">
            <v>1</v>
          </cell>
        </row>
        <row r="775">
          <cell r="A775">
            <v>774</v>
          </cell>
          <cell r="B775" t="str">
            <v>Minior</v>
          </cell>
          <cell r="C775" t="str">
            <v>Rock</v>
          </cell>
          <cell r="D775" t="str">
            <v>Flying</v>
          </cell>
          <cell r="L775">
            <v>7</v>
          </cell>
        </row>
        <row r="776">
          <cell r="A776">
            <v>775</v>
          </cell>
          <cell r="B776" t="str">
            <v>Komala</v>
          </cell>
          <cell r="C776" t="str">
            <v>Normal</v>
          </cell>
          <cell r="L776">
            <v>7</v>
          </cell>
        </row>
        <row r="777">
          <cell r="A777">
            <v>776</v>
          </cell>
          <cell r="B777" t="str">
            <v>Turtonator</v>
          </cell>
          <cell r="C777" t="str">
            <v>Fire</v>
          </cell>
          <cell r="D777" t="str">
            <v>Dragon</v>
          </cell>
          <cell r="L777">
            <v>7</v>
          </cell>
        </row>
        <row r="778">
          <cell r="A778">
            <v>777</v>
          </cell>
          <cell r="B778" t="str">
            <v>Togedemaru</v>
          </cell>
          <cell r="C778" t="str">
            <v>Electric</v>
          </cell>
          <cell r="D778" t="str">
            <v>Steel</v>
          </cell>
          <cell r="L778">
            <v>7</v>
          </cell>
        </row>
        <row r="779">
          <cell r="A779">
            <v>778</v>
          </cell>
          <cell r="B779" t="str">
            <v>Mimikyu</v>
          </cell>
          <cell r="C779" t="str">
            <v>Ghost</v>
          </cell>
          <cell r="D779" t="str">
            <v>Fairy</v>
          </cell>
          <cell r="L779">
            <v>7</v>
          </cell>
        </row>
        <row r="780">
          <cell r="A780">
            <v>779</v>
          </cell>
          <cell r="B780" t="str">
            <v>Bruxish</v>
          </cell>
          <cell r="C780" t="str">
            <v>Water</v>
          </cell>
          <cell r="D780" t="str">
            <v>Psychic</v>
          </cell>
          <cell r="L780">
            <v>7</v>
          </cell>
        </row>
        <row r="781">
          <cell r="A781">
            <v>780</v>
          </cell>
          <cell r="B781" t="str">
            <v>Drampa</v>
          </cell>
          <cell r="C781" t="str">
            <v>Normal</v>
          </cell>
          <cell r="D781" t="str">
            <v>Dragon</v>
          </cell>
          <cell r="L781">
            <v>7</v>
          </cell>
        </row>
        <row r="782">
          <cell r="A782">
            <v>781</v>
          </cell>
          <cell r="B782" t="str">
            <v>Dhelmise</v>
          </cell>
          <cell r="C782" t="str">
            <v>Ghost</v>
          </cell>
          <cell r="D782" t="str">
            <v>Grass</v>
          </cell>
          <cell r="L782">
            <v>7</v>
          </cell>
        </row>
        <row r="783">
          <cell r="A783">
            <v>782</v>
          </cell>
          <cell r="B783" t="str">
            <v>Jangmoo</v>
          </cell>
          <cell r="C783" t="str">
            <v>Dragon</v>
          </cell>
          <cell r="L783">
            <v>7</v>
          </cell>
        </row>
        <row r="784">
          <cell r="A784">
            <v>783</v>
          </cell>
          <cell r="B784" t="str">
            <v>Hakamoo</v>
          </cell>
          <cell r="C784" t="str">
            <v>Dragon</v>
          </cell>
          <cell r="D784" t="str">
            <v>Fighting</v>
          </cell>
          <cell r="L784">
            <v>7</v>
          </cell>
        </row>
        <row r="785">
          <cell r="A785">
            <v>784</v>
          </cell>
          <cell r="B785" t="str">
            <v>Kommoo</v>
          </cell>
          <cell r="C785" t="str">
            <v>Dragon</v>
          </cell>
          <cell r="D785" t="str">
            <v>Fighting</v>
          </cell>
          <cell r="L785">
            <v>7</v>
          </cell>
        </row>
        <row r="786">
          <cell r="A786">
            <v>785</v>
          </cell>
          <cell r="B786" t="str">
            <v>TapuKoko</v>
          </cell>
          <cell r="C786" t="str">
            <v>Electric</v>
          </cell>
          <cell r="D786" t="str">
            <v>Fairy</v>
          </cell>
          <cell r="L786">
            <v>7</v>
          </cell>
          <cell r="M786" t="b">
            <v>1</v>
          </cell>
        </row>
        <row r="787">
          <cell r="A787">
            <v>786</v>
          </cell>
          <cell r="B787" t="str">
            <v>TapuLele</v>
          </cell>
          <cell r="C787" t="str">
            <v>Psychic</v>
          </cell>
          <cell r="D787" t="str">
            <v>Fairy</v>
          </cell>
          <cell r="L787">
            <v>7</v>
          </cell>
          <cell r="M787" t="b">
            <v>1</v>
          </cell>
        </row>
        <row r="788">
          <cell r="A788">
            <v>787</v>
          </cell>
          <cell r="B788" t="str">
            <v>TapuBulu</v>
          </cell>
          <cell r="C788" t="str">
            <v>Grass</v>
          </cell>
          <cell r="D788" t="str">
            <v>Fairy</v>
          </cell>
          <cell r="L788">
            <v>7</v>
          </cell>
          <cell r="M788" t="b">
            <v>1</v>
          </cell>
        </row>
        <row r="789">
          <cell r="A789">
            <v>788</v>
          </cell>
          <cell r="B789" t="str">
            <v>TapuFini</v>
          </cell>
          <cell r="C789" t="str">
            <v>Water</v>
          </cell>
          <cell r="D789" t="str">
            <v>Fairy</v>
          </cell>
          <cell r="L789">
            <v>7</v>
          </cell>
          <cell r="M789" t="b">
            <v>1</v>
          </cell>
        </row>
        <row r="790">
          <cell r="A790">
            <v>789</v>
          </cell>
          <cell r="B790" t="str">
            <v>Cosmog</v>
          </cell>
          <cell r="C790" t="str">
            <v>Psychic</v>
          </cell>
          <cell r="L790">
            <v>7</v>
          </cell>
          <cell r="M790" t="b">
            <v>1</v>
          </cell>
        </row>
        <row r="791">
          <cell r="A791">
            <v>790</v>
          </cell>
          <cell r="B791" t="str">
            <v>Cosmoem</v>
          </cell>
          <cell r="C791" t="str">
            <v>Psychic</v>
          </cell>
          <cell r="L791">
            <v>7</v>
          </cell>
          <cell r="M791" t="b">
            <v>1</v>
          </cell>
        </row>
        <row r="792">
          <cell r="A792">
            <v>791</v>
          </cell>
          <cell r="B792" t="str">
            <v>Solgaleo</v>
          </cell>
          <cell r="C792" t="str">
            <v>Psychic</v>
          </cell>
          <cell r="D792" t="str">
            <v>Steel</v>
          </cell>
          <cell r="L792">
            <v>7</v>
          </cell>
          <cell r="M792" t="b">
            <v>1</v>
          </cell>
        </row>
        <row r="793">
          <cell r="A793">
            <v>792</v>
          </cell>
          <cell r="B793" t="str">
            <v>Lunala</v>
          </cell>
          <cell r="C793" t="str">
            <v>Psychic</v>
          </cell>
          <cell r="D793" t="str">
            <v>Ghost</v>
          </cell>
          <cell r="L793">
            <v>7</v>
          </cell>
          <cell r="M793" t="b">
            <v>1</v>
          </cell>
        </row>
        <row r="794">
          <cell r="A794">
            <v>793</v>
          </cell>
          <cell r="B794" t="str">
            <v>Nihilego</v>
          </cell>
          <cell r="C794" t="str">
            <v>Rock</v>
          </cell>
          <cell r="D794" t="str">
            <v>Poison</v>
          </cell>
          <cell r="L794">
            <v>7</v>
          </cell>
          <cell r="M794" t="b">
            <v>1</v>
          </cell>
        </row>
        <row r="795">
          <cell r="A795">
            <v>794</v>
          </cell>
          <cell r="B795" t="str">
            <v>Buzzwole</v>
          </cell>
          <cell r="C795" t="str">
            <v>Bug</v>
          </cell>
          <cell r="D795" t="str">
            <v>Fighting</v>
          </cell>
          <cell r="L795">
            <v>7</v>
          </cell>
          <cell r="M795" t="b">
            <v>1</v>
          </cell>
        </row>
        <row r="796">
          <cell r="A796">
            <v>795</v>
          </cell>
          <cell r="B796" t="str">
            <v>Pheromosa</v>
          </cell>
          <cell r="C796" t="str">
            <v>Bug</v>
          </cell>
          <cell r="D796" t="str">
            <v>Fighting</v>
          </cell>
          <cell r="L796">
            <v>7</v>
          </cell>
          <cell r="M796" t="b">
            <v>1</v>
          </cell>
        </row>
        <row r="797">
          <cell r="A797">
            <v>796</v>
          </cell>
          <cell r="B797" t="str">
            <v>Xurkitree</v>
          </cell>
          <cell r="C797" t="str">
            <v>Electric</v>
          </cell>
          <cell r="L797">
            <v>7</v>
          </cell>
          <cell r="M797" t="b">
            <v>1</v>
          </cell>
        </row>
        <row r="798">
          <cell r="A798">
            <v>797</v>
          </cell>
          <cell r="B798" t="str">
            <v>Celesteela</v>
          </cell>
          <cell r="C798" t="str">
            <v>Steel</v>
          </cell>
          <cell r="D798" t="str">
            <v>Flying</v>
          </cell>
          <cell r="L798">
            <v>7</v>
          </cell>
          <cell r="M798" t="b">
            <v>1</v>
          </cell>
        </row>
        <row r="799">
          <cell r="A799">
            <v>798</v>
          </cell>
          <cell r="B799" t="str">
            <v>Kartana</v>
          </cell>
          <cell r="C799" t="str">
            <v>Grass</v>
          </cell>
          <cell r="D799" t="str">
            <v>Steel</v>
          </cell>
          <cell r="L799">
            <v>7</v>
          </cell>
          <cell r="M799" t="b">
            <v>1</v>
          </cell>
        </row>
        <row r="800">
          <cell r="A800">
            <v>799</v>
          </cell>
          <cell r="B800" t="str">
            <v>Guzzlord</v>
          </cell>
          <cell r="C800" t="str">
            <v>Dark</v>
          </cell>
          <cell r="D800" t="str">
            <v>Dragon</v>
          </cell>
          <cell r="L800">
            <v>7</v>
          </cell>
          <cell r="M800" t="b">
            <v>1</v>
          </cell>
        </row>
        <row r="801">
          <cell r="A801">
            <v>800</v>
          </cell>
          <cell r="B801" t="str">
            <v>Necrozma</v>
          </cell>
          <cell r="C801" t="str">
            <v>Psychic</v>
          </cell>
          <cell r="L801">
            <v>7</v>
          </cell>
          <cell r="M801" t="b">
            <v>1</v>
          </cell>
        </row>
        <row r="802">
          <cell r="A802">
            <v>801</v>
          </cell>
          <cell r="B802" t="str">
            <v>Magearna</v>
          </cell>
          <cell r="C802" t="str">
            <v>Steel</v>
          </cell>
          <cell r="D802" t="str">
            <v>Fairy</v>
          </cell>
          <cell r="L802">
            <v>7</v>
          </cell>
          <cell r="M802" t="b">
            <v>1</v>
          </cell>
        </row>
        <row r="803">
          <cell r="A803">
            <v>802</v>
          </cell>
          <cell r="B803" t="str">
            <v>Marshadow</v>
          </cell>
          <cell r="C803" t="str">
            <v>Fighting</v>
          </cell>
          <cell r="D803" t="str">
            <v>Ghost</v>
          </cell>
          <cell r="L803">
            <v>7</v>
          </cell>
          <cell r="M803" t="b">
            <v>1</v>
          </cell>
        </row>
        <row r="804">
          <cell r="A804">
            <v>803</v>
          </cell>
          <cell r="B804" t="str">
            <v>Poipole</v>
          </cell>
          <cell r="C804" t="str">
            <v>Poison</v>
          </cell>
          <cell r="L804">
            <v>7</v>
          </cell>
          <cell r="M804" t="b">
            <v>1</v>
          </cell>
        </row>
        <row r="805">
          <cell r="A805">
            <v>804</v>
          </cell>
          <cell r="B805" t="str">
            <v>Naganadel</v>
          </cell>
          <cell r="C805" t="str">
            <v>Poison</v>
          </cell>
          <cell r="D805" t="str">
            <v>Dragon</v>
          </cell>
          <cell r="L805">
            <v>7</v>
          </cell>
          <cell r="M805" t="b">
            <v>1</v>
          </cell>
        </row>
        <row r="806">
          <cell r="A806">
            <v>805</v>
          </cell>
          <cell r="B806" t="str">
            <v>Stakataka</v>
          </cell>
          <cell r="C806" t="str">
            <v>Rock</v>
          </cell>
          <cell r="D806" t="str">
            <v>Steel</v>
          </cell>
          <cell r="L806">
            <v>7</v>
          </cell>
          <cell r="M806" t="b">
            <v>1</v>
          </cell>
        </row>
        <row r="807">
          <cell r="A807">
            <v>806</v>
          </cell>
          <cell r="B807" t="str">
            <v>Blacephalon</v>
          </cell>
          <cell r="C807" t="str">
            <v>Fire</v>
          </cell>
          <cell r="D807" t="str">
            <v>Ghost</v>
          </cell>
          <cell r="L807">
            <v>7</v>
          </cell>
          <cell r="M807" t="b">
            <v>1</v>
          </cell>
        </row>
        <row r="808">
          <cell r="A808">
            <v>807</v>
          </cell>
          <cell r="B808" t="str">
            <v>Zeraora</v>
          </cell>
          <cell r="C808" t="str">
            <v>Electric</v>
          </cell>
          <cell r="L808">
            <v>7</v>
          </cell>
          <cell r="M808" t="b">
            <v>1</v>
          </cell>
        </row>
        <row r="809">
          <cell r="A809">
            <v>808</v>
          </cell>
          <cell r="B809" t="str">
            <v>ARATTATA</v>
          </cell>
          <cell r="C809" t="str">
            <v>Dark</v>
          </cell>
          <cell r="D809" t="str">
            <v>Normal</v>
          </cell>
          <cell r="L809">
            <v>7</v>
          </cell>
        </row>
        <row r="810">
          <cell r="A810">
            <v>809</v>
          </cell>
          <cell r="B810" t="str">
            <v>ARATICATE</v>
          </cell>
          <cell r="C810" t="str">
            <v>Dark</v>
          </cell>
          <cell r="D810" t="str">
            <v>Normal</v>
          </cell>
          <cell r="L810">
            <v>7</v>
          </cell>
        </row>
        <row r="811">
          <cell r="A811">
            <v>810</v>
          </cell>
          <cell r="B811" t="str">
            <v>ARAICHU</v>
          </cell>
          <cell r="C811" t="str">
            <v>Electric</v>
          </cell>
          <cell r="D811" t="str">
            <v>Psychic</v>
          </cell>
          <cell r="L811">
            <v>7</v>
          </cell>
        </row>
        <row r="812">
          <cell r="A812">
            <v>811</v>
          </cell>
          <cell r="B812" t="str">
            <v>ASANDSHREW</v>
          </cell>
          <cell r="C812" t="str">
            <v>Ice</v>
          </cell>
          <cell r="D812" t="str">
            <v>Steel</v>
          </cell>
          <cell r="L812">
            <v>7</v>
          </cell>
        </row>
        <row r="813">
          <cell r="A813">
            <v>812</v>
          </cell>
          <cell r="B813" t="str">
            <v>ASANDSLASH</v>
          </cell>
          <cell r="C813" t="str">
            <v>Ice</v>
          </cell>
          <cell r="D813" t="str">
            <v>Steel</v>
          </cell>
          <cell r="L813">
            <v>7</v>
          </cell>
        </row>
        <row r="814">
          <cell r="A814">
            <v>813</v>
          </cell>
          <cell r="B814" t="str">
            <v>AVULPIX</v>
          </cell>
          <cell r="C814" t="str">
            <v>Ice</v>
          </cell>
          <cell r="D814" t="str">
            <v>Fairy</v>
          </cell>
          <cell r="L814">
            <v>7</v>
          </cell>
        </row>
        <row r="815">
          <cell r="A815">
            <v>814</v>
          </cell>
          <cell r="B815" t="str">
            <v>ANINETALES</v>
          </cell>
          <cell r="C815" t="str">
            <v>Ice</v>
          </cell>
          <cell r="D815" t="str">
            <v>Fairy</v>
          </cell>
          <cell r="L815">
            <v>7</v>
          </cell>
        </row>
        <row r="816">
          <cell r="A816">
            <v>815</v>
          </cell>
          <cell r="B816" t="str">
            <v>ADIGLETT</v>
          </cell>
          <cell r="C816" t="str">
            <v>Ground</v>
          </cell>
          <cell r="D816" t="str">
            <v>Steel</v>
          </cell>
          <cell r="L816">
            <v>7</v>
          </cell>
        </row>
        <row r="817">
          <cell r="A817">
            <v>816</v>
          </cell>
          <cell r="B817" t="str">
            <v>ADUGTRIO</v>
          </cell>
          <cell r="C817" t="str">
            <v>Ground</v>
          </cell>
          <cell r="D817" t="str">
            <v>Steel</v>
          </cell>
          <cell r="L817">
            <v>7</v>
          </cell>
        </row>
        <row r="818">
          <cell r="A818">
            <v>817</v>
          </cell>
          <cell r="B818" t="str">
            <v>AMEOWTH</v>
          </cell>
          <cell r="C818" t="str">
            <v>Dark</v>
          </cell>
          <cell r="L818">
            <v>7</v>
          </cell>
        </row>
        <row r="819">
          <cell r="A819">
            <v>818</v>
          </cell>
          <cell r="B819" t="str">
            <v>APERSIAN</v>
          </cell>
          <cell r="C819" t="str">
            <v>Dark</v>
          </cell>
          <cell r="L819">
            <v>7</v>
          </cell>
        </row>
        <row r="820">
          <cell r="A820">
            <v>819</v>
          </cell>
          <cell r="B820" t="str">
            <v>AGEODUDE</v>
          </cell>
          <cell r="C820" t="str">
            <v>Rock</v>
          </cell>
          <cell r="D820" t="str">
            <v>Electric</v>
          </cell>
          <cell r="L820">
            <v>7</v>
          </cell>
        </row>
        <row r="821">
          <cell r="A821">
            <v>820</v>
          </cell>
          <cell r="B821" t="str">
            <v>AGRAVELER</v>
          </cell>
          <cell r="C821" t="str">
            <v>Rock</v>
          </cell>
          <cell r="D821" t="str">
            <v>Electric</v>
          </cell>
          <cell r="L821">
            <v>7</v>
          </cell>
        </row>
        <row r="822">
          <cell r="A822">
            <v>821</v>
          </cell>
          <cell r="B822" t="str">
            <v>AGOLEM</v>
          </cell>
          <cell r="C822" t="str">
            <v>Rock</v>
          </cell>
          <cell r="D822" t="str">
            <v>Electric</v>
          </cell>
          <cell r="L822">
            <v>7</v>
          </cell>
        </row>
        <row r="823">
          <cell r="A823">
            <v>822</v>
          </cell>
          <cell r="B823" t="str">
            <v>AGRIMER</v>
          </cell>
          <cell r="C823" t="str">
            <v>Poison</v>
          </cell>
          <cell r="D823" t="str">
            <v>Dark</v>
          </cell>
          <cell r="L823">
            <v>7</v>
          </cell>
        </row>
        <row r="824">
          <cell r="A824">
            <v>823</v>
          </cell>
          <cell r="B824" t="str">
            <v>AMUK</v>
          </cell>
          <cell r="C824" t="str">
            <v>Poison</v>
          </cell>
          <cell r="D824" t="str">
            <v>Dark</v>
          </cell>
          <cell r="L824">
            <v>7</v>
          </cell>
        </row>
        <row r="825">
          <cell r="A825">
            <v>824</v>
          </cell>
          <cell r="B825" t="str">
            <v>AEXEGGUTOR</v>
          </cell>
          <cell r="C825" t="str">
            <v>Grass</v>
          </cell>
          <cell r="D825" t="str">
            <v>Dragon</v>
          </cell>
          <cell r="L825">
            <v>7</v>
          </cell>
        </row>
        <row r="826">
          <cell r="A826">
            <v>825</v>
          </cell>
          <cell r="B826" t="str">
            <v>AMAROWAK</v>
          </cell>
          <cell r="C826" t="str">
            <v>Fire</v>
          </cell>
          <cell r="D826" t="str">
            <v>Ghost</v>
          </cell>
          <cell r="L826">
            <v>7</v>
          </cell>
        </row>
        <row r="827">
          <cell r="A827">
            <v>826</v>
          </cell>
          <cell r="B827" t="str">
            <v>DKOFFING</v>
          </cell>
          <cell r="C827" t="str">
            <v>Fire</v>
          </cell>
          <cell r="D827">
            <v>0</v>
          </cell>
          <cell r="L827" t="str">
            <v>Epoch</v>
          </cell>
        </row>
        <row r="828">
          <cell r="A828">
            <v>827</v>
          </cell>
          <cell r="B828" t="str">
            <v>DWEEZING</v>
          </cell>
          <cell r="C828" t="str">
            <v>Fire</v>
          </cell>
          <cell r="D828">
            <v>0</v>
          </cell>
          <cell r="L828" t="str">
            <v>Epoch</v>
          </cell>
        </row>
        <row r="829">
          <cell r="A829">
            <v>828</v>
          </cell>
          <cell r="B829" t="str">
            <v>DSOLOSIS</v>
          </cell>
          <cell r="C829" t="str">
            <v>Water</v>
          </cell>
          <cell r="D829" t="str">
            <v>Psychic</v>
          </cell>
          <cell r="L829" t="str">
            <v>Epoch</v>
          </cell>
        </row>
        <row r="830">
          <cell r="A830">
            <v>829</v>
          </cell>
          <cell r="B830" t="str">
            <v>DDUOSION</v>
          </cell>
          <cell r="C830" t="str">
            <v>Water</v>
          </cell>
          <cell r="D830" t="str">
            <v>Psychic</v>
          </cell>
          <cell r="L830" t="str">
            <v>Epoch</v>
          </cell>
        </row>
        <row r="831">
          <cell r="A831">
            <v>830</v>
          </cell>
          <cell r="B831" t="str">
            <v>DREUNICLUS</v>
          </cell>
          <cell r="C831" t="str">
            <v>Water</v>
          </cell>
          <cell r="D831" t="str">
            <v>Psychic</v>
          </cell>
          <cell r="L831" t="str">
            <v>Epoch</v>
          </cell>
        </row>
        <row r="832">
          <cell r="A832">
            <v>831</v>
          </cell>
          <cell r="B832" t="str">
            <v>DGASTLY</v>
          </cell>
          <cell r="C832" t="str">
            <v>Ice</v>
          </cell>
          <cell r="D832" t="str">
            <v>Flying</v>
          </cell>
          <cell r="L832" t="str">
            <v>Epoch</v>
          </cell>
        </row>
        <row r="833">
          <cell r="A833">
            <v>832</v>
          </cell>
          <cell r="B833" t="str">
            <v>DHAUNTER</v>
          </cell>
          <cell r="C833" t="str">
            <v>Ice</v>
          </cell>
          <cell r="D833" t="str">
            <v>Flying</v>
          </cell>
          <cell r="L833" t="str">
            <v>Epoch</v>
          </cell>
        </row>
        <row r="834">
          <cell r="A834">
            <v>833</v>
          </cell>
          <cell r="B834" t="str">
            <v>DGENGAR</v>
          </cell>
          <cell r="C834" t="str">
            <v>Ice</v>
          </cell>
          <cell r="D834" t="str">
            <v>Flying</v>
          </cell>
          <cell r="L834" t="str">
            <v>Epoch</v>
          </cell>
        </row>
        <row r="835">
          <cell r="A835">
            <v>834</v>
          </cell>
          <cell r="B835" t="str">
            <v>DDODUO</v>
          </cell>
          <cell r="C835" t="str">
            <v>Cosmic</v>
          </cell>
          <cell r="D835" t="str">
            <v>Flying</v>
          </cell>
          <cell r="L835" t="str">
            <v>Epoch</v>
          </cell>
        </row>
        <row r="836">
          <cell r="A836">
            <v>835</v>
          </cell>
          <cell r="B836" t="str">
            <v>DDODRIO</v>
          </cell>
          <cell r="C836" t="str">
            <v>Cosmic</v>
          </cell>
          <cell r="D836" t="str">
            <v>Flying</v>
          </cell>
          <cell r="L836" t="str">
            <v>Epoch</v>
          </cell>
        </row>
        <row r="837">
          <cell r="A837">
            <v>836</v>
          </cell>
          <cell r="B837" t="str">
            <v>DEKANS</v>
          </cell>
          <cell r="C837" t="str">
            <v>Ground</v>
          </cell>
          <cell r="D837" t="str">
            <v>Poison</v>
          </cell>
          <cell r="L837" t="str">
            <v>Epoch</v>
          </cell>
        </row>
        <row r="838">
          <cell r="A838">
            <v>837</v>
          </cell>
          <cell r="B838" t="str">
            <v>DARBOK</v>
          </cell>
          <cell r="C838" t="str">
            <v>Ground</v>
          </cell>
          <cell r="D838" t="str">
            <v>Poison</v>
          </cell>
          <cell r="L838" t="str">
            <v>Epoch</v>
          </cell>
        </row>
        <row r="839">
          <cell r="A839">
            <v>838</v>
          </cell>
          <cell r="B839" t="str">
            <v>DSTARYU</v>
          </cell>
          <cell r="C839" t="str">
            <v>Cosmic</v>
          </cell>
          <cell r="D839" t="str">
            <v>Rock</v>
          </cell>
          <cell r="L839" t="str">
            <v>Epoch</v>
          </cell>
        </row>
        <row r="840">
          <cell r="A840">
            <v>839</v>
          </cell>
          <cell r="B840" t="str">
            <v>DSTARMIE</v>
          </cell>
          <cell r="C840" t="str">
            <v>Cosmic</v>
          </cell>
          <cell r="D840" t="str">
            <v>Rock</v>
          </cell>
          <cell r="L840" t="str">
            <v>Epoch</v>
          </cell>
        </row>
        <row r="841">
          <cell r="A841">
            <v>840</v>
          </cell>
          <cell r="B841" t="str">
            <v>DONIX</v>
          </cell>
          <cell r="C841" t="str">
            <v>Ice</v>
          </cell>
          <cell r="D841" t="str">
            <v>Rock</v>
          </cell>
          <cell r="L841" t="str">
            <v>Epoch</v>
          </cell>
        </row>
        <row r="842">
          <cell r="A842">
            <v>841</v>
          </cell>
          <cell r="B842" t="str">
            <v>DSTEELIX</v>
          </cell>
          <cell r="C842" t="str">
            <v>Ice</v>
          </cell>
          <cell r="D842" t="str">
            <v>Rock</v>
          </cell>
          <cell r="L842" t="str">
            <v>Epoch</v>
          </cell>
        </row>
        <row r="843">
          <cell r="A843">
            <v>842</v>
          </cell>
          <cell r="B843" t="str">
            <v>DSLUGMA</v>
          </cell>
          <cell r="C843" t="str">
            <v>Poison</v>
          </cell>
          <cell r="D843">
            <v>0</v>
          </cell>
          <cell r="L843" t="str">
            <v>Epoch</v>
          </cell>
        </row>
        <row r="844">
          <cell r="A844">
            <v>843</v>
          </cell>
          <cell r="B844" t="str">
            <v>DMAGCARGO</v>
          </cell>
          <cell r="C844" t="str">
            <v>Poison</v>
          </cell>
          <cell r="D844" t="str">
            <v>Steel</v>
          </cell>
          <cell r="L844" t="str">
            <v>Epoch</v>
          </cell>
        </row>
        <row r="845">
          <cell r="A845">
            <v>844</v>
          </cell>
          <cell r="B845" t="str">
            <v>DWAILMER</v>
          </cell>
          <cell r="C845" t="str">
            <v>Ghost</v>
          </cell>
          <cell r="D845" t="str">
            <v>Water</v>
          </cell>
          <cell r="L845" t="str">
            <v>Epoch</v>
          </cell>
        </row>
        <row r="846">
          <cell r="A846">
            <v>845</v>
          </cell>
          <cell r="B846" t="str">
            <v>DWAILORD</v>
          </cell>
          <cell r="C846" t="str">
            <v>Ghost</v>
          </cell>
          <cell r="D846" t="str">
            <v>Water</v>
          </cell>
          <cell r="L846" t="str">
            <v>Epoch</v>
          </cell>
        </row>
        <row r="847">
          <cell r="A847">
            <v>846</v>
          </cell>
          <cell r="B847" t="str">
            <v>DFLETCHLING</v>
          </cell>
          <cell r="C847" t="str">
            <v>Electric</v>
          </cell>
          <cell r="D847" t="str">
            <v>Flying</v>
          </cell>
          <cell r="L847" t="str">
            <v>Epoch</v>
          </cell>
        </row>
        <row r="848">
          <cell r="A848">
            <v>847</v>
          </cell>
          <cell r="B848" t="str">
            <v>DFLETCHINDER</v>
          </cell>
          <cell r="C848" t="str">
            <v>Electric</v>
          </cell>
          <cell r="D848" t="str">
            <v>Flying</v>
          </cell>
          <cell r="L848" t="str">
            <v>Epoch</v>
          </cell>
        </row>
        <row r="849">
          <cell r="A849">
            <v>848</v>
          </cell>
          <cell r="B849" t="str">
            <v>DTALONFLAME</v>
          </cell>
          <cell r="C849" t="str">
            <v>Electric</v>
          </cell>
          <cell r="D849" t="str">
            <v>Flying</v>
          </cell>
          <cell r="L849" t="str">
            <v>Epoch</v>
          </cell>
        </row>
        <row r="850">
          <cell r="A850">
            <v>849</v>
          </cell>
          <cell r="B850" t="str">
            <v>DNATU</v>
          </cell>
          <cell r="C850" t="str">
            <v>Steel</v>
          </cell>
          <cell r="D850" t="str">
            <v>Electric</v>
          </cell>
          <cell r="L850" t="str">
            <v>Epoch</v>
          </cell>
        </row>
        <row r="851">
          <cell r="A851">
            <v>850</v>
          </cell>
          <cell r="B851" t="str">
            <v>DXATU</v>
          </cell>
          <cell r="C851" t="str">
            <v>Steel</v>
          </cell>
          <cell r="D851" t="str">
            <v>Electric</v>
          </cell>
          <cell r="L851" t="str">
            <v>Epoch</v>
          </cell>
        </row>
        <row r="852">
          <cell r="A852">
            <v>851</v>
          </cell>
          <cell r="B852" t="str">
            <v>DRUFFLET</v>
          </cell>
          <cell r="C852" t="str">
            <v>Fire</v>
          </cell>
          <cell r="D852" t="str">
            <v>Flying</v>
          </cell>
          <cell r="L852" t="str">
            <v>Epoch</v>
          </cell>
        </row>
        <row r="853">
          <cell r="A853">
            <v>852</v>
          </cell>
          <cell r="B853" t="str">
            <v>DBRAVIARY</v>
          </cell>
          <cell r="C853" t="str">
            <v>Fire</v>
          </cell>
          <cell r="D853" t="str">
            <v>Flying</v>
          </cell>
          <cell r="L853" t="str">
            <v>Epoch</v>
          </cell>
        </row>
        <row r="854">
          <cell r="A854">
            <v>853</v>
          </cell>
          <cell r="B854" t="str">
            <v>DNOSEPASS</v>
          </cell>
          <cell r="C854" t="str">
            <v>Grass</v>
          </cell>
          <cell r="D854" t="str">
            <v>Psychic</v>
          </cell>
          <cell r="L854" t="str">
            <v>Epoch</v>
          </cell>
        </row>
        <row r="855">
          <cell r="A855">
            <v>854</v>
          </cell>
          <cell r="B855" t="str">
            <v>DPROBOPASS</v>
          </cell>
          <cell r="C855" t="str">
            <v>Grass</v>
          </cell>
          <cell r="D855" t="str">
            <v>Psychic</v>
          </cell>
          <cell r="L855" t="str">
            <v>Epoch</v>
          </cell>
        </row>
        <row r="856">
          <cell r="A856">
            <v>855</v>
          </cell>
          <cell r="B856" t="str">
            <v>DZUBAT</v>
          </cell>
          <cell r="C856" t="str">
            <v>Dark</v>
          </cell>
          <cell r="D856" t="str">
            <v>Sound</v>
          </cell>
          <cell r="L856" t="str">
            <v>Epoch</v>
          </cell>
        </row>
        <row r="857">
          <cell r="A857">
            <v>856</v>
          </cell>
          <cell r="B857" t="str">
            <v>DGOLBAT</v>
          </cell>
          <cell r="C857" t="str">
            <v>Dark</v>
          </cell>
          <cell r="D857" t="str">
            <v>Sound</v>
          </cell>
          <cell r="L857" t="str">
            <v>Epoch</v>
          </cell>
        </row>
        <row r="858">
          <cell r="A858">
            <v>857</v>
          </cell>
          <cell r="B858" t="str">
            <v>DCROBAT</v>
          </cell>
          <cell r="C858" t="str">
            <v>Dark</v>
          </cell>
          <cell r="D858" t="str">
            <v>Sound</v>
          </cell>
          <cell r="L858" t="str">
            <v>Epoch</v>
          </cell>
        </row>
        <row r="859">
          <cell r="A859">
            <v>858</v>
          </cell>
          <cell r="B859" t="str">
            <v>DTANGELA</v>
          </cell>
          <cell r="C859" t="str">
            <v>Ground</v>
          </cell>
          <cell r="D859" t="str">
            <v>Grass</v>
          </cell>
          <cell r="L859" t="str">
            <v>Epoch</v>
          </cell>
        </row>
        <row r="860">
          <cell r="A860">
            <v>859</v>
          </cell>
          <cell r="B860" t="str">
            <v>DTANGROWTH</v>
          </cell>
          <cell r="C860" t="str">
            <v>Ground</v>
          </cell>
          <cell r="D860" t="str">
            <v>Grass</v>
          </cell>
          <cell r="L860" t="str">
            <v>Epoch</v>
          </cell>
        </row>
        <row r="861">
          <cell r="A861">
            <v>860</v>
          </cell>
          <cell r="B861" t="str">
            <v>DTYMPOLE</v>
          </cell>
          <cell r="C861" t="str">
            <v>Grass</v>
          </cell>
          <cell r="D861" t="str">
            <v>Poison</v>
          </cell>
          <cell r="L861" t="str">
            <v>Epoch</v>
          </cell>
        </row>
        <row r="862">
          <cell r="A862">
            <v>861</v>
          </cell>
          <cell r="B862" t="str">
            <v>DPALPITOAD</v>
          </cell>
          <cell r="C862" t="str">
            <v>Grass</v>
          </cell>
          <cell r="D862" t="str">
            <v>Poison</v>
          </cell>
          <cell r="L862" t="str">
            <v>Epoch</v>
          </cell>
        </row>
        <row r="863">
          <cell r="A863">
            <v>862</v>
          </cell>
          <cell r="B863" t="str">
            <v>DSEISMITOAD</v>
          </cell>
          <cell r="C863" t="str">
            <v>Grass</v>
          </cell>
          <cell r="D863" t="str">
            <v>Poison</v>
          </cell>
          <cell r="L863" t="str">
            <v>Epoch</v>
          </cell>
        </row>
        <row r="864">
          <cell r="A864">
            <v>863</v>
          </cell>
          <cell r="B864" t="str">
            <v>DGULPIN</v>
          </cell>
          <cell r="C864" t="str">
            <v>Ground</v>
          </cell>
          <cell r="D864">
            <v>0</v>
          </cell>
          <cell r="L864" t="str">
            <v>Epoch</v>
          </cell>
        </row>
        <row r="865">
          <cell r="A865">
            <v>864</v>
          </cell>
          <cell r="B865" t="str">
            <v>DSWALOT</v>
          </cell>
          <cell r="C865" t="str">
            <v>Ground</v>
          </cell>
          <cell r="D865">
            <v>0</v>
          </cell>
          <cell r="L865" t="str">
            <v>Epoch</v>
          </cell>
        </row>
        <row r="866">
          <cell r="A866">
            <v>865</v>
          </cell>
          <cell r="B866" t="str">
            <v>DSPINARAK</v>
          </cell>
          <cell r="C866" t="str">
            <v>Dark</v>
          </cell>
          <cell r="D866" t="str">
            <v>Poison</v>
          </cell>
          <cell r="L866" t="str">
            <v>Epoch</v>
          </cell>
        </row>
        <row r="867">
          <cell r="A867">
            <v>866</v>
          </cell>
          <cell r="B867" t="str">
            <v>DARIADOS</v>
          </cell>
          <cell r="C867" t="str">
            <v>Dark</v>
          </cell>
          <cell r="D867" t="str">
            <v>Poison</v>
          </cell>
          <cell r="L867" t="str">
            <v>Epoch</v>
          </cell>
        </row>
        <row r="868">
          <cell r="A868">
            <v>867</v>
          </cell>
          <cell r="B868" t="str">
            <v>DBALTOY</v>
          </cell>
          <cell r="C868" t="str">
            <v>Electric</v>
          </cell>
          <cell r="D868" t="str">
            <v>Psychic</v>
          </cell>
          <cell r="L868" t="str">
            <v>Epoch</v>
          </cell>
        </row>
        <row r="869">
          <cell r="A869">
            <v>868</v>
          </cell>
          <cell r="B869" t="str">
            <v>DCLAYDOL</v>
          </cell>
          <cell r="C869" t="str">
            <v>Electric</v>
          </cell>
          <cell r="D869" t="str">
            <v>Psychic</v>
          </cell>
          <cell r="L869" t="str">
            <v>Epoch</v>
          </cell>
        </row>
        <row r="870">
          <cell r="A870">
            <v>869</v>
          </cell>
          <cell r="B870" t="str">
            <v>DZORUA</v>
          </cell>
          <cell r="C870" t="str">
            <v>Ice</v>
          </cell>
          <cell r="D870" t="str">
            <v>Dark</v>
          </cell>
          <cell r="L870" t="str">
            <v>Epoch</v>
          </cell>
        </row>
        <row r="871">
          <cell r="A871">
            <v>870</v>
          </cell>
          <cell r="B871" t="str">
            <v>DZOROARK</v>
          </cell>
          <cell r="C871" t="str">
            <v>Ice</v>
          </cell>
          <cell r="D871" t="str">
            <v>Dark</v>
          </cell>
          <cell r="L871" t="str">
            <v>Epoch</v>
          </cell>
        </row>
        <row r="872">
          <cell r="A872">
            <v>871</v>
          </cell>
          <cell r="B872" t="str">
            <v>DDUCKLETT</v>
          </cell>
          <cell r="C872" t="str">
            <v>Light</v>
          </cell>
          <cell r="D872" t="str">
            <v>Flying</v>
          </cell>
          <cell r="L872" t="str">
            <v>Epoch</v>
          </cell>
        </row>
        <row r="873">
          <cell r="A873">
            <v>872</v>
          </cell>
          <cell r="B873" t="str">
            <v>DSWANNA</v>
          </cell>
          <cell r="C873" t="str">
            <v>Light</v>
          </cell>
          <cell r="D873" t="str">
            <v>Flying</v>
          </cell>
          <cell r="L873" t="str">
            <v>Epoch</v>
          </cell>
        </row>
        <row r="874">
          <cell r="A874">
            <v>873</v>
          </cell>
          <cell r="B874" t="str">
            <v>DGOLETT</v>
          </cell>
          <cell r="C874" t="str">
            <v>Steel</v>
          </cell>
          <cell r="D874" t="str">
            <v>Psychic</v>
          </cell>
          <cell r="L874" t="str">
            <v>Epoch</v>
          </cell>
        </row>
        <row r="875">
          <cell r="A875">
            <v>874</v>
          </cell>
          <cell r="B875" t="str">
            <v>DGOLURK</v>
          </cell>
          <cell r="C875" t="str">
            <v>Steel</v>
          </cell>
          <cell r="D875" t="str">
            <v>Psychic</v>
          </cell>
          <cell r="L875" t="str">
            <v>Epoch</v>
          </cell>
        </row>
        <row r="876">
          <cell r="A876">
            <v>875</v>
          </cell>
          <cell r="B876" t="str">
            <v>DMORELULL</v>
          </cell>
          <cell r="C876" t="str">
            <v>Ghost</v>
          </cell>
          <cell r="D876" t="str">
            <v>Grass</v>
          </cell>
          <cell r="L876" t="str">
            <v>Epoch</v>
          </cell>
        </row>
        <row r="877">
          <cell r="A877">
            <v>876</v>
          </cell>
          <cell r="B877" t="str">
            <v>DSHIINOTIC</v>
          </cell>
          <cell r="C877" t="str">
            <v>Ghost</v>
          </cell>
          <cell r="D877" t="str">
            <v>Grass</v>
          </cell>
          <cell r="L877" t="str">
            <v>Epoch</v>
          </cell>
        </row>
        <row r="878">
          <cell r="A878">
            <v>877</v>
          </cell>
          <cell r="B878" t="str">
            <v>DLARVESTA</v>
          </cell>
          <cell r="C878" t="str">
            <v>Bug</v>
          </cell>
          <cell r="D878" t="str">
            <v>Electric</v>
          </cell>
          <cell r="L878" t="str">
            <v>Epoch</v>
          </cell>
        </row>
        <row r="879">
          <cell r="A879">
            <v>878</v>
          </cell>
          <cell r="B879" t="str">
            <v>DVOLCARONA</v>
          </cell>
          <cell r="C879" t="str">
            <v>Bug</v>
          </cell>
          <cell r="D879" t="str">
            <v>Electric</v>
          </cell>
          <cell r="L879" t="str">
            <v>Epoch</v>
          </cell>
        </row>
        <row r="880">
          <cell r="A880">
            <v>879</v>
          </cell>
          <cell r="B880" t="str">
            <v>DSTANTLER</v>
          </cell>
          <cell r="C880" t="str">
            <v>Ice</v>
          </cell>
          <cell r="D880" t="str">
            <v>Grass</v>
          </cell>
          <cell r="L880" t="str">
            <v>Epoch</v>
          </cell>
        </row>
        <row r="881">
          <cell r="A881">
            <v>880</v>
          </cell>
          <cell r="B881" t="str">
            <v>DMAGIKARP</v>
          </cell>
          <cell r="C881" t="str">
            <v>Electric</v>
          </cell>
          <cell r="D881" t="str">
            <v>Dark</v>
          </cell>
          <cell r="L881" t="str">
            <v>Epoch</v>
          </cell>
        </row>
        <row r="882">
          <cell r="A882">
            <v>881</v>
          </cell>
          <cell r="B882" t="str">
            <v>DGYARADOS</v>
          </cell>
          <cell r="C882" t="str">
            <v>Electric</v>
          </cell>
          <cell r="D882" t="str">
            <v>Dark</v>
          </cell>
          <cell r="L882" t="str">
            <v>Epoch</v>
          </cell>
        </row>
        <row r="883">
          <cell r="A883">
            <v>882</v>
          </cell>
          <cell r="B883" t="str">
            <v>DBERGMITE</v>
          </cell>
          <cell r="C883" t="str">
            <v>Rock</v>
          </cell>
          <cell r="D883">
            <v>0</v>
          </cell>
          <cell r="L883" t="str">
            <v>Epoch</v>
          </cell>
        </row>
        <row r="884">
          <cell r="A884">
            <v>883</v>
          </cell>
          <cell r="B884" t="str">
            <v>DAVALUGG</v>
          </cell>
          <cell r="C884" t="str">
            <v>Rock</v>
          </cell>
          <cell r="D884">
            <v>0</v>
          </cell>
          <cell r="L884" t="str">
            <v>Epoch</v>
          </cell>
        </row>
        <row r="885">
          <cell r="A885">
            <v>884</v>
          </cell>
          <cell r="B885" t="str">
            <v>DLEDYBA</v>
          </cell>
          <cell r="C885" t="str">
            <v>Sound</v>
          </cell>
          <cell r="D885" t="str">
            <v>Steel</v>
          </cell>
          <cell r="L885" t="str">
            <v>Epoch</v>
          </cell>
        </row>
        <row r="886">
          <cell r="A886">
            <v>885</v>
          </cell>
          <cell r="B886" t="str">
            <v>DLEDIAN</v>
          </cell>
          <cell r="C886" t="str">
            <v>Sound</v>
          </cell>
          <cell r="D886" t="str">
            <v>Steel</v>
          </cell>
          <cell r="L886" t="str">
            <v>Epoch</v>
          </cell>
        </row>
        <row r="887">
          <cell r="A887">
            <v>886</v>
          </cell>
          <cell r="B887" t="str">
            <v>DPONYTA</v>
          </cell>
          <cell r="C887" t="str">
            <v>Ghost</v>
          </cell>
          <cell r="D887" t="str">
            <v>Fire</v>
          </cell>
          <cell r="L887" t="str">
            <v>Epoch</v>
          </cell>
        </row>
        <row r="888">
          <cell r="A888">
            <v>887</v>
          </cell>
          <cell r="B888" t="str">
            <v>DRAPIDASH</v>
          </cell>
          <cell r="C888" t="str">
            <v>Ghost</v>
          </cell>
          <cell r="D888" t="str">
            <v>Fire</v>
          </cell>
          <cell r="L888" t="str">
            <v>Epoch</v>
          </cell>
        </row>
        <row r="889">
          <cell r="A889">
            <v>888</v>
          </cell>
          <cell r="B889" t="str">
            <v>DAMAURA</v>
          </cell>
          <cell r="C889" t="str">
            <v>Dragon</v>
          </cell>
          <cell r="D889" t="str">
            <v>Fairy</v>
          </cell>
          <cell r="L889" t="str">
            <v>Epoch</v>
          </cell>
        </row>
        <row r="890">
          <cell r="A890">
            <v>889</v>
          </cell>
          <cell r="B890" t="str">
            <v>DAURORUS</v>
          </cell>
          <cell r="C890" t="str">
            <v>Dragon</v>
          </cell>
          <cell r="D890" t="str">
            <v>Fairy</v>
          </cell>
          <cell r="L890" t="str">
            <v>Epoch</v>
          </cell>
        </row>
        <row r="891">
          <cell r="A891">
            <v>890</v>
          </cell>
          <cell r="B891" t="str">
            <v>DGEODUDE</v>
          </cell>
          <cell r="C891" t="str">
            <v>Rock</v>
          </cell>
          <cell r="D891" t="str">
            <v>Fire</v>
          </cell>
          <cell r="L891" t="str">
            <v>Epoch</v>
          </cell>
        </row>
        <row r="892">
          <cell r="A892">
            <v>891</v>
          </cell>
          <cell r="B892" t="str">
            <v>DGRAVELER</v>
          </cell>
          <cell r="C892" t="str">
            <v>Rock</v>
          </cell>
          <cell r="D892" t="str">
            <v>Fire</v>
          </cell>
          <cell r="L892" t="str">
            <v>Epoch</v>
          </cell>
        </row>
        <row r="893">
          <cell r="A893">
            <v>892</v>
          </cell>
          <cell r="B893" t="str">
            <v>DGOLEM</v>
          </cell>
          <cell r="C893" t="str">
            <v>Rock</v>
          </cell>
          <cell r="D893" t="str">
            <v>Fire</v>
          </cell>
          <cell r="L893" t="str">
            <v>Epoch</v>
          </cell>
        </row>
        <row r="894">
          <cell r="A894">
            <v>893</v>
          </cell>
          <cell r="B894" t="str">
            <v>DSKRELP</v>
          </cell>
          <cell r="C894" t="str">
            <v>Grass</v>
          </cell>
          <cell r="D894" t="str">
            <v>Water</v>
          </cell>
          <cell r="L894" t="str">
            <v>Epoch</v>
          </cell>
        </row>
        <row r="895">
          <cell r="A895">
            <v>894</v>
          </cell>
          <cell r="B895" t="str">
            <v>DDRAGALGE</v>
          </cell>
          <cell r="C895" t="str">
            <v>Grass</v>
          </cell>
          <cell r="D895" t="str">
            <v>Water</v>
          </cell>
          <cell r="L895" t="str">
            <v>Epoch</v>
          </cell>
        </row>
        <row r="896">
          <cell r="A896">
            <v>895</v>
          </cell>
          <cell r="B896" t="str">
            <v>DLITLEO</v>
          </cell>
          <cell r="C896" t="str">
            <v>Ice</v>
          </cell>
          <cell r="D896" t="str">
            <v>Sound</v>
          </cell>
          <cell r="L896" t="str">
            <v>Epoch</v>
          </cell>
        </row>
        <row r="897">
          <cell r="A897">
            <v>896</v>
          </cell>
          <cell r="B897" t="str">
            <v>DPYROAR</v>
          </cell>
          <cell r="C897" t="str">
            <v>Ice</v>
          </cell>
          <cell r="D897" t="str">
            <v>Sound</v>
          </cell>
          <cell r="L897" t="str">
            <v>Epoch</v>
          </cell>
        </row>
        <row r="898">
          <cell r="A898">
            <v>897</v>
          </cell>
          <cell r="B898" t="str">
            <v>DLUNATONE</v>
          </cell>
          <cell r="C898" t="str">
            <v>Ice</v>
          </cell>
          <cell r="D898" t="str">
            <v>Cosmic</v>
          </cell>
          <cell r="L898" t="str">
            <v>Epoch</v>
          </cell>
        </row>
        <row r="899">
          <cell r="A899">
            <v>898</v>
          </cell>
          <cell r="B899" t="str">
            <v>DSOLROCK</v>
          </cell>
          <cell r="C899" t="str">
            <v>Fire</v>
          </cell>
          <cell r="D899" t="str">
            <v>Cosmic</v>
          </cell>
          <cell r="L899" t="str">
            <v>Epoch</v>
          </cell>
        </row>
        <row r="900">
          <cell r="A900">
            <v>899</v>
          </cell>
          <cell r="B900" t="str">
            <v>DDROWZEE</v>
          </cell>
          <cell r="C900" t="str">
            <v>Dark</v>
          </cell>
          <cell r="D900" t="str">
            <v>Fighting</v>
          </cell>
          <cell r="L900" t="str">
            <v>Epoch</v>
          </cell>
        </row>
        <row r="901">
          <cell r="A901">
            <v>900</v>
          </cell>
          <cell r="B901" t="str">
            <v>DHYPNO</v>
          </cell>
          <cell r="C901" t="str">
            <v>Dark</v>
          </cell>
          <cell r="D901" t="str">
            <v>Fighting</v>
          </cell>
          <cell r="L901" t="str">
            <v>Epoch</v>
          </cell>
        </row>
        <row r="902">
          <cell r="A902">
            <v>901</v>
          </cell>
          <cell r="B902" t="str">
            <v>DSEEL</v>
          </cell>
          <cell r="C902" t="str">
            <v>Water</v>
          </cell>
          <cell r="D902" t="str">
            <v>Ground</v>
          </cell>
          <cell r="L902" t="str">
            <v>Epoch</v>
          </cell>
        </row>
        <row r="903">
          <cell r="A903">
            <v>902</v>
          </cell>
          <cell r="B903" t="str">
            <v>DDEWGONG</v>
          </cell>
          <cell r="C903" t="str">
            <v>Water</v>
          </cell>
          <cell r="D903" t="str">
            <v>Ground</v>
          </cell>
          <cell r="L903" t="str">
            <v>Epoch</v>
          </cell>
        </row>
        <row r="904">
          <cell r="A904">
            <v>903</v>
          </cell>
          <cell r="B904" t="str">
            <v>DSKIDDO</v>
          </cell>
          <cell r="C904" t="str">
            <v>Rock</v>
          </cell>
          <cell r="D904" t="str">
            <v>Ice</v>
          </cell>
          <cell r="L904" t="str">
            <v>Epoch</v>
          </cell>
        </row>
        <row r="905">
          <cell r="A905">
            <v>904</v>
          </cell>
          <cell r="B905" t="str">
            <v>DGOGOAT</v>
          </cell>
          <cell r="C905" t="str">
            <v>Rock</v>
          </cell>
          <cell r="D905" t="str">
            <v>Ice</v>
          </cell>
          <cell r="L905" t="str">
            <v>Epoch</v>
          </cell>
        </row>
        <row r="906">
          <cell r="A906">
            <v>905</v>
          </cell>
          <cell r="B906" t="str">
            <v>DKABUTO</v>
          </cell>
          <cell r="C906" t="str">
            <v>Bug</v>
          </cell>
          <cell r="D906" t="str">
            <v>Grass</v>
          </cell>
          <cell r="L906" t="str">
            <v>Epoch</v>
          </cell>
        </row>
        <row r="907">
          <cell r="A907">
            <v>906</v>
          </cell>
          <cell r="B907" t="str">
            <v>DKABUTOPS</v>
          </cell>
          <cell r="C907" t="str">
            <v>Bug</v>
          </cell>
          <cell r="D907" t="str">
            <v>Grass</v>
          </cell>
          <cell r="L907" t="str">
            <v>Epoch</v>
          </cell>
        </row>
        <row r="908">
          <cell r="A908">
            <v>907</v>
          </cell>
          <cell r="B908" t="str">
            <v>DSHROOMISH</v>
          </cell>
          <cell r="C908" t="str">
            <v>Steel</v>
          </cell>
          <cell r="D908">
            <v>0</v>
          </cell>
          <cell r="L908" t="str">
            <v>Epoch</v>
          </cell>
        </row>
        <row r="909">
          <cell r="A909">
            <v>908</v>
          </cell>
          <cell r="B909" t="str">
            <v>DBRELOOM</v>
          </cell>
          <cell r="C909" t="str">
            <v>Steel</v>
          </cell>
          <cell r="D909" t="str">
            <v>Fighting</v>
          </cell>
          <cell r="L909" t="str">
            <v>Epoch</v>
          </cell>
        </row>
        <row r="910">
          <cell r="A910">
            <v>909</v>
          </cell>
          <cell r="B910" t="str">
            <v>DAERODACTYL</v>
          </cell>
          <cell r="C910" t="str">
            <v>Dragon</v>
          </cell>
          <cell r="D910" t="str">
            <v>Flying</v>
          </cell>
          <cell r="L910" t="str">
            <v>Epoch</v>
          </cell>
        </row>
        <row r="911">
          <cell r="A911">
            <v>910</v>
          </cell>
          <cell r="B911" t="str">
            <v>DROGGENROLA</v>
          </cell>
          <cell r="C911" t="str">
            <v>Ice</v>
          </cell>
          <cell r="D911" t="str">
            <v>Water</v>
          </cell>
          <cell r="L911" t="str">
            <v>Epoch</v>
          </cell>
        </row>
        <row r="912">
          <cell r="A912">
            <v>911</v>
          </cell>
          <cell r="B912" t="str">
            <v>DBOLDORE</v>
          </cell>
          <cell r="C912" t="str">
            <v>Ice</v>
          </cell>
          <cell r="D912" t="str">
            <v>Water</v>
          </cell>
          <cell r="L912" t="str">
            <v>Epoch</v>
          </cell>
        </row>
        <row r="913">
          <cell r="A913">
            <v>912</v>
          </cell>
          <cell r="B913" t="str">
            <v>DGIGALITH</v>
          </cell>
          <cell r="C913" t="str">
            <v>Ice</v>
          </cell>
          <cell r="D913" t="str">
            <v>Water</v>
          </cell>
          <cell r="L913" t="str">
            <v>Epoch</v>
          </cell>
        </row>
        <row r="914">
          <cell r="A914">
            <v>913</v>
          </cell>
          <cell r="B914" t="str">
            <v>DFINNEON</v>
          </cell>
          <cell r="C914" t="str">
            <v>Fairy</v>
          </cell>
          <cell r="D914" t="str">
            <v>Water</v>
          </cell>
          <cell r="L914" t="str">
            <v>Epoch</v>
          </cell>
        </row>
        <row r="915">
          <cell r="A915">
            <v>914</v>
          </cell>
          <cell r="B915" t="str">
            <v>DLUMINEON</v>
          </cell>
          <cell r="C915" t="str">
            <v>Fairy</v>
          </cell>
          <cell r="D915" t="str">
            <v>Water</v>
          </cell>
          <cell r="L915" t="str">
            <v>Epoch</v>
          </cell>
        </row>
        <row r="916">
          <cell r="A916">
            <v>915</v>
          </cell>
          <cell r="B916" t="str">
            <v>DGLIGAR</v>
          </cell>
          <cell r="C916" t="str">
            <v>Rock</v>
          </cell>
          <cell r="D916" t="str">
            <v>Dragon</v>
          </cell>
          <cell r="L916" t="str">
            <v>Epoch</v>
          </cell>
        </row>
        <row r="917">
          <cell r="A917">
            <v>916</v>
          </cell>
          <cell r="B917" t="str">
            <v>DGLISCOR</v>
          </cell>
          <cell r="C917" t="str">
            <v>Rock</v>
          </cell>
          <cell r="D917" t="str">
            <v>Dragon</v>
          </cell>
          <cell r="L917" t="str">
            <v>Epoch</v>
          </cell>
        </row>
        <row r="918">
          <cell r="A918">
            <v>917</v>
          </cell>
          <cell r="B918" t="str">
            <v>DLILLIPUP</v>
          </cell>
          <cell r="C918" t="str">
            <v>Dark</v>
          </cell>
          <cell r="D918" t="str">
            <v>Ghost</v>
          </cell>
          <cell r="L918" t="str">
            <v>Epoch</v>
          </cell>
        </row>
        <row r="919">
          <cell r="A919">
            <v>918</v>
          </cell>
          <cell r="B919" t="str">
            <v>DHERDIER</v>
          </cell>
          <cell r="C919" t="str">
            <v>Dark</v>
          </cell>
          <cell r="D919" t="str">
            <v>Ghost</v>
          </cell>
          <cell r="L919" t="str">
            <v>Epoch</v>
          </cell>
        </row>
        <row r="920">
          <cell r="A920">
            <v>919</v>
          </cell>
          <cell r="B920" t="str">
            <v>DSTOUTLAND</v>
          </cell>
          <cell r="C920" t="str">
            <v>Dark</v>
          </cell>
          <cell r="D920" t="str">
            <v>Ghost</v>
          </cell>
          <cell r="L920" t="str">
            <v>Epoch</v>
          </cell>
        </row>
        <row r="921">
          <cell r="A921">
            <v>920</v>
          </cell>
          <cell r="B921" t="str">
            <v>DDRIFLOON</v>
          </cell>
          <cell r="C921" t="str">
            <v>Fire</v>
          </cell>
          <cell r="D921" t="str">
            <v>Flying</v>
          </cell>
          <cell r="L921" t="str">
            <v>Epoch</v>
          </cell>
        </row>
        <row r="922">
          <cell r="A922">
            <v>921</v>
          </cell>
          <cell r="B922" t="str">
            <v>DDRIFBLIM</v>
          </cell>
          <cell r="C922" t="str">
            <v>Fire</v>
          </cell>
          <cell r="D922" t="str">
            <v>Flying</v>
          </cell>
          <cell r="L922" t="str">
            <v>Epoch</v>
          </cell>
        </row>
        <row r="923">
          <cell r="A923">
            <v>922</v>
          </cell>
          <cell r="B923" t="str">
            <v>DMINCCINO</v>
          </cell>
          <cell r="C923" t="str">
            <v>Ghost</v>
          </cell>
          <cell r="D923" t="str">
            <v>Fairy</v>
          </cell>
          <cell r="L923" t="str">
            <v>Epoch</v>
          </cell>
        </row>
        <row r="924">
          <cell r="A924">
            <v>923</v>
          </cell>
          <cell r="B924" t="str">
            <v>DCINCCINO</v>
          </cell>
          <cell r="C924" t="str">
            <v>Ghost</v>
          </cell>
          <cell r="D924" t="str">
            <v>Fairy</v>
          </cell>
          <cell r="L924" t="str">
            <v>Epoch</v>
          </cell>
        </row>
        <row r="925">
          <cell r="A925">
            <v>924</v>
          </cell>
          <cell r="B925" t="str">
            <v>DBONSLY</v>
          </cell>
          <cell r="C925" t="str">
            <v>Ground</v>
          </cell>
          <cell r="D925" t="str">
            <v>Grass</v>
          </cell>
          <cell r="L925" t="str">
            <v>Epoch</v>
          </cell>
        </row>
        <row r="926">
          <cell r="A926">
            <v>925</v>
          </cell>
          <cell r="B926" t="str">
            <v>DSUDOWOODO</v>
          </cell>
          <cell r="C926" t="str">
            <v>Ground</v>
          </cell>
          <cell r="D926" t="str">
            <v>Grass</v>
          </cell>
          <cell r="L926" t="str">
            <v>Epoch</v>
          </cell>
        </row>
        <row r="927">
          <cell r="A927">
            <v>926</v>
          </cell>
          <cell r="B927" t="str">
            <v>DDRUDDIGON</v>
          </cell>
          <cell r="C927" t="str">
            <v>Dragon</v>
          </cell>
          <cell r="D927" t="str">
            <v>Fighting</v>
          </cell>
          <cell r="L927" t="str">
            <v>Epoch</v>
          </cell>
        </row>
        <row r="928">
          <cell r="A928">
            <v>927</v>
          </cell>
          <cell r="B928" t="str">
            <v>DWOOBAT</v>
          </cell>
          <cell r="C928" t="str">
            <v>Poison</v>
          </cell>
          <cell r="D928" t="str">
            <v>Flying</v>
          </cell>
          <cell r="L928" t="str">
            <v>Epoch</v>
          </cell>
        </row>
        <row r="929">
          <cell r="A929">
            <v>928</v>
          </cell>
          <cell r="B929" t="str">
            <v>DSWOOBAT</v>
          </cell>
          <cell r="C929" t="str">
            <v>Poison</v>
          </cell>
          <cell r="D929" t="str">
            <v>Flying</v>
          </cell>
          <cell r="L929" t="str">
            <v>Epoch</v>
          </cell>
        </row>
        <row r="930">
          <cell r="A930">
            <v>929</v>
          </cell>
          <cell r="B930" t="str">
            <v>DKRABBY</v>
          </cell>
          <cell r="C930" t="str">
            <v>Ground</v>
          </cell>
          <cell r="D930" t="str">
            <v>Rock</v>
          </cell>
          <cell r="L930" t="str">
            <v>Epoch</v>
          </cell>
        </row>
        <row r="931">
          <cell r="A931">
            <v>930</v>
          </cell>
          <cell r="B931" t="str">
            <v>DKINGLER</v>
          </cell>
          <cell r="C931" t="str">
            <v>Ground</v>
          </cell>
          <cell r="D931" t="str">
            <v>Rock</v>
          </cell>
          <cell r="L931" t="str">
            <v>Epoch</v>
          </cell>
        </row>
        <row r="932">
          <cell r="A932">
            <v>931</v>
          </cell>
          <cell r="B932" t="str">
            <v>DHOOTHOOT</v>
          </cell>
          <cell r="C932" t="str">
            <v>Psychic</v>
          </cell>
          <cell r="D932" t="str">
            <v>Light</v>
          </cell>
          <cell r="L932" t="str">
            <v>Epoch</v>
          </cell>
        </row>
        <row r="933">
          <cell r="A933">
            <v>932</v>
          </cell>
          <cell r="B933" t="str">
            <v>DNOCTOWL</v>
          </cell>
          <cell r="C933" t="str">
            <v>Psychic</v>
          </cell>
          <cell r="D933" t="str">
            <v>Light</v>
          </cell>
          <cell r="L933" t="str">
            <v>Epoch</v>
          </cell>
        </row>
        <row r="934">
          <cell r="A934">
            <v>933</v>
          </cell>
          <cell r="B934" t="str">
            <v>DVOLTORB</v>
          </cell>
          <cell r="C934" t="str">
            <v>Ice</v>
          </cell>
          <cell r="D934">
            <v>0</v>
          </cell>
          <cell r="L934" t="str">
            <v>Epoch</v>
          </cell>
        </row>
        <row r="935">
          <cell r="A935">
            <v>934</v>
          </cell>
          <cell r="B935" t="str">
            <v>DELECTRODE</v>
          </cell>
          <cell r="C935" t="str">
            <v>Ice</v>
          </cell>
          <cell r="D935">
            <v>0</v>
          </cell>
          <cell r="L935" t="str">
            <v>Epoch</v>
          </cell>
        </row>
        <row r="936">
          <cell r="A936">
            <v>935</v>
          </cell>
          <cell r="B936" t="str">
            <v>DSANDYGAST</v>
          </cell>
          <cell r="C936" t="str">
            <v>Ghost</v>
          </cell>
          <cell r="D936" t="str">
            <v>Ice</v>
          </cell>
          <cell r="L936" t="str">
            <v>Epoch</v>
          </cell>
        </row>
        <row r="937">
          <cell r="A937">
            <v>936</v>
          </cell>
          <cell r="B937" t="str">
            <v>DPALOSSAND</v>
          </cell>
          <cell r="C937" t="str">
            <v>Ghost</v>
          </cell>
          <cell r="D937" t="str">
            <v>Ice</v>
          </cell>
          <cell r="L937" t="str">
            <v>Epoch</v>
          </cell>
        </row>
        <row r="938">
          <cell r="A938">
            <v>937</v>
          </cell>
          <cell r="B938" t="str">
            <v>DWEEDLE</v>
          </cell>
          <cell r="C938" t="str">
            <v>Bug</v>
          </cell>
          <cell r="D938" t="str">
            <v>Steel</v>
          </cell>
          <cell r="L938" t="str">
            <v>Epoch</v>
          </cell>
        </row>
        <row r="939">
          <cell r="A939">
            <v>938</v>
          </cell>
          <cell r="B939" t="str">
            <v>DKAKUNA</v>
          </cell>
          <cell r="C939" t="str">
            <v>Bug</v>
          </cell>
          <cell r="D939" t="str">
            <v>Steel</v>
          </cell>
          <cell r="L939" t="str">
            <v>Epoch</v>
          </cell>
        </row>
        <row r="940">
          <cell r="A940">
            <v>939</v>
          </cell>
          <cell r="B940" t="str">
            <v>DBEEDRILL</v>
          </cell>
          <cell r="C940" t="str">
            <v>Bug</v>
          </cell>
          <cell r="D940" t="str">
            <v>Steel</v>
          </cell>
          <cell r="L940" t="str">
            <v>Epoch</v>
          </cell>
        </row>
        <row r="941">
          <cell r="A941">
            <v>940</v>
          </cell>
          <cell r="B941" t="str">
            <v>DMACHOP</v>
          </cell>
          <cell r="C941" t="str">
            <v>Ground</v>
          </cell>
          <cell r="D941" t="str">
            <v>Fighting</v>
          </cell>
          <cell r="L941" t="str">
            <v>Epoch</v>
          </cell>
        </row>
        <row r="942">
          <cell r="A942">
            <v>941</v>
          </cell>
          <cell r="B942" t="str">
            <v>DMACHOKE</v>
          </cell>
          <cell r="C942" t="str">
            <v>Ground</v>
          </cell>
          <cell r="D942" t="str">
            <v>Fighting</v>
          </cell>
          <cell r="L942" t="str">
            <v>Epoch</v>
          </cell>
        </row>
        <row r="943">
          <cell r="A943">
            <v>942</v>
          </cell>
          <cell r="B943" t="str">
            <v>DMACHAMP</v>
          </cell>
          <cell r="C943" t="str">
            <v>Ground</v>
          </cell>
          <cell r="D943" t="str">
            <v>Fighting</v>
          </cell>
          <cell r="L943" t="str">
            <v>Epoch</v>
          </cell>
        </row>
        <row r="944">
          <cell r="A944">
            <v>943</v>
          </cell>
          <cell r="B944" t="str">
            <v>DBULBASAUR</v>
          </cell>
          <cell r="C944" t="str">
            <v>Ice</v>
          </cell>
          <cell r="D944" t="str">
            <v>Fairy</v>
          </cell>
          <cell r="L944" t="str">
            <v>Epoch</v>
          </cell>
        </row>
        <row r="945">
          <cell r="A945">
            <v>944</v>
          </cell>
          <cell r="B945" t="str">
            <v>DIVYSAUR</v>
          </cell>
          <cell r="C945" t="str">
            <v>Ice</v>
          </cell>
          <cell r="D945" t="str">
            <v>Fairy</v>
          </cell>
          <cell r="L945" t="str">
            <v>Epoch</v>
          </cell>
        </row>
        <row r="946">
          <cell r="A946">
            <v>945</v>
          </cell>
          <cell r="B946" t="str">
            <v>DVENUSAUR</v>
          </cell>
          <cell r="C946" t="str">
            <v>Ice</v>
          </cell>
          <cell r="D946" t="str">
            <v>Fairy</v>
          </cell>
          <cell r="L946" t="str">
            <v>Epoch</v>
          </cell>
        </row>
        <row r="947">
          <cell r="A947">
            <v>946</v>
          </cell>
          <cell r="B947" t="str">
            <v>DTAUROS</v>
          </cell>
          <cell r="C947" t="str">
            <v>Fire</v>
          </cell>
          <cell r="D947" t="str">
            <v>Electric</v>
          </cell>
          <cell r="L947" t="str">
            <v>Epoch</v>
          </cell>
        </row>
        <row r="948">
          <cell r="A948">
            <v>947</v>
          </cell>
          <cell r="B948" t="str">
            <v>DCARVANHA</v>
          </cell>
          <cell r="C948" t="str">
            <v>Steel</v>
          </cell>
          <cell r="D948" t="str">
            <v>Flying</v>
          </cell>
          <cell r="L948" t="str">
            <v>Epoch</v>
          </cell>
        </row>
        <row r="949">
          <cell r="A949">
            <v>948</v>
          </cell>
          <cell r="B949" t="str">
            <v>DSHARPEDO</v>
          </cell>
          <cell r="C949" t="str">
            <v>Steel</v>
          </cell>
          <cell r="D949" t="str">
            <v>Flying</v>
          </cell>
          <cell r="L949" t="str">
            <v>Epoch</v>
          </cell>
        </row>
        <row r="950">
          <cell r="A950">
            <v>949</v>
          </cell>
          <cell r="B950" t="str">
            <v>DTIMBURR</v>
          </cell>
          <cell r="C950" t="str">
            <v>Ghost</v>
          </cell>
          <cell r="D950" t="str">
            <v>Fighting</v>
          </cell>
          <cell r="L950" t="str">
            <v>Epoch</v>
          </cell>
        </row>
        <row r="951">
          <cell r="A951">
            <v>950</v>
          </cell>
          <cell r="B951" t="str">
            <v>DGURDURR</v>
          </cell>
          <cell r="C951" t="str">
            <v>Ghost</v>
          </cell>
          <cell r="D951" t="str">
            <v>Fighting</v>
          </cell>
          <cell r="L951" t="str">
            <v>Epoch</v>
          </cell>
        </row>
        <row r="952">
          <cell r="A952">
            <v>951</v>
          </cell>
          <cell r="B952" t="str">
            <v>DCONKELDURR</v>
          </cell>
          <cell r="C952" t="str">
            <v>Ghost</v>
          </cell>
          <cell r="D952" t="str">
            <v>Fighting</v>
          </cell>
          <cell r="L952" t="str">
            <v>Epoch</v>
          </cell>
        </row>
        <row r="953">
          <cell r="A953">
            <v>952</v>
          </cell>
          <cell r="B953" t="str">
            <v>DLITWICK</v>
          </cell>
          <cell r="C953" t="str">
            <v>Light</v>
          </cell>
          <cell r="D953" t="str">
            <v>Ghost</v>
          </cell>
          <cell r="L953" t="str">
            <v>Epoch</v>
          </cell>
        </row>
        <row r="954">
          <cell r="A954">
            <v>953</v>
          </cell>
          <cell r="B954" t="str">
            <v>DLAMPENT</v>
          </cell>
          <cell r="C954" t="str">
            <v>Light</v>
          </cell>
          <cell r="D954" t="str">
            <v>Ghost</v>
          </cell>
          <cell r="L954" t="str">
            <v>Epoch</v>
          </cell>
        </row>
        <row r="955">
          <cell r="A955">
            <v>954</v>
          </cell>
          <cell r="B955" t="str">
            <v>DCHANDELURE</v>
          </cell>
          <cell r="C955" t="str">
            <v>Light</v>
          </cell>
          <cell r="D955" t="str">
            <v>Ghost</v>
          </cell>
          <cell r="L955" t="str">
            <v>Epoch</v>
          </cell>
        </row>
        <row r="956">
          <cell r="A956">
            <v>955</v>
          </cell>
          <cell r="B956" t="str">
            <v>DVANILLITE</v>
          </cell>
          <cell r="C956" t="str">
            <v>Poison</v>
          </cell>
          <cell r="D956">
            <v>0</v>
          </cell>
          <cell r="L956" t="str">
            <v>Epoch</v>
          </cell>
        </row>
        <row r="957">
          <cell r="A957">
            <v>956</v>
          </cell>
          <cell r="B957" t="str">
            <v>DVANILLISH</v>
          </cell>
          <cell r="C957" t="str">
            <v>Poison</v>
          </cell>
          <cell r="D957">
            <v>0</v>
          </cell>
          <cell r="L957" t="str">
            <v>Epoch</v>
          </cell>
        </row>
        <row r="958">
          <cell r="A958">
            <v>957</v>
          </cell>
          <cell r="B958" t="str">
            <v>DVANILLUXE</v>
          </cell>
          <cell r="C958" t="str">
            <v>Poison</v>
          </cell>
          <cell r="D958">
            <v>0</v>
          </cell>
          <cell r="L958" t="str">
            <v>Epoch</v>
          </cell>
        </row>
        <row r="959">
          <cell r="A959">
            <v>958</v>
          </cell>
          <cell r="B959" t="str">
            <v>DELEKID</v>
          </cell>
          <cell r="C959" t="str">
            <v>Bug</v>
          </cell>
          <cell r="D959" t="str">
            <v>Fighting</v>
          </cell>
          <cell r="L959" t="str">
            <v>Epoch</v>
          </cell>
        </row>
        <row r="960">
          <cell r="A960">
            <v>959</v>
          </cell>
          <cell r="B960" t="str">
            <v>DELECTABUZZ</v>
          </cell>
          <cell r="C960" t="str">
            <v>Bug</v>
          </cell>
          <cell r="D960" t="str">
            <v>Fighting</v>
          </cell>
          <cell r="L960" t="str">
            <v>Epoch</v>
          </cell>
        </row>
        <row r="961">
          <cell r="A961">
            <v>960</v>
          </cell>
          <cell r="B961" t="str">
            <v>DELECTIVIRE</v>
          </cell>
          <cell r="C961" t="str">
            <v>Bug</v>
          </cell>
          <cell r="D961" t="str">
            <v>Fighting</v>
          </cell>
          <cell r="L961" t="str">
            <v>Epoch</v>
          </cell>
        </row>
        <row r="962">
          <cell r="A962">
            <v>961</v>
          </cell>
          <cell r="B962" t="str">
            <v>DPOPPLIO</v>
          </cell>
          <cell r="C962" t="str">
            <v>Grass</v>
          </cell>
          <cell r="D962" t="str">
            <v>Fairy</v>
          </cell>
          <cell r="L962" t="str">
            <v>Epoch</v>
          </cell>
        </row>
        <row r="963">
          <cell r="A963">
            <v>962</v>
          </cell>
          <cell r="B963" t="str">
            <v>DBRIONNE</v>
          </cell>
          <cell r="C963" t="str">
            <v>Grass</v>
          </cell>
          <cell r="D963" t="str">
            <v>Fairy</v>
          </cell>
          <cell r="L963" t="str">
            <v>Epoch</v>
          </cell>
        </row>
        <row r="964">
          <cell r="A964">
            <v>963</v>
          </cell>
          <cell r="B964" t="str">
            <v>DPRIMARINA</v>
          </cell>
          <cell r="C964" t="str">
            <v>Grass</v>
          </cell>
          <cell r="D964" t="str">
            <v>Fairy</v>
          </cell>
          <cell r="L964" t="str">
            <v>Epoch</v>
          </cell>
        </row>
        <row r="965">
          <cell r="A965">
            <v>964</v>
          </cell>
          <cell r="B965" t="str">
            <v>DSNORUNT</v>
          </cell>
          <cell r="C965" t="str">
            <v>Ghost</v>
          </cell>
          <cell r="D965">
            <v>0</v>
          </cell>
          <cell r="L965" t="str">
            <v>Epoch</v>
          </cell>
        </row>
        <row r="966">
          <cell r="A966">
            <v>965</v>
          </cell>
          <cell r="B966" t="str">
            <v>DGLALIE</v>
          </cell>
          <cell r="C966" t="str">
            <v>Ghost</v>
          </cell>
          <cell r="D966" t="str">
            <v>Dark</v>
          </cell>
          <cell r="L966" t="str">
            <v>Epoch</v>
          </cell>
        </row>
        <row r="967">
          <cell r="A967">
            <v>966</v>
          </cell>
          <cell r="B967" t="str">
            <v>DFROSLASS</v>
          </cell>
          <cell r="C967" t="str">
            <v>Ghost</v>
          </cell>
          <cell r="D967" t="str">
            <v>Flying</v>
          </cell>
          <cell r="L967" t="str">
            <v>Epoch</v>
          </cell>
        </row>
        <row r="968">
          <cell r="A968">
            <v>967</v>
          </cell>
          <cell r="B968" t="str">
            <v>DMAGBY</v>
          </cell>
          <cell r="C968" t="str">
            <v>Water</v>
          </cell>
          <cell r="D968" t="str">
            <v>Ice</v>
          </cell>
          <cell r="L968" t="str">
            <v>Epoch</v>
          </cell>
        </row>
        <row r="969">
          <cell r="A969">
            <v>968</v>
          </cell>
          <cell r="B969" t="str">
            <v>DMAGMAR</v>
          </cell>
          <cell r="C969" t="str">
            <v>Water</v>
          </cell>
          <cell r="D969" t="str">
            <v>Ice</v>
          </cell>
          <cell r="L969" t="str">
            <v>Epoch</v>
          </cell>
        </row>
        <row r="970">
          <cell r="A970">
            <v>969</v>
          </cell>
          <cell r="B970" t="str">
            <v>DMAGMORTAR</v>
          </cell>
          <cell r="C970" t="str">
            <v>Water</v>
          </cell>
          <cell r="D970" t="str">
            <v>Ice</v>
          </cell>
          <cell r="L970" t="str">
            <v>Epoch</v>
          </cell>
        </row>
        <row r="971">
          <cell r="A971">
            <v>970</v>
          </cell>
          <cell r="B971" t="str">
            <v>DEXEGGCUTE</v>
          </cell>
          <cell r="C971" t="str">
            <v>Electric</v>
          </cell>
          <cell r="D971" t="str">
            <v>Poison</v>
          </cell>
          <cell r="L971" t="str">
            <v>Epoch</v>
          </cell>
        </row>
        <row r="972">
          <cell r="A972">
            <v>971</v>
          </cell>
          <cell r="B972" t="str">
            <v>DEXEGGUTOR</v>
          </cell>
          <cell r="C972" t="str">
            <v>Electric</v>
          </cell>
          <cell r="D972" t="str">
            <v>Poison</v>
          </cell>
          <cell r="L972" t="str">
            <v>Epoch</v>
          </cell>
        </row>
        <row r="973">
          <cell r="A973">
            <v>972</v>
          </cell>
          <cell r="B973" t="str">
            <v>DJOLTIK</v>
          </cell>
          <cell r="C973" t="str">
            <v>Bug</v>
          </cell>
          <cell r="D973" t="str">
            <v>Dark</v>
          </cell>
          <cell r="L973" t="str">
            <v>Epoch</v>
          </cell>
        </row>
        <row r="974">
          <cell r="A974">
            <v>973</v>
          </cell>
          <cell r="B974" t="str">
            <v>DGALVANTULA</v>
          </cell>
          <cell r="C974" t="str">
            <v>Bug</v>
          </cell>
          <cell r="D974" t="str">
            <v>Dark</v>
          </cell>
          <cell r="L974" t="str">
            <v>Epoch</v>
          </cell>
        </row>
        <row r="975">
          <cell r="A975">
            <v>974</v>
          </cell>
          <cell r="B975" t="str">
            <v>DGRIMER</v>
          </cell>
          <cell r="C975" t="str">
            <v>Grass</v>
          </cell>
          <cell r="D975" t="str">
            <v>Ground</v>
          </cell>
          <cell r="L975" t="str">
            <v>Epoch</v>
          </cell>
        </row>
        <row r="976">
          <cell r="A976">
            <v>975</v>
          </cell>
          <cell r="B976" t="str">
            <v>DMUK</v>
          </cell>
          <cell r="C976" t="str">
            <v>Grass</v>
          </cell>
          <cell r="D976" t="str">
            <v>Ground</v>
          </cell>
          <cell r="L976" t="str">
            <v>Epoch</v>
          </cell>
        </row>
        <row r="977">
          <cell r="A977">
            <v>976</v>
          </cell>
          <cell r="B977" t="str">
            <v>DCHIMCHAR</v>
          </cell>
          <cell r="C977" t="str">
            <v>Electric</v>
          </cell>
          <cell r="D977" t="str">
            <v>Fighting</v>
          </cell>
          <cell r="L977" t="str">
            <v>Epoch</v>
          </cell>
        </row>
        <row r="978">
          <cell r="A978">
            <v>977</v>
          </cell>
          <cell r="B978" t="str">
            <v>DMONFERNO</v>
          </cell>
          <cell r="C978" t="str">
            <v>Electric</v>
          </cell>
          <cell r="D978" t="str">
            <v>Fighting</v>
          </cell>
          <cell r="L978" t="str">
            <v>Epoch</v>
          </cell>
        </row>
        <row r="979">
          <cell r="A979">
            <v>978</v>
          </cell>
          <cell r="B979" t="str">
            <v>DINFERNAPE</v>
          </cell>
          <cell r="C979" t="str">
            <v>Electric</v>
          </cell>
          <cell r="D979" t="str">
            <v>Fighting</v>
          </cell>
          <cell r="L979" t="str">
            <v>Epoch</v>
          </cell>
        </row>
        <row r="980">
          <cell r="A980">
            <v>979</v>
          </cell>
          <cell r="B980" t="str">
            <v>DSABLEYE</v>
          </cell>
          <cell r="C980" t="str">
            <v>Fire</v>
          </cell>
          <cell r="D980" t="str">
            <v>Dark</v>
          </cell>
          <cell r="L980" t="str">
            <v>Epoch</v>
          </cell>
        </row>
        <row r="981">
          <cell r="A981">
            <v>980</v>
          </cell>
          <cell r="B981" t="str">
            <v>DCUBCHOO</v>
          </cell>
          <cell r="C981" t="str">
            <v>Normal</v>
          </cell>
          <cell r="D981">
            <v>0</v>
          </cell>
          <cell r="L981" t="str">
            <v>Epoch</v>
          </cell>
        </row>
        <row r="982">
          <cell r="A982">
            <v>981</v>
          </cell>
          <cell r="B982" t="str">
            <v>DBEARTIC</v>
          </cell>
          <cell r="C982" t="str">
            <v>Normal</v>
          </cell>
          <cell r="D982">
            <v>0</v>
          </cell>
          <cell r="L982" t="str">
            <v>Epoch</v>
          </cell>
        </row>
        <row r="983">
          <cell r="A983">
            <v>982</v>
          </cell>
          <cell r="B983" t="str">
            <v>DTREECKO</v>
          </cell>
          <cell r="C983" t="str">
            <v>Bug</v>
          </cell>
          <cell r="D983" t="str">
            <v>Dragon</v>
          </cell>
          <cell r="L983" t="str">
            <v>Epoch</v>
          </cell>
        </row>
        <row r="984">
          <cell r="A984">
            <v>983</v>
          </cell>
          <cell r="B984" t="str">
            <v>DGROVYLE</v>
          </cell>
          <cell r="C984" t="str">
            <v>Bug</v>
          </cell>
          <cell r="D984" t="str">
            <v>Dragon</v>
          </cell>
          <cell r="L984" t="str">
            <v>Epoch</v>
          </cell>
        </row>
        <row r="985">
          <cell r="A985">
            <v>984</v>
          </cell>
          <cell r="B985" t="str">
            <v>DSCEPTILE</v>
          </cell>
          <cell r="C985" t="str">
            <v>Bug</v>
          </cell>
          <cell r="D985" t="str">
            <v>Dragon</v>
          </cell>
          <cell r="L985" t="str">
            <v>Epoch</v>
          </cell>
        </row>
        <row r="986">
          <cell r="A986">
            <v>985</v>
          </cell>
          <cell r="B986" t="str">
            <v>DLARVITAR</v>
          </cell>
          <cell r="C986" t="str">
            <v>Steel</v>
          </cell>
          <cell r="D986" t="str">
            <v>Dragon</v>
          </cell>
          <cell r="L986" t="str">
            <v>Epoch</v>
          </cell>
        </row>
        <row r="987">
          <cell r="A987">
            <v>986</v>
          </cell>
          <cell r="B987" t="str">
            <v>DPUPITAR</v>
          </cell>
          <cell r="C987" t="str">
            <v>Steel</v>
          </cell>
          <cell r="D987" t="str">
            <v>Dragon</v>
          </cell>
          <cell r="L987" t="str">
            <v>Epoch</v>
          </cell>
        </row>
        <row r="988">
          <cell r="A988">
            <v>987</v>
          </cell>
          <cell r="B988" t="str">
            <v>DTYRANITAR</v>
          </cell>
          <cell r="C988" t="str">
            <v>Steel</v>
          </cell>
          <cell r="D988" t="str">
            <v>Dragon</v>
          </cell>
          <cell r="L988" t="str">
            <v>Epoch</v>
          </cell>
        </row>
        <row r="989">
          <cell r="A989">
            <v>988</v>
          </cell>
          <cell r="B989" t="str">
            <v>DHIPPOPOTAS</v>
          </cell>
          <cell r="C989" t="str">
            <v>Grass</v>
          </cell>
          <cell r="D989" t="str">
            <v>Water</v>
          </cell>
          <cell r="L989" t="str">
            <v>Epoch</v>
          </cell>
        </row>
        <row r="990">
          <cell r="A990">
            <v>989</v>
          </cell>
          <cell r="B990" t="str">
            <v>DHIPPOWDON</v>
          </cell>
          <cell r="C990" t="str">
            <v>Grass</v>
          </cell>
          <cell r="D990" t="str">
            <v>Water</v>
          </cell>
          <cell r="L990" t="str">
            <v>Epoch</v>
          </cell>
        </row>
        <row r="991">
          <cell r="A991">
            <v>990</v>
          </cell>
          <cell r="B991" t="str">
            <v>DBRONZOR</v>
          </cell>
          <cell r="C991" t="str">
            <v>Grass</v>
          </cell>
          <cell r="D991" t="str">
            <v>Rock</v>
          </cell>
          <cell r="L991" t="str">
            <v>Epoch</v>
          </cell>
        </row>
        <row r="992">
          <cell r="A992">
            <v>991</v>
          </cell>
          <cell r="B992" t="str">
            <v>DBRONZONG</v>
          </cell>
          <cell r="C992" t="str">
            <v>Grass</v>
          </cell>
          <cell r="D992" t="str">
            <v>Rock</v>
          </cell>
          <cell r="L992" t="str">
            <v>Epoch</v>
          </cell>
        </row>
        <row r="993">
          <cell r="A993">
            <v>992</v>
          </cell>
          <cell r="B993" t="str">
            <v>DSWIRLIX</v>
          </cell>
          <cell r="C993" t="str">
            <v>Flying</v>
          </cell>
          <cell r="D993" t="str">
            <v>Light</v>
          </cell>
          <cell r="L993" t="str">
            <v>Epoch</v>
          </cell>
        </row>
        <row r="994">
          <cell r="A994">
            <v>993</v>
          </cell>
          <cell r="B994" t="str">
            <v>DSLURPUFF</v>
          </cell>
          <cell r="C994" t="str">
            <v>Flying</v>
          </cell>
          <cell r="D994" t="str">
            <v>Light</v>
          </cell>
          <cell r="L994" t="str">
            <v>Epoch</v>
          </cell>
        </row>
        <row r="995">
          <cell r="A995">
            <v>994</v>
          </cell>
          <cell r="B995" t="str">
            <v>DMAREEP</v>
          </cell>
          <cell r="C995" t="str">
            <v>Fairy</v>
          </cell>
          <cell r="D995" t="str">
            <v>Flying</v>
          </cell>
          <cell r="L995" t="str">
            <v>Epoch</v>
          </cell>
        </row>
        <row r="996">
          <cell r="A996">
            <v>995</v>
          </cell>
          <cell r="B996" t="str">
            <v>DFLAAFFY</v>
          </cell>
          <cell r="C996" t="str">
            <v>Fairy</v>
          </cell>
          <cell r="D996" t="str">
            <v>Flying</v>
          </cell>
          <cell r="L996" t="str">
            <v>Epoch</v>
          </cell>
        </row>
        <row r="997">
          <cell r="A997">
            <v>996</v>
          </cell>
          <cell r="B997" t="str">
            <v>DAMPHAROS</v>
          </cell>
          <cell r="C997" t="str">
            <v>Fairy</v>
          </cell>
          <cell r="D997" t="str">
            <v>Flying</v>
          </cell>
          <cell r="L997" t="str">
            <v>Epoch</v>
          </cell>
        </row>
        <row r="998">
          <cell r="A998">
            <v>997</v>
          </cell>
          <cell r="B998" t="str">
            <v>DSWABLU</v>
          </cell>
          <cell r="C998" t="str">
            <v>Poison</v>
          </cell>
          <cell r="D998" t="str">
            <v>Dragon</v>
          </cell>
          <cell r="L998" t="str">
            <v>Epoch</v>
          </cell>
        </row>
        <row r="999">
          <cell r="A999">
            <v>998</v>
          </cell>
          <cell r="B999" t="str">
            <v>DALTARIA</v>
          </cell>
          <cell r="C999" t="str">
            <v>Poison</v>
          </cell>
          <cell r="D999" t="str">
            <v>Dragon</v>
          </cell>
          <cell r="L999" t="str">
            <v>Epoch</v>
          </cell>
        </row>
        <row r="1000">
          <cell r="A1000">
            <v>999</v>
          </cell>
          <cell r="B1000" t="str">
            <v>DABRA</v>
          </cell>
          <cell r="C1000" t="str">
            <v>Fighting</v>
          </cell>
          <cell r="D1000" t="str">
            <v>Normal</v>
          </cell>
          <cell r="L1000" t="str">
            <v>Epoch</v>
          </cell>
        </row>
        <row r="1001">
          <cell r="A1001">
            <v>1000</v>
          </cell>
          <cell r="B1001" t="str">
            <v>DKADABRA</v>
          </cell>
          <cell r="C1001" t="str">
            <v>Fighting</v>
          </cell>
          <cell r="D1001" t="str">
            <v>Normal</v>
          </cell>
          <cell r="L1001" t="str">
            <v>Epoch</v>
          </cell>
        </row>
        <row r="1002">
          <cell r="A1002">
            <v>1001</v>
          </cell>
          <cell r="B1002" t="str">
            <v>DALAKAZAM</v>
          </cell>
          <cell r="C1002" t="str">
            <v>Fighting</v>
          </cell>
          <cell r="D1002" t="str">
            <v>Normal</v>
          </cell>
          <cell r="L1002" t="str">
            <v>Epoch</v>
          </cell>
        </row>
        <row r="1003">
          <cell r="A1003">
            <v>1002</v>
          </cell>
          <cell r="B1003" t="str">
            <v>DVENIPEDE</v>
          </cell>
          <cell r="C1003" t="str">
            <v>Bug</v>
          </cell>
          <cell r="D1003" t="str">
            <v>Cosmic</v>
          </cell>
          <cell r="L1003" t="str">
            <v>Epoch</v>
          </cell>
        </row>
        <row r="1004">
          <cell r="A1004">
            <v>1003</v>
          </cell>
          <cell r="B1004" t="str">
            <v>DWHIRLIPEDE</v>
          </cell>
          <cell r="C1004" t="str">
            <v>Steel</v>
          </cell>
          <cell r="D1004" t="str">
            <v>Cosmic</v>
          </cell>
          <cell r="L1004" t="str">
            <v>Epoch</v>
          </cell>
        </row>
        <row r="1005">
          <cell r="A1005">
            <v>1004</v>
          </cell>
          <cell r="B1005" t="str">
            <v>DSCOLIPEDE</v>
          </cell>
          <cell r="C1005" t="str">
            <v>Steel</v>
          </cell>
          <cell r="D1005" t="str">
            <v>Cosmic</v>
          </cell>
          <cell r="L1005" t="str">
            <v>Epoch</v>
          </cell>
        </row>
        <row r="1006">
          <cell r="A1006">
            <v>1005</v>
          </cell>
          <cell r="B1006" t="str">
            <v>DHERACROSS</v>
          </cell>
          <cell r="C1006" t="str">
            <v>Bug</v>
          </cell>
          <cell r="D1006" t="str">
            <v>Ground</v>
          </cell>
          <cell r="L1006" t="str">
            <v>Epoch</v>
          </cell>
        </row>
        <row r="1007">
          <cell r="A1007">
            <v>1006</v>
          </cell>
          <cell r="B1007" t="str">
            <v>DTEDDIURSA</v>
          </cell>
          <cell r="C1007" t="str">
            <v>Cosmic</v>
          </cell>
          <cell r="D1007" t="str">
            <v>Ghost</v>
          </cell>
          <cell r="L1007" t="str">
            <v>Epoch</v>
          </cell>
        </row>
        <row r="1008">
          <cell r="A1008">
            <v>1007</v>
          </cell>
          <cell r="B1008" t="str">
            <v>DURSARING</v>
          </cell>
          <cell r="C1008" t="str">
            <v>Cosmic</v>
          </cell>
          <cell r="D1008" t="str">
            <v>Ghost</v>
          </cell>
          <cell r="L1008" t="str">
            <v>Epoch</v>
          </cell>
        </row>
        <row r="1009">
          <cell r="A1009">
            <v>1008</v>
          </cell>
          <cell r="B1009" t="str">
            <v>DPSYDUCK</v>
          </cell>
          <cell r="C1009" t="str">
            <v>Ground</v>
          </cell>
          <cell r="D1009" t="str">
            <v>Psychic</v>
          </cell>
          <cell r="L1009" t="str">
            <v>Epoch</v>
          </cell>
        </row>
        <row r="1010">
          <cell r="A1010">
            <v>1009</v>
          </cell>
          <cell r="B1010" t="str">
            <v>DGOLDUCK</v>
          </cell>
          <cell r="C1010" t="str">
            <v>Ground</v>
          </cell>
          <cell r="D1010" t="str">
            <v>Psychic</v>
          </cell>
          <cell r="L1010" t="str">
            <v>Epoch</v>
          </cell>
        </row>
        <row r="1011">
          <cell r="A1011">
            <v>1010</v>
          </cell>
          <cell r="B1011" t="str">
            <v>DDUSKULL</v>
          </cell>
          <cell r="C1011" t="str">
            <v>Fire</v>
          </cell>
          <cell r="D1011" t="str">
            <v>Ghost</v>
          </cell>
          <cell r="L1011" t="str">
            <v>Epoch</v>
          </cell>
        </row>
        <row r="1012">
          <cell r="A1012">
            <v>1011</v>
          </cell>
          <cell r="B1012" t="str">
            <v>DDUSCLOPS</v>
          </cell>
          <cell r="C1012" t="str">
            <v>Fire</v>
          </cell>
          <cell r="D1012" t="str">
            <v>Ghost</v>
          </cell>
          <cell r="L1012" t="str">
            <v>Epoch</v>
          </cell>
        </row>
        <row r="1013">
          <cell r="A1013">
            <v>1012</v>
          </cell>
          <cell r="B1013" t="str">
            <v>DDUSKNOIR</v>
          </cell>
          <cell r="C1013" t="str">
            <v>Fire</v>
          </cell>
          <cell r="D1013" t="str">
            <v>Ghost</v>
          </cell>
          <cell r="L1013" t="str">
            <v>Epoch</v>
          </cell>
        </row>
        <row r="1014">
          <cell r="A1014">
            <v>1013</v>
          </cell>
          <cell r="B1014" t="str">
            <v>DSKITTY</v>
          </cell>
          <cell r="C1014" t="str">
            <v>Ghost</v>
          </cell>
          <cell r="D1014" t="str">
            <v>Normal</v>
          </cell>
          <cell r="L1014" t="str">
            <v>Epoch</v>
          </cell>
        </row>
        <row r="1015">
          <cell r="A1015">
            <v>1014</v>
          </cell>
          <cell r="B1015" t="str">
            <v>DDELCATTY</v>
          </cell>
          <cell r="C1015" t="str">
            <v>Ghost</v>
          </cell>
          <cell r="D1015" t="str">
            <v>Normal</v>
          </cell>
          <cell r="L1015" t="str">
            <v>Epoch</v>
          </cell>
        </row>
        <row r="1016">
          <cell r="A1016">
            <v>1015</v>
          </cell>
          <cell r="B1016" t="str">
            <v>DEEVEE</v>
          </cell>
          <cell r="C1016" t="str">
            <v>Ghost</v>
          </cell>
          <cell r="D1016">
            <v>0</v>
          </cell>
          <cell r="L1016" t="str">
            <v>Epoch</v>
          </cell>
        </row>
        <row r="1017">
          <cell r="A1017">
            <v>1016</v>
          </cell>
          <cell r="B1017" t="str">
            <v>DVAPOREON</v>
          </cell>
          <cell r="C1017" t="str">
            <v>Ground</v>
          </cell>
          <cell r="D1017">
            <v>0</v>
          </cell>
          <cell r="L1017" t="str">
            <v>Epoch</v>
          </cell>
        </row>
        <row r="1018">
          <cell r="A1018">
            <v>1017</v>
          </cell>
          <cell r="B1018" t="str">
            <v>DJOLTEON</v>
          </cell>
          <cell r="C1018" t="str">
            <v>Flying</v>
          </cell>
          <cell r="D1018">
            <v>0</v>
          </cell>
          <cell r="L1018" t="str">
            <v>Epoch</v>
          </cell>
        </row>
        <row r="1019">
          <cell r="A1019">
            <v>1018</v>
          </cell>
          <cell r="B1019" t="str">
            <v>DFLAREON</v>
          </cell>
          <cell r="C1019" t="str">
            <v>Steel</v>
          </cell>
          <cell r="D1019">
            <v>0</v>
          </cell>
          <cell r="L1019" t="str">
            <v>Epoch</v>
          </cell>
        </row>
        <row r="1020">
          <cell r="A1020">
            <v>1019</v>
          </cell>
          <cell r="B1020" t="str">
            <v>DESPEON</v>
          </cell>
          <cell r="C1020" t="str">
            <v>Poison</v>
          </cell>
          <cell r="D1020">
            <v>0</v>
          </cell>
          <cell r="L1020" t="str">
            <v>Epoch</v>
          </cell>
        </row>
        <row r="1021">
          <cell r="A1021">
            <v>1020</v>
          </cell>
          <cell r="B1021" t="str">
            <v>DUMBREON</v>
          </cell>
          <cell r="C1021" t="str">
            <v>Fighting</v>
          </cell>
          <cell r="D1021">
            <v>0</v>
          </cell>
          <cell r="L1021" t="str">
            <v>Epoch</v>
          </cell>
        </row>
        <row r="1022">
          <cell r="A1022">
            <v>1021</v>
          </cell>
          <cell r="B1022" t="str">
            <v>DLEAFEON</v>
          </cell>
          <cell r="C1022" t="str">
            <v>Bug</v>
          </cell>
          <cell r="D1022">
            <v>0</v>
          </cell>
          <cell r="L1022" t="str">
            <v>Epoch</v>
          </cell>
        </row>
        <row r="1023">
          <cell r="A1023">
            <v>1022</v>
          </cell>
          <cell r="B1023" t="str">
            <v>DGLACEON</v>
          </cell>
          <cell r="C1023" t="str">
            <v>Rock</v>
          </cell>
          <cell r="D1023">
            <v>0</v>
          </cell>
          <cell r="L1023" t="str">
            <v>Epoch</v>
          </cell>
        </row>
        <row r="1024">
          <cell r="A1024">
            <v>1023</v>
          </cell>
          <cell r="B1024" t="str">
            <v>DSYLVEON</v>
          </cell>
          <cell r="C1024" t="str">
            <v>Dragon</v>
          </cell>
          <cell r="D1024">
            <v>0</v>
          </cell>
          <cell r="L1024" t="str">
            <v>Epoch</v>
          </cell>
        </row>
        <row r="1025">
          <cell r="A1025">
            <v>1024</v>
          </cell>
          <cell r="B1025" t="str">
            <v>DDEERLING</v>
          </cell>
          <cell r="C1025" t="str">
            <v>Normal</v>
          </cell>
          <cell r="D1025" t="str">
            <v>Fire</v>
          </cell>
          <cell r="L1025" t="str">
            <v>Epoch</v>
          </cell>
        </row>
        <row r="1026">
          <cell r="A1026">
            <v>1025</v>
          </cell>
          <cell r="B1026" t="str">
            <v>DSAWSBUCK</v>
          </cell>
          <cell r="C1026" t="str">
            <v>Normal</v>
          </cell>
          <cell r="D1026" t="str">
            <v>Fire</v>
          </cell>
          <cell r="L1026" t="str">
            <v>Epoch</v>
          </cell>
        </row>
        <row r="1027">
          <cell r="A1027">
            <v>1026</v>
          </cell>
          <cell r="B1027" t="str">
            <v>DARON</v>
          </cell>
          <cell r="C1027" t="str">
            <v>Bug</v>
          </cell>
          <cell r="D1027" t="str">
            <v>Rock</v>
          </cell>
          <cell r="L1027" t="str">
            <v>Epoch</v>
          </cell>
        </row>
        <row r="1028">
          <cell r="A1028">
            <v>1027</v>
          </cell>
          <cell r="B1028" t="str">
            <v>DLAIRON</v>
          </cell>
          <cell r="C1028" t="str">
            <v>Bug</v>
          </cell>
          <cell r="D1028" t="str">
            <v>Rock</v>
          </cell>
          <cell r="L1028" t="str">
            <v>Epoch</v>
          </cell>
        </row>
        <row r="1029">
          <cell r="A1029">
            <v>1028</v>
          </cell>
          <cell r="B1029" t="str">
            <v>DAGGRON</v>
          </cell>
          <cell r="C1029" t="str">
            <v>Bug</v>
          </cell>
          <cell r="D1029" t="str">
            <v>Rock</v>
          </cell>
          <cell r="L1029" t="str">
            <v>Epoch</v>
          </cell>
        </row>
        <row r="1030">
          <cell r="A1030">
            <v>1029</v>
          </cell>
          <cell r="B1030" t="str">
            <v>DSHELLOS</v>
          </cell>
          <cell r="C1030" t="str">
            <v>Dragon</v>
          </cell>
          <cell r="D1030" t="str">
            <v>Normal</v>
          </cell>
          <cell r="L1030" t="str">
            <v>Epoch</v>
          </cell>
        </row>
        <row r="1031">
          <cell r="A1031">
            <v>1030</v>
          </cell>
          <cell r="B1031" t="str">
            <v>DGASTRODON</v>
          </cell>
          <cell r="C1031" t="str">
            <v>Dragon</v>
          </cell>
          <cell r="D1031" t="str">
            <v>Normal</v>
          </cell>
          <cell r="E1031" t="str">
            <v>X</v>
          </cell>
          <cell r="F1031" t="str">
            <v>X</v>
          </cell>
          <cell r="G1031" t="str">
            <v>X</v>
          </cell>
          <cell r="H1031" t="str">
            <v>X</v>
          </cell>
          <cell r="I1031" t="str">
            <v>X</v>
          </cell>
          <cell r="J1031" t="str">
            <v>X</v>
          </cell>
          <cell r="K1031" t="str">
            <v>X</v>
          </cell>
          <cell r="L1031" t="str">
            <v>Epoch</v>
          </cell>
          <cell r="M1031" t="str">
            <v>X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ren" refreshedDate="46164.869809606484" createdVersion="7" refreshedVersion="8" minRefreshableVersion="3" recordCount="1232" xr:uid="{00000000-000A-0000-FFFF-FFFF01000000}">
  <cacheSource type="worksheet">
    <worksheetSource ref="A1:BR1048576" sheet="DATA"/>
  </cacheSource>
  <cacheFields count="70">
    <cacheField name="# sort" numFmtId="0">
      <sharedItems containsBlank="1" containsMixedTypes="1" containsNumber="1" containsInteger="1" minValue="1" maxValue="1170"/>
    </cacheField>
    <cacheField name="Pokemon" numFmtId="0">
      <sharedItems containsBlank="1"/>
    </cacheField>
    <cacheField name="Form?" numFmtId="0">
      <sharedItems containsBlank="1"/>
    </cacheField>
    <cacheField name="Type 1" numFmtId="0">
      <sharedItems containsBlank="1" count="27">
        <s v="Fire"/>
        <s v="Water"/>
        <s v="Ice"/>
        <s v="Cosmic"/>
        <s v="Ground"/>
        <s v="Poison"/>
        <s v="Ghost"/>
        <s v="Electric"/>
        <s v="Steel"/>
        <s v="Grass"/>
        <s v="Dark"/>
        <s v="Light"/>
        <s v="Bug"/>
        <s v="Rock"/>
        <s v="Dragon"/>
        <s v="Fairy"/>
        <s v="Psychic"/>
        <s v="Normal"/>
        <s v="Flying"/>
        <s v="Fighting"/>
        <s v="Sound"/>
        <m/>
        <s v="GELATIN SOLOSIS" u="1"/>
        <s v="Something to Porygon data/matrix related." u="1"/>
        <s v="Something to do with PokeVerse Salamence" u="1"/>
        <s v="Dark " u="1"/>
        <s v="Something to do with PokeVerse scizor" u="1"/>
      </sharedItems>
    </cacheField>
    <cacheField name="Type 2" numFmtId="0">
      <sharedItems containsBlank="1" containsMixedTypes="1" containsNumber="1" containsInteger="1" minValue="0" maxValue="0" count="23">
        <s v="Poison"/>
        <s v="Psychic"/>
        <s v="Flying"/>
        <s v="Rock"/>
        <n v="0"/>
        <s v="Steel"/>
        <s v="Water"/>
        <s v="Electric"/>
        <s v="Sound"/>
        <s v="Grass"/>
        <s v="Dark"/>
        <s v="Fire"/>
        <s v="Fairy"/>
        <s v="Cosmic"/>
        <s v="Fighting"/>
        <s v="Ground"/>
        <s v="Ice"/>
        <s v="Dragon"/>
        <s v="Ghost"/>
        <s v="Light"/>
        <s v="Normal"/>
        <s v="Bug"/>
        <m/>
      </sharedItems>
    </cacheField>
    <cacheField name="Moves in PBS" numFmtId="0">
      <sharedItems containsBlank="1"/>
    </cacheField>
    <cacheField name="Tutor in PBS" numFmtId="0">
      <sharedItems containsBlank="1"/>
    </cacheField>
    <cacheField name="Battle Tower PBS" numFmtId="0">
      <sharedItems containsBlank="1"/>
    </cacheField>
    <cacheField name="Front" numFmtId="0">
      <sharedItems containsBlank="1"/>
    </cacheField>
    <cacheField name="Back" numFmtId="0">
      <sharedItems containsBlank="1"/>
    </cacheField>
    <cacheField name="Icon" numFmtId="0">
      <sharedItems containsBlank="1"/>
    </cacheField>
    <cacheField name="Overworld" numFmtId="0">
      <sharedItems containsBlank="1"/>
    </cacheField>
    <cacheField name="Egg" numFmtId="0">
      <sharedItems containsBlank="1"/>
    </cacheField>
    <cacheField name="Shiny Front" numFmtId="0">
      <sharedItems containsBlank="1"/>
    </cacheField>
    <cacheField name="Shiny Back" numFmtId="0">
      <sharedItems containsBlank="1"/>
    </cacheField>
    <cacheField name="Shiny Hue Shift" numFmtId="0">
      <sharedItems containsBlank="1"/>
    </cacheField>
    <cacheField name="Mega Front" numFmtId="0">
      <sharedItems containsBlank="1"/>
    </cacheField>
    <cacheField name="Mega Back" numFmtId="0">
      <sharedItems containsBlank="1"/>
    </cacheField>
    <cacheField name="Mega in Forms PBS?" numFmtId="0">
      <sharedItems containsBlank="1"/>
    </cacheField>
    <cacheField name="Mega stone" numFmtId="0">
      <sharedItems containsBlank="1"/>
    </cacheField>
    <cacheField name="Mega Icon" numFmtId="0">
      <sharedItems containsBlank="1"/>
    </cacheField>
    <cacheField name="Shiny M-Front" numFmtId="0">
      <sharedItems containsBlank="1"/>
    </cacheField>
    <cacheField name="Shiny M-Back" numFmtId="0">
      <sharedItems containsBlank="1"/>
    </cacheField>
    <cacheField name="Artist" numFmtId="0">
      <sharedItems containsBlank="1"/>
    </cacheField>
    <cacheField name="x" numFmtId="0">
      <sharedItems containsNonDate="0" containsString="0" containsBlank="1"/>
    </cacheField>
    <cacheField name="Fields Meadows" numFmtId="0">
      <sharedItems containsString="0" containsBlank="1" containsNumber="1" containsInteger="1" minValue="1" maxValue="1"/>
    </cacheField>
    <cacheField name="Forest" numFmtId="0">
      <sharedItems containsString="0" containsBlank="1" containsNumber="1" containsInteger="1" minValue="1" maxValue="1"/>
    </cacheField>
    <cacheField name="Tropical Jungle" numFmtId="0">
      <sharedItems containsString="0" containsBlank="1" containsNumber="1" containsInteger="1" minValue="1" maxValue="1"/>
    </cacheField>
    <cacheField name="Tropical Ruins" numFmtId="0">
      <sharedItems containsString="0" containsBlank="1" containsNumber="1" containsInteger="1" minValue="1" maxValue="1"/>
    </cacheField>
    <cacheField name="Cave" numFmtId="0">
      <sharedItems containsString="0" containsBlank="1" containsNumber="1" containsInteger="1" minValue="1" maxValue="1"/>
    </cacheField>
    <cacheField name="Desert" numFmtId="0">
      <sharedItems containsString="0" containsBlank="1" containsNumber="1" containsInteger="1" minValue="1" maxValue="1"/>
    </cacheField>
    <cacheField name="Desert Tombs" numFmtId="0">
      <sharedItems containsString="0" containsBlank="1" containsNumber="1" containsInteger="1" minValue="1" maxValue="1"/>
    </cacheField>
    <cacheField name="Temple" numFmtId="0">
      <sharedItems containsString="0" containsBlank="1" containsNumber="1" containsInteger="1" minValue="1" maxValue="1"/>
    </cacheField>
    <cacheField name="Graveyards" numFmtId="0">
      <sharedItems containsString="0" containsBlank="1" containsNumber="1" containsInteger="1" minValue="1" maxValue="1"/>
    </cacheField>
    <cacheField name="Ponds Streams Rivers Lakes" numFmtId="0">
      <sharedItems containsString="0" containsBlank="1" containsNumber="1" containsInteger="1" minValue="1" maxValue="1"/>
    </cacheField>
    <cacheField name="Beaches" numFmtId="0">
      <sharedItems containsString="0" containsBlank="1" containsNumber="1" containsInteger="1" minValue="1" maxValue="1"/>
    </cacheField>
    <cacheField name="Seas and Oceans" numFmtId="0">
      <sharedItems containsString="0" containsBlank="1" containsNumber="1" containsInteger="1" minValue="1" maxValue="1"/>
    </cacheField>
    <cacheField name="Underwater  Sea Floor" numFmtId="0">
      <sharedItems containsString="0" containsBlank="1" containsNumber="1" containsInteger="1" minValue="1" maxValue="1"/>
    </cacheField>
    <cacheField name="Underwater Caves" numFmtId="0">
      <sharedItems containsString="0" containsBlank="1" containsNumber="1" containsInteger="1" minValue="1" maxValue="1"/>
    </cacheField>
    <cacheField name="Frozen Seas and Glaciers" numFmtId="0">
      <sharedItems containsString="0" containsBlank="1" containsNumber="1" containsInteger="1" minValue="1" maxValue="1"/>
    </cacheField>
    <cacheField name="Snowy Forests" numFmtId="0">
      <sharedItems containsString="0" containsBlank="1" containsNumber="1" containsInteger="1" minValue="1" maxValue="1"/>
    </cacheField>
    <cacheField name="Tundras" numFmtId="0">
      <sharedItems containsString="0" containsBlank="1" containsNumber="1" containsInteger="1" minValue="1" maxValue="1"/>
    </cacheField>
    <cacheField name="Frozen Mountain Peaks" numFmtId="0">
      <sharedItems containsString="0" containsBlank="1" containsNumber="1" containsInteger="1" minValue="1" maxValue="1"/>
    </cacheField>
    <cacheField name="Icy Caves" numFmtId="0">
      <sharedItems containsString="0" containsBlank="1" containsNumber="1" containsInteger="1" minValue="1" maxValue="1"/>
    </cacheField>
    <cacheField name="Cities Urban Facilities" numFmtId="0">
      <sharedItems containsString="0" containsBlank="1" containsNumber="1" containsInteger="1" minValue="1" maxValue="1"/>
    </cacheField>
    <cacheField name="Sewers" numFmtId="0">
      <sharedItems containsString="0" containsBlank="1" containsNumber="1" containsInteger="1" minValue="1" maxValue="1"/>
    </cacheField>
    <cacheField name="Space / Cosmic" numFmtId="0">
      <sharedItems containsString="0" containsBlank="1" containsNumber="1" containsInteger="1" minValue="1" maxValue="1"/>
    </cacheField>
    <cacheField name="Craters Ashy" numFmtId="0">
      <sharedItems containsString="0" containsBlank="1" containsNumber="1" containsInteger="1" minValue="1" maxValue="1"/>
    </cacheField>
    <cacheField name="Volcano" numFmtId="0">
      <sharedItems containsString="0" containsBlank="1" containsNumber="1" containsInteger="1" minValue="1" maxValue="1"/>
    </cacheField>
    <cacheField name="Rocky Mountains" numFmtId="0">
      <sharedItems containsString="0" containsBlank="1" containsNumber="1" containsInteger="1" minValue="1" maxValue="1"/>
    </cacheField>
    <cacheField name="Badlands" numFmtId="0">
      <sharedItems containsString="0" containsBlank="1" containsNumber="1" containsInteger="1" minValue="1" maxValue="1"/>
    </cacheField>
    <cacheField name="Swamps and Marshes" numFmtId="0">
      <sharedItems containsString="0" containsBlank="1" containsNumber="1" containsInteger="1" minValue="1" maxValue="1"/>
    </cacheField>
    <cacheField name="x2" numFmtId="0">
      <sharedItems containsNonDate="0" containsString="0" containsBlank="1"/>
    </cacheField>
    <cacheField name="Evolve" numFmtId="0">
      <sharedItems containsString="0" containsBlank="1" containsNumber="1" containsInteger="1" minValue="1" maxValue="6"/>
    </cacheField>
    <cacheField name="Gift?" numFmtId="0">
      <sharedItems containsNonDate="0" containsString="0" containsBlank="1"/>
    </cacheField>
    <cacheField name="Grotto?" numFmtId="0">
      <sharedItems containsNonDate="0" containsString="0" containsBlank="1"/>
    </cacheField>
    <cacheField name="Quest" numFmtId="0">
      <sharedItems containsNonDate="0" containsString="0" containsBlank="1"/>
    </cacheField>
    <cacheField name="Overworld2" numFmtId="0">
      <sharedItems containsNonDate="0" containsString="0" containsBlank="1"/>
    </cacheField>
    <cacheField name="Fossil" numFmtId="0">
      <sharedItems containsNonDate="0" containsString="0" containsBlank="1"/>
    </cacheField>
    <cacheField name="Legendary?" numFmtId="0">
      <sharedItems containsNonDate="0" containsString="0" containsBlank="1"/>
    </cacheField>
    <cacheField name="Baby?" numFmtId="0">
      <sharedItems containsNonDate="0" containsString="0" containsBlank="1"/>
    </cacheField>
    <cacheField name="S4 HOF Entries" numFmtId="0">
      <sharedItems containsString="0" containsBlank="1" containsNumber="1" containsInteger="1" minValue="1" maxValue="39"/>
    </cacheField>
    <cacheField name="S5 HOF Entries" numFmtId="0">
      <sharedItems containsString="0" containsBlank="1" containsNumber="1" containsInteger="1" minValue="1" maxValue="15"/>
    </cacheField>
    <cacheField name="S6 HOF Entries" numFmtId="0">
      <sharedItems containsString="0" containsBlank="1" containsNumber="1" containsInteger="1" minValue="1" maxValue="4"/>
    </cacheField>
    <cacheField name="Trade?" numFmtId="0">
      <sharedItems containsNonDate="0" containsString="0" containsBlank="1"/>
    </cacheField>
    <cacheField name="Starter?" numFmtId="0">
      <sharedItems containsNonDate="0" containsString="0" containsBlank="1"/>
    </cacheField>
    <cacheField name="Count Formula" numFmtId="0">
      <sharedItems containsNonDate="0" containsString="0" containsBlank="1"/>
    </cacheField>
    <cacheField name="Type" numFmtId="0">
      <sharedItems containsBlank="1" count="359">
        <s v="FirePoison"/>
        <s v="WaterPsychic"/>
        <s v="IceFlying"/>
        <s v="CosmicFlying"/>
        <s v="GroundPoison"/>
        <s v="CosmicRock"/>
        <s v="IceRock"/>
        <s v="Poison0"/>
        <s v="PoisonSteel"/>
        <s v="GhostWater"/>
        <s v="ElectricFlying"/>
        <s v="SteelElectric"/>
        <s v="FireFlying"/>
        <s v="GrassPsychic"/>
        <s v="DarkSound"/>
        <s v="GroundGrass"/>
        <s v="GrassPoison"/>
        <s v="Ground0"/>
        <s v="DarkPoison"/>
        <s v="ElectricPsychic"/>
        <s v="IceDark"/>
        <s v="LightFlying"/>
        <s v="SteelPsychic"/>
        <s v="GhostGrass"/>
        <s v="BugElectric"/>
        <s v="IceGrass"/>
        <s v="ElectricDark"/>
        <s v="Rock0"/>
        <s v="BugSteel"/>
        <s v="GhostFire"/>
        <s v="DragonFairy"/>
        <s v="RockFire"/>
        <s v="GrassWater"/>
        <s v="IceSound"/>
        <s v="IceCosmic"/>
        <s v="FireCosmic"/>
        <s v="DarkFighting"/>
        <s v="WaterGround"/>
        <s v="RockIce"/>
        <s v="BugGrass"/>
        <s v="Steel0"/>
        <s v="SteelFighting"/>
        <s v="DragonFlying"/>
        <s v="IceWater"/>
        <s v="FairyWater"/>
        <s v="RockDragon"/>
        <s v="DarkGhost"/>
        <s v="GhostFairy"/>
        <s v="DragonFighting"/>
        <s v="PoisonFlying"/>
        <s v="GroundRock"/>
        <s v="PsychicLight"/>
        <s v="Ice0"/>
        <s v="GhostIce"/>
        <s v="GroundFighting"/>
        <s v="IceFairy"/>
        <s v="FireElectric"/>
        <s v="SteelFlying"/>
        <s v="GhostFighting"/>
        <s v="LightGhost"/>
        <s v="BugFighting"/>
        <s v="GrassFairy"/>
        <s v="Ghost0"/>
        <s v="GhostDark"/>
        <s v="GhostFlying"/>
        <s v="WaterIce"/>
        <s v="ElectricPoison"/>
        <s v="BugDark"/>
        <s v="GrassGround"/>
        <s v="ElectricFighting"/>
        <s v="FireDark"/>
        <s v="Normal0"/>
        <s v="BugDragon"/>
        <s v="SteelDragon"/>
        <s v="GrassRock"/>
        <s v="FlyingLight"/>
        <s v="FairyFlying"/>
        <s v="PoisonDragon"/>
        <s v="FightingNormal"/>
        <s v="BugCosmic"/>
        <s v="SteelCosmic"/>
        <s v="BugGround"/>
        <s v="GhostCosmic"/>
        <s v="GroundPsychic"/>
        <s v="FireGhost"/>
        <s v="GhostNormal"/>
        <s v="Flying0"/>
        <s v="Fighting0"/>
        <s v="Bug0"/>
        <s v="Dragon0"/>
        <s v="NormalFire"/>
        <s v="BugRock"/>
        <s v="DragonNormal"/>
        <s v="DragonWater"/>
        <s v="DragonSteel"/>
        <s v="DragonDark"/>
        <s v="DragonBug"/>
        <s v="DragonGround"/>
        <s v="DragonGrass"/>
        <s v="DragonGhost"/>
        <s v="DragonPoison"/>
        <s v="DragonRock"/>
        <s v="DragonIce"/>
        <s v="ElectricNormal"/>
        <s v="BugPsychic"/>
        <s v="BugIce"/>
        <s v="PsychicNormal"/>
        <s v="NormalPsychic"/>
        <s v="SoundFlying"/>
        <s v="BugSound"/>
        <s v="NormalBug"/>
        <s v="GrassCosmic"/>
        <s v="FireGrass"/>
        <s v="NormalPoison"/>
        <s v="LightFairy"/>
        <s v="LightWater"/>
        <s v="BugFairy"/>
        <s v="SoundFighting"/>
        <s v="GroundBug"/>
        <s v="Cosmic0"/>
        <s v="Light0"/>
        <s v="Sound0"/>
        <s v="LightDark"/>
        <s v="SoundDragon"/>
        <s v="BugGhost"/>
        <s v="GroundFairy"/>
        <s v="PsychicFairy"/>
        <s v="BugWater"/>
        <s v="GhostPoison"/>
        <s v="FairyGrass"/>
        <s v="SteelNormal"/>
        <s v="FireWater"/>
        <s v="FireRock"/>
        <s v="FightingGround"/>
        <s v="GhostGround"/>
        <s v="PoisonPsychic"/>
        <s v="FairyPoison"/>
        <s v="BugFire"/>
        <s v="WaterFairy"/>
        <s v="FlyingFire"/>
        <s v="FlyingGhost"/>
        <s v="FlyingIce"/>
        <s v="FlyingGround"/>
        <s v="FlyingElectric"/>
        <s v="FlyingSound"/>
        <s v="FireSound"/>
        <s v="FightingCosmic"/>
        <s v="CosmicLight"/>
        <s v="Fairy0"/>
        <s v="FairySteel"/>
        <s v="Grass0"/>
        <s v="GrassSteel"/>
        <s v="Fire0"/>
        <s v="FireSteel"/>
        <s v="GroundSteel"/>
        <s v="CosmicPsychic"/>
        <s v="BugPoison"/>
        <s v="LightFighting"/>
        <s v="DarkBug"/>
        <s v="LightBug"/>
        <s v="PsychicDragon"/>
        <s v="GrassIce"/>
        <s v="FairyIce"/>
        <s v="DarkGrass"/>
        <s v="PsychicGhost"/>
        <s v="PsychicFire"/>
        <s v="WaterPoison"/>
        <s v="WaterElectric"/>
        <s v="NormalFlying"/>
        <s v="IceFighting"/>
        <s v="NormalSteel"/>
        <s v="CosmicWater"/>
        <s v="CosmicDragon"/>
        <s v="CosmicDark"/>
        <s v="Water0"/>
        <s v="SoundSteel"/>
        <s v="SoundGhost"/>
        <s v="RockFighting"/>
        <s v="WaterDark"/>
        <s v="CosmicFire"/>
        <s v="PoisonWater"/>
        <s v="DarkFlying"/>
        <s v="DarkPsychic"/>
        <s v="FairyFighting"/>
        <s v="IceGround"/>
        <s v="GroundDragon"/>
        <s v="CosmicSteel"/>
        <s v="Psychic0"/>
        <s v="WaterFlying"/>
        <s v="WaterNormal"/>
        <s v="GroundFlying"/>
        <s v="DarkDragon"/>
        <s v="GroundGhost"/>
        <s v="ElectricGround"/>
        <s v="Electric0"/>
        <s v="DragonFire"/>
        <s v="CosmicIce"/>
        <s v="WaterSteel"/>
        <s v="GhostSteel"/>
        <s v="LightElectric"/>
        <s v="PoisonSound"/>
        <s v="FireIce"/>
        <s v="WaterRock"/>
        <s v="FairyDark"/>
        <s v="BugFlying"/>
        <s v="IceNormal"/>
        <s v="FireGround"/>
        <s v="GrassFlying"/>
        <s v="RockFairy"/>
        <s v="LightRock"/>
        <s v="GhostDragon"/>
        <s v="PoisonFighting"/>
        <s v="LightCosmic"/>
        <s v="GrassFighting"/>
        <s v="FairyNormal"/>
        <s v="SoundPsychic"/>
        <s v="WaterSound"/>
        <s v="Dark0"/>
        <s v="IceSteel"/>
        <s v="IceGhost"/>
        <s v="RockNormal"/>
        <s v="PsychicCosmic"/>
        <s v="WaterCosmic"/>
        <s v="WaterBug"/>
        <s v="RockLight"/>
        <s v="GroundLight"/>
        <s v="ElectricGhost"/>
        <s v="SoundDark"/>
        <s v="ElectricSteel"/>
        <s v="DarkFire"/>
        <s v="SteelSound"/>
        <s v="GrassSound"/>
        <s v="RockSound"/>
        <s v="GrassLight"/>
        <s v="RockPsychic"/>
        <s v="WaterGhost"/>
        <s v="FightingPsychic"/>
        <s v="SoundIce"/>
        <s v="GroundDark"/>
        <s v="WaterDragon"/>
        <s v="LightSound"/>
        <s v="WaterFighting"/>
        <s v="GrassFire"/>
        <s v="NormalFighting"/>
        <s v="PsychicFlying"/>
        <s v="FireFighting"/>
        <s v="SoundNormal"/>
        <s v="LightSteel"/>
        <s v="ElectricRock"/>
        <s v="RockGround"/>
        <s v="PsychicDark"/>
        <s v="IceDragon"/>
        <s v="GhostRock"/>
        <s v="RockElectric"/>
        <s v="LightDragon"/>
        <s v="CosmicFairy"/>
        <s v="ElectricCosmic"/>
        <s v="ElectricDragon"/>
        <s v="SteelGround"/>
        <s v="ElectricBug"/>
        <s v="ElectricSound"/>
        <s v="SoundGround"/>
        <s v="IceLight"/>
        <s v="RockFlying"/>
        <s v="FireLight"/>
        <s v="CosmicPoison"/>
        <s v="BugLight"/>
        <s v="SteelDark"/>
        <s v="SoundElectric"/>
        <s v="RockDark"/>
        <s v="GrassBug"/>
        <s v="PoisonRock"/>
        <s v="IcePsychic"/>
        <s v="CosmicBug"/>
        <s v="FairyLight"/>
        <s v="NormalGrass"/>
        <s v="SoundFairy"/>
        <s v="GrassDragon"/>
        <s v="FireDragon"/>
        <s v="FightingGrass"/>
        <s v="FairyFire"/>
        <s v="ElectricWater"/>
        <s v="FightingDark"/>
        <s v="FightingFairy"/>
        <s v="GrassDark"/>
        <s v="SteelPoison"/>
        <s v="NormalGhost"/>
        <s v="PoisonGhost"/>
        <s v="SteelFire"/>
        <s v="WaterGrass"/>
        <s v="FirePsychic"/>
        <s v="CosmicGhost"/>
        <s v="LightPoison"/>
        <s v="PsychicSound"/>
        <s v="GroundCosmic"/>
        <s v="GrassNormal"/>
        <s v="RockWater"/>
        <s v="NormalDark"/>
        <s v="CosmicNormal"/>
        <s v="NormalSound"/>
        <s v="GhostLight"/>
        <s v="PoisonFairy"/>
        <s v="IcePoison"/>
        <s v="SteelWater"/>
        <s v="NormalWater"/>
        <s v="NormalCosmic"/>
        <s v="GrassGhost"/>
        <s v="FireFairy"/>
        <s v="GroundNormal"/>
        <s v="CosmicSound"/>
        <s v="ElectricIce"/>
        <s v="SteelLight"/>
        <s v="LightFire"/>
        <s v="CosmicGround"/>
        <s v="RockSteel"/>
        <s v="RockBug"/>
        <s v="IceBug"/>
        <s v="CosmicGrass"/>
        <s v="NormalLight"/>
        <s v="PoisonElectric"/>
        <s v="PoisonFire"/>
        <s v="FireNormal"/>
        <s v="FairyPsychic"/>
        <s v="PoisonDark"/>
        <s v="FightingFlying"/>
        <s v="LightGround"/>
        <s v="DarkNormal"/>
        <s v="FairyDragon"/>
        <s v="FlyingGrass"/>
        <s v="DarkElectric"/>
        <s v="ElectricGrass"/>
        <s v="SteelGhost"/>
        <s v="PsychicGround"/>
        <s v="ElectricFairy"/>
        <s v="PsychicSteel"/>
        <s v="CosmicFighting"/>
        <s v="DragonLight"/>
        <s v="FairyBug"/>
        <s v="FlyingCosmic"/>
        <s v="WaterLight"/>
        <s v="FlyingFighting"/>
        <s v="DarkFairy"/>
        <s v="IceFire"/>
        <s v="SteelFairy"/>
        <s v="FightingRock"/>
        <s v="LightPsychic"/>
        <s v="DarkSteel"/>
        <s v="PoisonCosmic"/>
        <m/>
        <s v="FairyCosmic" u="1"/>
        <s v="" u="1"/>
        <s v="FlyingDragon" u="1"/>
        <s v="FairyGround" u="1"/>
        <s v="Dark Psychic" u="1"/>
        <s v="SoundBug" u="1"/>
        <s v="PoisonGround" u="1"/>
        <s v="FightingGhost" u="1"/>
        <s v="FlyingWater" u="1"/>
        <s v="DarkRock" u="1"/>
      </sharedItems>
    </cacheField>
    <cacheField name="Status" numFmtId="0">
      <sharedItems containsBlank="1"/>
    </cacheField>
    <cacheField name="Generation" numFmtId="0">
      <sharedItems containsBlank="1" containsMixedTypes="1" containsNumber="1" containsInteger="1" minValue="1" maxValue="9" count="11">
        <n v="1"/>
        <n v="5"/>
        <n v="2"/>
        <n v="3"/>
        <n v="6"/>
        <n v="4"/>
        <n v="7"/>
        <s v="n/a"/>
        <n v="8"/>
        <n v="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2">
  <r>
    <n v="1"/>
    <s v="KOFFING"/>
    <m/>
    <x v="0"/>
    <x v="0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Khrona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n v="1"/>
    <m/>
    <m/>
    <m/>
    <m/>
    <m/>
    <m/>
    <m/>
    <m/>
    <m/>
    <m/>
    <m/>
    <m/>
    <m/>
    <x v="0"/>
    <s v="Not fully evolved"/>
    <x v="0"/>
  </r>
  <r>
    <n v="2"/>
    <s v="WEEZING"/>
    <m/>
    <x v="0"/>
    <x v="0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Khrona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n v="2"/>
    <m/>
    <m/>
    <m/>
    <m/>
    <m/>
    <x v="0"/>
    <m/>
    <x v="0"/>
  </r>
  <r>
    <n v="3"/>
    <s v="SOLOSIS"/>
    <m/>
    <x v="1"/>
    <x v="1"/>
    <s v="x"/>
    <s v="x"/>
    <m/>
    <s v="x"/>
    <s v="x"/>
    <s v="x"/>
    <s v="x"/>
    <s v="x"/>
    <s v="x"/>
    <s v="x"/>
    <s v="75/0/0"/>
    <s v="n/a"/>
    <s v="n/a"/>
    <s v="n/a"/>
    <s v="n/a"/>
    <s v="n/a"/>
    <s v="n/a"/>
    <s v="n/a"/>
    <s v="Raffs07"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n v="1"/>
    <m/>
    <m/>
    <m/>
    <m/>
    <m/>
    <m/>
    <m/>
    <m/>
    <m/>
    <m/>
    <m/>
    <m/>
    <m/>
    <x v="1"/>
    <s v="Not fully evolved"/>
    <x v="1"/>
  </r>
  <r>
    <n v="4"/>
    <s v="DUOSION"/>
    <m/>
    <x v="1"/>
    <x v="1"/>
    <s v="x"/>
    <s v="x"/>
    <m/>
    <s v="x"/>
    <s v="x"/>
    <s v="x"/>
    <s v="x"/>
    <s v="n/a"/>
    <s v="x"/>
    <s v="x"/>
    <s v="75/0/0"/>
    <s v="n/a"/>
    <s v="n/a"/>
    <s v="n/a"/>
    <s v="n/a"/>
    <s v="n/a"/>
    <s v="n/a"/>
    <s v="n/a"/>
    <s v="Raffs07"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s v="Not fully evolved"/>
    <x v="1"/>
  </r>
  <r>
    <n v="5"/>
    <s v="REUNICLUS"/>
    <m/>
    <x v="1"/>
    <x v="1"/>
    <s v="x"/>
    <s v="x"/>
    <s v="x"/>
    <s v="x"/>
    <s v="x"/>
    <s v="x"/>
    <s v="x"/>
    <s v="n/a"/>
    <s v="x"/>
    <s v="x"/>
    <s v="75/0/0"/>
    <s v="x"/>
    <s v="x"/>
    <s v="x"/>
    <s v="x"/>
    <s v="x"/>
    <s v="x"/>
    <s v="x"/>
    <s v="Raffs07 / Jos"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x v="1"/>
    <m/>
    <x v="1"/>
  </r>
  <r>
    <n v="6"/>
    <s v="GASTLY"/>
    <m/>
    <x v="2"/>
    <x v="2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n v="1"/>
    <m/>
    <m/>
    <m/>
    <m/>
    <m/>
    <m/>
    <m/>
    <m/>
    <m/>
    <m/>
    <m/>
    <m/>
    <m/>
    <x v="2"/>
    <s v="Not fully evolved"/>
    <x v="0"/>
  </r>
  <r>
    <n v="7"/>
    <s v="HAUNTER"/>
    <m/>
    <x v="2"/>
    <x v="2"/>
    <s v="x"/>
    <s v="x"/>
    <m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x v="2"/>
    <s v="Not fully evolved"/>
    <x v="0"/>
  </r>
  <r>
    <n v="8"/>
    <s v="GENGAR"/>
    <m/>
    <x v="2"/>
    <x v="2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Jos"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n v="3"/>
    <m/>
    <m/>
    <m/>
    <m/>
    <m/>
    <m/>
    <m/>
    <n v="20"/>
    <n v="8"/>
    <m/>
    <m/>
    <m/>
    <m/>
    <x v="2"/>
    <m/>
    <x v="0"/>
  </r>
  <r>
    <n v="9"/>
    <s v="DODUO"/>
    <m/>
    <x v="3"/>
    <x v="2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n v="1"/>
    <m/>
    <m/>
    <m/>
    <m/>
    <m/>
    <m/>
    <m/>
    <m/>
    <m/>
    <m/>
    <m/>
    <m/>
    <m/>
    <m/>
    <m/>
    <m/>
    <m/>
    <m/>
    <m/>
    <m/>
    <n v="1"/>
    <m/>
    <m/>
    <m/>
    <n v="1"/>
    <m/>
    <m/>
    <n v="1"/>
    <m/>
    <m/>
    <m/>
    <m/>
    <m/>
    <m/>
    <m/>
    <m/>
    <m/>
    <m/>
    <m/>
    <m/>
    <m/>
    <x v="3"/>
    <s v="Not fully evolved"/>
    <x v="0"/>
  </r>
  <r>
    <n v="10"/>
    <s v="DODRIO"/>
    <m/>
    <x v="3"/>
    <x v="2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Jos"/>
    <m/>
    <n v="1"/>
    <m/>
    <m/>
    <m/>
    <m/>
    <m/>
    <m/>
    <m/>
    <m/>
    <m/>
    <m/>
    <m/>
    <m/>
    <m/>
    <m/>
    <m/>
    <m/>
    <m/>
    <m/>
    <m/>
    <m/>
    <n v="1"/>
    <m/>
    <m/>
    <m/>
    <n v="1"/>
    <m/>
    <m/>
    <m/>
    <m/>
    <m/>
    <m/>
    <m/>
    <m/>
    <m/>
    <m/>
    <n v="3"/>
    <n v="2"/>
    <m/>
    <m/>
    <m/>
    <m/>
    <x v="3"/>
    <m/>
    <x v="0"/>
  </r>
  <r>
    <n v="11"/>
    <s v="EKANS"/>
    <m/>
    <x v="4"/>
    <x v="0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n v="1"/>
    <m/>
    <m/>
    <m/>
    <m/>
    <m/>
    <m/>
    <m/>
    <m/>
    <m/>
    <m/>
    <m/>
    <m/>
    <m/>
    <x v="4"/>
    <s v="Not fully evolved"/>
    <x v="0"/>
  </r>
  <r>
    <n v="12"/>
    <s v="ARBOK"/>
    <m/>
    <x v="4"/>
    <x v="0"/>
    <s v="x"/>
    <s v="x"/>
    <s v="x"/>
    <s v="x"/>
    <s v="x"/>
    <s v="x"/>
    <s v="x"/>
    <s v="n/a"/>
    <s v="x"/>
    <s v="x"/>
    <s v="55/10/-10"/>
    <s v="x"/>
    <s v="x"/>
    <s v="x"/>
    <s v="x"/>
    <s v="x"/>
    <s v="x"/>
    <s v="x"/>
    <s v="Jos / kfweagz for Mega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5"/>
    <m/>
    <n v="1"/>
    <m/>
    <m/>
    <m/>
    <x v="4"/>
    <m/>
    <x v="0"/>
  </r>
  <r>
    <n v="13"/>
    <s v="STARYU"/>
    <m/>
    <x v="3"/>
    <x v="3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x v="5"/>
    <s v="Not fully evolved"/>
    <x v="0"/>
  </r>
  <r>
    <n v="14"/>
    <s v="STARMIE"/>
    <m/>
    <x v="3"/>
    <x v="3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Jos"/>
    <m/>
    <m/>
    <m/>
    <m/>
    <m/>
    <n v="1"/>
    <m/>
    <m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n v="7"/>
    <n v="2"/>
    <n v="1"/>
    <m/>
    <m/>
    <m/>
    <x v="5"/>
    <m/>
    <x v="0"/>
  </r>
  <r>
    <n v="15"/>
    <s v="ONIX"/>
    <m/>
    <x v="2"/>
    <x v="3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n v="1"/>
    <m/>
    <m/>
    <m/>
    <m/>
    <m/>
    <m/>
    <m/>
    <m/>
    <m/>
    <m/>
    <m/>
    <m/>
    <m/>
    <x v="6"/>
    <s v="Not fully evolved"/>
    <x v="0"/>
  </r>
  <r>
    <n v="16"/>
    <s v="STEELIX"/>
    <m/>
    <x v="2"/>
    <x v="3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Zeta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n v="1"/>
    <n v="1"/>
    <n v="1"/>
    <m/>
    <m/>
    <m/>
    <x v="6"/>
    <m/>
    <x v="2"/>
  </r>
  <r>
    <n v="17"/>
    <s v="SLUGMA"/>
    <m/>
    <x v="5"/>
    <x v="4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Mr. Fakemon / 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n v="1"/>
    <m/>
    <m/>
    <m/>
    <m/>
    <m/>
    <m/>
    <m/>
    <m/>
    <m/>
    <m/>
    <m/>
    <m/>
    <m/>
    <x v="7"/>
    <s v="Not fully evolved"/>
    <x v="2"/>
  </r>
  <r>
    <n v="18"/>
    <s v="MAGCARGO"/>
    <m/>
    <x v="5"/>
    <x v="5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Mr. Fakemon / 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2"/>
    <m/>
    <m/>
    <m/>
    <m/>
    <m/>
    <x v="8"/>
    <m/>
    <x v="2"/>
  </r>
  <r>
    <n v="19"/>
    <s v="WAILMER"/>
    <m/>
    <x v="6"/>
    <x v="6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x v="9"/>
    <s v="Not fully evolved"/>
    <x v="3"/>
  </r>
  <r>
    <n v="20"/>
    <s v="WAILORD"/>
    <m/>
    <x v="6"/>
    <x v="6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n v="3"/>
    <m/>
    <m/>
    <m/>
    <m/>
    <m/>
    <x v="9"/>
    <m/>
    <x v="3"/>
  </r>
  <r>
    <n v="21"/>
    <s v="FLETCHLING"/>
    <m/>
    <x v="7"/>
    <x v="2"/>
    <s v="x"/>
    <s v="x"/>
    <m/>
    <s v="x"/>
    <s v="x"/>
    <s v="x"/>
    <s v="x"/>
    <s v="x"/>
    <s v="x"/>
    <s v="x"/>
    <s v="-110/0/0"/>
    <s v="n/a"/>
    <s v="n/a"/>
    <s v="n/a"/>
    <s v="n/a"/>
    <s v="n/a"/>
    <s v="n/a"/>
    <s v="n/a"/>
    <s v="Jos/Badman"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x v="10"/>
    <s v="Not fully evolved"/>
    <x v="4"/>
  </r>
  <r>
    <n v="22"/>
    <s v="FLETCHINDER"/>
    <m/>
    <x v="7"/>
    <x v="2"/>
    <s v="x"/>
    <s v="x"/>
    <m/>
    <s v="x"/>
    <s v="x"/>
    <s v="x"/>
    <s v="x"/>
    <s v="n/a"/>
    <s v="x"/>
    <s v="x"/>
    <s v="-110/0/0"/>
    <s v="n/a"/>
    <s v="n/a"/>
    <s v="n/a"/>
    <s v="n/a"/>
    <s v="n/a"/>
    <s v="n/a"/>
    <s v="n/a"/>
    <s v="Jos/Badman"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n v="2"/>
    <m/>
    <m/>
    <m/>
    <m/>
    <m/>
    <m/>
    <m/>
    <m/>
    <m/>
    <m/>
    <m/>
    <m/>
    <m/>
    <x v="10"/>
    <s v="Not fully evolved"/>
    <x v="4"/>
  </r>
  <r>
    <n v="23"/>
    <s v="TALONFLAME"/>
    <m/>
    <x v="7"/>
    <x v="2"/>
    <s v="x"/>
    <s v="x"/>
    <s v="x"/>
    <s v="x"/>
    <s v="x"/>
    <s v="x"/>
    <s v="x"/>
    <s v="n/a"/>
    <s v="x"/>
    <s v="x"/>
    <s v="-110/0/0"/>
    <s v="n/a"/>
    <s v="n/a"/>
    <s v="n/a"/>
    <s v="n/a"/>
    <s v="n/a"/>
    <s v="n/a"/>
    <s v="n/a"/>
    <s v="Badman"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9"/>
    <n v="4"/>
    <m/>
    <m/>
    <m/>
    <m/>
    <x v="10"/>
    <m/>
    <x v="4"/>
  </r>
  <r>
    <n v="24"/>
    <s v="NATU"/>
    <m/>
    <x v="8"/>
    <x v="7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A11/Raffs07"/>
    <m/>
    <m/>
    <m/>
    <m/>
    <m/>
    <m/>
    <n v="1"/>
    <m/>
    <m/>
    <m/>
    <m/>
    <m/>
    <m/>
    <m/>
    <m/>
    <m/>
    <m/>
    <m/>
    <m/>
    <m/>
    <n v="1"/>
    <m/>
    <n v="1"/>
    <m/>
    <m/>
    <m/>
    <n v="1"/>
    <m/>
    <m/>
    <n v="1"/>
    <m/>
    <m/>
    <m/>
    <m/>
    <m/>
    <m/>
    <m/>
    <m/>
    <m/>
    <m/>
    <m/>
    <m/>
    <m/>
    <x v="11"/>
    <s v="Not fully evolved"/>
    <x v="2"/>
  </r>
  <r>
    <n v="25"/>
    <s v="XATU"/>
    <m/>
    <x v="8"/>
    <x v="7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A11/Raffs07"/>
    <m/>
    <m/>
    <m/>
    <m/>
    <m/>
    <m/>
    <n v="1"/>
    <m/>
    <m/>
    <m/>
    <m/>
    <m/>
    <m/>
    <m/>
    <m/>
    <m/>
    <m/>
    <m/>
    <m/>
    <m/>
    <n v="1"/>
    <m/>
    <n v="1"/>
    <m/>
    <m/>
    <m/>
    <n v="1"/>
    <m/>
    <m/>
    <m/>
    <m/>
    <m/>
    <m/>
    <m/>
    <m/>
    <m/>
    <m/>
    <n v="1"/>
    <n v="1"/>
    <m/>
    <m/>
    <m/>
    <m/>
    <x v="11"/>
    <m/>
    <x v="2"/>
  </r>
  <r>
    <n v="26"/>
    <s v="RUFFLET"/>
    <m/>
    <x v="0"/>
    <x v="2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n v="1"/>
    <m/>
    <m/>
    <m/>
    <m/>
    <m/>
    <m/>
    <m/>
    <m/>
    <m/>
    <m/>
    <m/>
    <m/>
    <m/>
    <x v="12"/>
    <s v="Not fully evolved"/>
    <x v="1"/>
  </r>
  <r>
    <n v="27"/>
    <s v="BRAVIARY"/>
    <m/>
    <x v="0"/>
    <x v="2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5"/>
    <n v="1"/>
    <m/>
    <m/>
    <m/>
    <m/>
    <x v="12"/>
    <m/>
    <x v="1"/>
  </r>
  <r>
    <n v="28"/>
    <s v="NOSEPASS"/>
    <m/>
    <x v="9"/>
    <x v="1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x v="13"/>
    <s v="Not fully evolved"/>
    <x v="3"/>
  </r>
  <r>
    <n v="29"/>
    <s v="PROBOPASS"/>
    <m/>
    <x v="9"/>
    <x v="1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x v="13"/>
    <m/>
    <x v="5"/>
  </r>
  <r>
    <n v="30"/>
    <s v="ZUBAT"/>
    <m/>
    <x v="10"/>
    <x v="8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/Boro"/>
    <m/>
    <m/>
    <m/>
    <m/>
    <m/>
    <n v="1"/>
    <m/>
    <m/>
    <m/>
    <n v="1"/>
    <m/>
    <m/>
    <m/>
    <m/>
    <m/>
    <m/>
    <m/>
    <m/>
    <m/>
    <n v="1"/>
    <m/>
    <n v="1"/>
    <m/>
    <m/>
    <m/>
    <m/>
    <m/>
    <m/>
    <m/>
    <n v="1"/>
    <m/>
    <m/>
    <m/>
    <m/>
    <m/>
    <m/>
    <m/>
    <m/>
    <m/>
    <m/>
    <m/>
    <m/>
    <m/>
    <x v="14"/>
    <s v="Not fully evolved"/>
    <x v="0"/>
  </r>
  <r>
    <n v="31"/>
    <s v="GOLBAT"/>
    <m/>
    <x v="10"/>
    <x v="8"/>
    <s v="x"/>
    <s v="x"/>
    <m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Boro"/>
    <m/>
    <m/>
    <m/>
    <m/>
    <m/>
    <n v="1"/>
    <m/>
    <m/>
    <m/>
    <n v="1"/>
    <m/>
    <m/>
    <m/>
    <m/>
    <m/>
    <m/>
    <m/>
    <m/>
    <m/>
    <n v="1"/>
    <m/>
    <n v="1"/>
    <m/>
    <m/>
    <m/>
    <m/>
    <m/>
    <m/>
    <m/>
    <n v="2"/>
    <m/>
    <m/>
    <m/>
    <m/>
    <m/>
    <m/>
    <m/>
    <m/>
    <m/>
    <m/>
    <m/>
    <m/>
    <m/>
    <x v="14"/>
    <s v="Not fully evolved"/>
    <x v="0"/>
  </r>
  <r>
    <n v="32"/>
    <s v="CROBAT"/>
    <m/>
    <x v="10"/>
    <x v="8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Boro"/>
    <m/>
    <m/>
    <m/>
    <m/>
    <m/>
    <n v="1"/>
    <m/>
    <m/>
    <m/>
    <n v="1"/>
    <m/>
    <m/>
    <m/>
    <m/>
    <m/>
    <m/>
    <m/>
    <m/>
    <m/>
    <n v="1"/>
    <m/>
    <n v="1"/>
    <m/>
    <m/>
    <m/>
    <m/>
    <m/>
    <m/>
    <m/>
    <m/>
    <m/>
    <m/>
    <m/>
    <m/>
    <m/>
    <m/>
    <m/>
    <n v="2"/>
    <m/>
    <m/>
    <m/>
    <m/>
    <m/>
    <x v="14"/>
    <m/>
    <x v="2"/>
  </r>
  <r>
    <n v="33"/>
    <s v="TANGELA"/>
    <m/>
    <x v="4"/>
    <x v="9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n v="1"/>
    <m/>
    <m/>
    <m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x v="15"/>
    <s v="Not fully evolved"/>
    <x v="0"/>
  </r>
  <r>
    <n v="34"/>
    <s v="TANGROWTH"/>
    <m/>
    <x v="4"/>
    <x v="9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n v="1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3"/>
    <m/>
    <m/>
    <m/>
    <m/>
    <m/>
    <x v="15"/>
    <m/>
    <x v="5"/>
  </r>
  <r>
    <n v="35"/>
    <s v="TYMPOLE"/>
    <m/>
    <x v="9"/>
    <x v="0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/Boro"/>
    <m/>
    <m/>
    <m/>
    <n v="1"/>
    <n v="1"/>
    <m/>
    <m/>
    <m/>
    <m/>
    <m/>
    <n v="1"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x v="16"/>
    <s v="Not fully evolved"/>
    <x v="1"/>
  </r>
  <r>
    <n v="36"/>
    <s v="PALPITOAD"/>
    <m/>
    <x v="9"/>
    <x v="0"/>
    <s v="x"/>
    <s v="x"/>
    <m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Boro"/>
    <m/>
    <m/>
    <m/>
    <n v="1"/>
    <n v="1"/>
    <m/>
    <m/>
    <m/>
    <m/>
    <m/>
    <n v="1"/>
    <m/>
    <m/>
    <m/>
    <m/>
    <m/>
    <m/>
    <m/>
    <m/>
    <m/>
    <m/>
    <m/>
    <m/>
    <m/>
    <m/>
    <m/>
    <m/>
    <n v="1"/>
    <m/>
    <n v="2"/>
    <m/>
    <m/>
    <m/>
    <m/>
    <m/>
    <m/>
    <m/>
    <m/>
    <m/>
    <m/>
    <m/>
    <m/>
    <m/>
    <x v="16"/>
    <s v="Not fully evolved"/>
    <x v="1"/>
  </r>
  <r>
    <n v="37"/>
    <s v="SEISMITOAD"/>
    <m/>
    <x v="9"/>
    <x v="0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Boro"/>
    <m/>
    <m/>
    <m/>
    <n v="1"/>
    <n v="1"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n v="5"/>
    <n v="1"/>
    <m/>
    <m/>
    <m/>
    <m/>
    <x v="16"/>
    <m/>
    <x v="1"/>
  </r>
  <r>
    <n v="38"/>
    <s v="GULPIN"/>
    <m/>
    <x v="4"/>
    <x v="4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x v="17"/>
    <s v="Not fully evolved"/>
    <x v="3"/>
  </r>
  <r>
    <n v="39"/>
    <s v="SWALOT"/>
    <m/>
    <x v="4"/>
    <x v="4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x v="3"/>
  </r>
  <r>
    <n v="40"/>
    <s v="SPINARAK"/>
    <m/>
    <x v="10"/>
    <x v="0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/ Boro"/>
    <m/>
    <n v="1"/>
    <n v="1"/>
    <n v="1"/>
    <n v="1"/>
    <n v="1"/>
    <m/>
    <n v="1"/>
    <m/>
    <m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x v="18"/>
    <s v="Not fully evolved"/>
    <x v="2"/>
  </r>
  <r>
    <n v="41"/>
    <s v="ARIADOS"/>
    <m/>
    <x v="10"/>
    <x v="0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 Boro"/>
    <m/>
    <n v="1"/>
    <n v="1"/>
    <n v="1"/>
    <n v="1"/>
    <n v="1"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n v="1"/>
    <m/>
    <m/>
    <m/>
    <m/>
    <m/>
    <x v="18"/>
    <m/>
    <x v="2"/>
  </r>
  <r>
    <n v="42"/>
    <s v="BALTOY"/>
    <m/>
    <x v="7"/>
    <x v="1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9"/>
    <s v="Not fully evolved"/>
    <x v="3"/>
  </r>
  <r>
    <n v="43"/>
    <s v="CLAYDOL"/>
    <m/>
    <x v="7"/>
    <x v="1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n v="1"/>
    <m/>
    <n v="1"/>
    <m/>
    <m/>
    <m/>
    <m/>
    <m/>
    <m/>
    <m/>
    <m/>
    <m/>
    <m/>
    <m/>
    <m/>
    <m/>
    <m/>
    <n v="4"/>
    <n v="1"/>
    <m/>
    <m/>
    <m/>
    <m/>
    <x v="19"/>
    <m/>
    <x v="3"/>
  </r>
  <r>
    <n v="44"/>
    <s v="ZORUA"/>
    <m/>
    <x v="2"/>
    <x v="10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/Zeta"/>
    <m/>
    <m/>
    <m/>
    <m/>
    <m/>
    <m/>
    <m/>
    <m/>
    <m/>
    <m/>
    <m/>
    <m/>
    <m/>
    <m/>
    <m/>
    <m/>
    <n v="1"/>
    <n v="1"/>
    <n v="1"/>
    <n v="1"/>
    <m/>
    <m/>
    <m/>
    <m/>
    <m/>
    <n v="1"/>
    <m/>
    <m/>
    <m/>
    <n v="1"/>
    <m/>
    <m/>
    <m/>
    <m/>
    <m/>
    <m/>
    <m/>
    <m/>
    <m/>
    <m/>
    <m/>
    <m/>
    <m/>
    <x v="20"/>
    <s v="Not fully evolved"/>
    <x v="1"/>
  </r>
  <r>
    <n v="45"/>
    <s v="ZOROARK"/>
    <m/>
    <x v="2"/>
    <x v="10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Zeta"/>
    <m/>
    <m/>
    <m/>
    <m/>
    <m/>
    <m/>
    <m/>
    <m/>
    <m/>
    <m/>
    <m/>
    <m/>
    <m/>
    <m/>
    <m/>
    <m/>
    <n v="1"/>
    <n v="1"/>
    <n v="1"/>
    <n v="1"/>
    <m/>
    <m/>
    <m/>
    <m/>
    <m/>
    <n v="1"/>
    <m/>
    <m/>
    <m/>
    <m/>
    <m/>
    <m/>
    <m/>
    <m/>
    <m/>
    <m/>
    <m/>
    <n v="4"/>
    <n v="2"/>
    <m/>
    <m/>
    <m/>
    <m/>
    <x v="20"/>
    <m/>
    <x v="1"/>
  </r>
  <r>
    <n v="46"/>
    <s v="DUCKLETT"/>
    <m/>
    <x v="11"/>
    <x v="2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Zeta"/>
    <m/>
    <n v="1"/>
    <m/>
    <m/>
    <m/>
    <m/>
    <m/>
    <m/>
    <m/>
    <m/>
    <n v="1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x v="21"/>
    <s v="Not fully evolved"/>
    <x v="1"/>
  </r>
  <r>
    <n v="47"/>
    <s v="SWANNA"/>
    <m/>
    <x v="11"/>
    <x v="2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Zeta"/>
    <m/>
    <n v="1"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x v="21"/>
    <m/>
    <x v="1"/>
  </r>
  <r>
    <n v="48"/>
    <s v="GOLETT"/>
    <m/>
    <x v="8"/>
    <x v="1"/>
    <s v="x"/>
    <s v="x"/>
    <m/>
    <s v="x"/>
    <s v="x"/>
    <s v="x"/>
    <s v="x"/>
    <s v="x"/>
    <s v="x"/>
    <s v="x"/>
    <s v="105/0/0"/>
    <s v="n/a"/>
    <s v="n/a"/>
    <s v="n/a"/>
    <s v="n/a"/>
    <s v="n/a"/>
    <s v="n/a"/>
    <s v="n/a"/>
    <s v="Jos / Hexx_Vixtar / Raffs07"/>
    <m/>
    <m/>
    <m/>
    <m/>
    <m/>
    <m/>
    <m/>
    <m/>
    <n v="1"/>
    <m/>
    <m/>
    <m/>
    <m/>
    <m/>
    <m/>
    <m/>
    <m/>
    <m/>
    <m/>
    <m/>
    <n v="1"/>
    <m/>
    <n v="1"/>
    <m/>
    <m/>
    <m/>
    <m/>
    <m/>
    <m/>
    <n v="1"/>
    <m/>
    <m/>
    <m/>
    <m/>
    <m/>
    <m/>
    <m/>
    <m/>
    <m/>
    <m/>
    <m/>
    <m/>
    <m/>
    <x v="22"/>
    <s v="Not fully evolved"/>
    <x v="1"/>
  </r>
  <r>
    <n v="49"/>
    <s v="GOLURK"/>
    <m/>
    <x v="8"/>
    <x v="1"/>
    <s v="x"/>
    <s v="x"/>
    <s v="x"/>
    <s v="x"/>
    <s v="x"/>
    <s v="x"/>
    <s v="x"/>
    <s v="n/a"/>
    <s v="x"/>
    <s v="x"/>
    <s v="105/0/0"/>
    <s v="x"/>
    <s v="x"/>
    <s v="x"/>
    <s v="x"/>
    <s v="x"/>
    <s v="x"/>
    <s v="x"/>
    <s v="Jos / Hexx_Vixtar / ZeneonP0 / Raffs07"/>
    <m/>
    <m/>
    <m/>
    <m/>
    <m/>
    <m/>
    <m/>
    <m/>
    <n v="1"/>
    <m/>
    <m/>
    <m/>
    <m/>
    <m/>
    <m/>
    <m/>
    <m/>
    <m/>
    <m/>
    <m/>
    <n v="1"/>
    <m/>
    <n v="1"/>
    <m/>
    <m/>
    <m/>
    <m/>
    <m/>
    <m/>
    <n v="4"/>
    <m/>
    <m/>
    <m/>
    <m/>
    <m/>
    <m/>
    <m/>
    <n v="1"/>
    <m/>
    <m/>
    <m/>
    <m/>
    <m/>
    <x v="22"/>
    <m/>
    <x v="1"/>
  </r>
  <r>
    <n v="50"/>
    <s v="MORELULL"/>
    <m/>
    <x v="6"/>
    <x v="9"/>
    <s v="x"/>
    <s v="x"/>
    <m/>
    <s v="x"/>
    <s v="x"/>
    <s v="x"/>
    <s v="x"/>
    <s v="x"/>
    <s v="x"/>
    <s v="x"/>
    <s v="-75/0/0"/>
    <s v="n/a"/>
    <s v="n/a"/>
    <s v="n/a"/>
    <s v="n/a"/>
    <s v="n/a"/>
    <s v="n/a"/>
    <s v="n/a"/>
    <s v="Jos / Zeta"/>
    <m/>
    <m/>
    <m/>
    <m/>
    <m/>
    <n v="1"/>
    <m/>
    <m/>
    <m/>
    <n v="1"/>
    <m/>
    <m/>
    <m/>
    <m/>
    <m/>
    <m/>
    <m/>
    <m/>
    <m/>
    <m/>
    <m/>
    <m/>
    <m/>
    <n v="1"/>
    <m/>
    <m/>
    <n v="1"/>
    <m/>
    <m/>
    <n v="1"/>
    <m/>
    <m/>
    <m/>
    <m/>
    <m/>
    <m/>
    <m/>
    <m/>
    <m/>
    <m/>
    <m/>
    <m/>
    <m/>
    <x v="23"/>
    <s v="Not fully evolved"/>
    <x v="6"/>
  </r>
  <r>
    <n v="51"/>
    <s v="SHIINOTIC"/>
    <m/>
    <x v="6"/>
    <x v="9"/>
    <s v="x"/>
    <s v="x"/>
    <s v="x"/>
    <s v="x"/>
    <s v="x"/>
    <s v="x"/>
    <s v="x"/>
    <s v="n/a"/>
    <s v="x"/>
    <s v="x"/>
    <s v="-75/0/0"/>
    <s v="n/a"/>
    <s v="n/a"/>
    <s v="n/a"/>
    <s v="n/a"/>
    <s v="n/a"/>
    <s v="n/a"/>
    <s v="n/a"/>
    <s v="Jos / Zeta"/>
    <m/>
    <m/>
    <m/>
    <m/>
    <m/>
    <n v="1"/>
    <m/>
    <m/>
    <m/>
    <n v="1"/>
    <m/>
    <m/>
    <m/>
    <m/>
    <m/>
    <m/>
    <m/>
    <m/>
    <m/>
    <m/>
    <m/>
    <m/>
    <m/>
    <n v="1"/>
    <m/>
    <m/>
    <n v="1"/>
    <m/>
    <m/>
    <m/>
    <m/>
    <m/>
    <m/>
    <m/>
    <m/>
    <m/>
    <m/>
    <n v="3"/>
    <n v="2"/>
    <m/>
    <m/>
    <m/>
    <m/>
    <x v="23"/>
    <m/>
    <x v="6"/>
  </r>
  <r>
    <n v="52"/>
    <s v="LARVESTA"/>
    <m/>
    <x v="12"/>
    <x v="7"/>
    <s v="x"/>
    <s v="x"/>
    <m/>
    <s v="x"/>
    <s v="x"/>
    <s v="x"/>
    <s v="x"/>
    <s v="x"/>
    <s v="x"/>
    <s v="x"/>
    <s v="160/0/0"/>
    <s v="n/a"/>
    <s v="n/a"/>
    <s v="n/a"/>
    <s v="n/a"/>
    <s v="n/a"/>
    <s v="n/a"/>
    <s v="n/a"/>
    <s v="AtteaTheSilly"/>
    <m/>
    <m/>
    <m/>
    <n v="1"/>
    <n v="1"/>
    <m/>
    <n v="1"/>
    <n v="1"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x v="24"/>
    <s v="Not fully evolved"/>
    <x v="1"/>
  </r>
  <r>
    <n v="53"/>
    <s v="VOLCARONA"/>
    <m/>
    <x v="12"/>
    <x v="7"/>
    <s v="x"/>
    <s v="x"/>
    <s v="x"/>
    <s v="x"/>
    <s v="x"/>
    <s v="x"/>
    <s v="x"/>
    <s v="n/a"/>
    <s v="x"/>
    <s v="x"/>
    <s v="160/0/0"/>
    <s v="n/a"/>
    <s v="n/a"/>
    <s v="n/a"/>
    <s v="n/a"/>
    <s v="n/a"/>
    <s v="n/a"/>
    <s v="n/a"/>
    <s v="AtteaTheSilly"/>
    <m/>
    <m/>
    <m/>
    <n v="1"/>
    <n v="1"/>
    <m/>
    <n v="1"/>
    <n v="1"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n v="11"/>
    <n v="4"/>
    <m/>
    <m/>
    <m/>
    <m/>
    <x v="24"/>
    <m/>
    <x v="1"/>
  </r>
  <r>
    <n v="54"/>
    <s v="STANTLER"/>
    <m/>
    <x v="2"/>
    <x v="9"/>
    <s v="x"/>
    <s v="x"/>
    <s v="x"/>
    <s v="x"/>
    <s v="x"/>
    <s v="x"/>
    <s v="x"/>
    <s v="x"/>
    <s v="x"/>
    <s v="x"/>
    <s v="-180/0/0"/>
    <s v="n/a"/>
    <s v="n/a"/>
    <s v="n/a"/>
    <s v="n/a"/>
    <s v="n/a"/>
    <s v="n/a"/>
    <s v="n/a"/>
    <s v="Jos/Boro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2"/>
    <m/>
    <m/>
    <m/>
    <m/>
    <m/>
    <x v="25"/>
    <m/>
    <x v="2"/>
  </r>
  <r>
    <n v="55"/>
    <s v="MAGIKARP"/>
    <m/>
    <x v="7"/>
    <x v="10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x v="26"/>
    <s v="Not fully evolved"/>
    <x v="0"/>
  </r>
  <r>
    <n v="56"/>
    <s v="GYARADOS"/>
    <m/>
    <x v="7"/>
    <x v="10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n v="7"/>
    <n v="5"/>
    <m/>
    <m/>
    <m/>
    <m/>
    <x v="26"/>
    <m/>
    <x v="0"/>
  </r>
  <r>
    <n v="57"/>
    <s v="BERGMITE"/>
    <m/>
    <x v="13"/>
    <x v="4"/>
    <s v="x"/>
    <s v="x"/>
    <m/>
    <s v="x"/>
    <s v="x"/>
    <s v="x"/>
    <s v="x"/>
    <s v="x"/>
    <s v="x"/>
    <s v="x"/>
    <s v="0/-45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7"/>
    <s v="Not fully evolved"/>
    <x v="4"/>
  </r>
  <r>
    <n v="58"/>
    <s v="AVALUGG"/>
    <m/>
    <x v="13"/>
    <x v="4"/>
    <s v="x"/>
    <s v="x"/>
    <s v="x"/>
    <s v="x"/>
    <s v="x"/>
    <s v="x"/>
    <s v="x"/>
    <s v="n/a"/>
    <s v="x"/>
    <s v="x"/>
    <s v="0/-45/0"/>
    <s v="x"/>
    <s v="x"/>
    <s v="x"/>
    <s v="x"/>
    <s v="x"/>
    <s v="x"/>
    <s v="x"/>
    <s v="Jos / S4's &quot;Spicy Man&quot; Army#3133 (currlor)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3"/>
    <n v="2"/>
    <m/>
    <m/>
    <m/>
    <m/>
    <x v="27"/>
    <m/>
    <x v="4"/>
  </r>
  <r>
    <n v="59"/>
    <s v="LEDYBA"/>
    <m/>
    <x v="12"/>
    <x v="5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x v="28"/>
    <s v="Not fully evolved"/>
    <x v="2"/>
  </r>
  <r>
    <n v="60"/>
    <s v="LEDIAN"/>
    <m/>
    <x v="12"/>
    <x v="5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n v="1"/>
    <m/>
    <m/>
    <m/>
    <m/>
    <m/>
    <x v="28"/>
    <m/>
    <x v="2"/>
  </r>
  <r>
    <n v="61"/>
    <s v="PONYTA"/>
    <m/>
    <x v="6"/>
    <x v="11"/>
    <s v="x"/>
    <s v="x"/>
    <m/>
    <s v="x"/>
    <s v="x"/>
    <s v="x"/>
    <s v="x"/>
    <s v="x"/>
    <s v="x"/>
    <s v="x"/>
    <s v="-65/0/0"/>
    <s v="n/a"/>
    <s v="n/a"/>
    <s v="n/a"/>
    <s v="n/a"/>
    <s v="n/a"/>
    <s v="n/a"/>
    <s v="n/a"/>
    <s v="Zeta"/>
    <m/>
    <n v="1"/>
    <m/>
    <m/>
    <m/>
    <m/>
    <m/>
    <m/>
    <m/>
    <n v="1"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29"/>
    <s v="Not fully evolved"/>
    <x v="0"/>
  </r>
  <r>
    <n v="62"/>
    <s v="RAPIDASH"/>
    <m/>
    <x v="6"/>
    <x v="11"/>
    <s v="x"/>
    <s v="x"/>
    <s v="x"/>
    <s v="x"/>
    <s v="x"/>
    <s v="x"/>
    <s v="x"/>
    <s v="n/a"/>
    <s v="x"/>
    <s v="x"/>
    <s v="-65/0/0"/>
    <s v="x"/>
    <s v="x"/>
    <s v="x"/>
    <s v="x"/>
    <s v="x"/>
    <s v="x"/>
    <s v="x"/>
    <s v="Zeta"/>
    <m/>
    <n v="1"/>
    <m/>
    <m/>
    <m/>
    <m/>
    <m/>
    <m/>
    <m/>
    <n v="1"/>
    <m/>
    <m/>
    <m/>
    <m/>
    <m/>
    <m/>
    <m/>
    <m/>
    <m/>
    <m/>
    <m/>
    <m/>
    <m/>
    <n v="1"/>
    <m/>
    <n v="1"/>
    <n v="1"/>
    <m/>
    <m/>
    <m/>
    <m/>
    <m/>
    <m/>
    <m/>
    <m/>
    <m/>
    <m/>
    <n v="7"/>
    <n v="1"/>
    <m/>
    <m/>
    <m/>
    <m/>
    <x v="29"/>
    <m/>
    <x v="0"/>
  </r>
  <r>
    <n v="63"/>
    <s v="AMAURA"/>
    <m/>
    <x v="14"/>
    <x v="12"/>
    <s v="x"/>
    <s v="x"/>
    <m/>
    <s v="x"/>
    <s v="x"/>
    <s v="x"/>
    <s v="x"/>
    <s v="x"/>
    <s v="x"/>
    <s v="x"/>
    <s v="105/0/0"/>
    <s v="n/a"/>
    <s v="n/a"/>
    <s v="n/a"/>
    <s v="n/a"/>
    <s v="n/a"/>
    <s v="n/a"/>
    <s v="n/a"/>
    <s v="Raffs07/Jos"/>
    <m/>
    <m/>
    <n v="1"/>
    <m/>
    <m/>
    <m/>
    <m/>
    <m/>
    <m/>
    <m/>
    <m/>
    <m/>
    <m/>
    <m/>
    <m/>
    <m/>
    <n v="1"/>
    <m/>
    <m/>
    <m/>
    <m/>
    <m/>
    <n v="1"/>
    <m/>
    <m/>
    <m/>
    <m/>
    <m/>
    <m/>
    <n v="1"/>
    <m/>
    <m/>
    <m/>
    <m/>
    <m/>
    <m/>
    <m/>
    <m/>
    <m/>
    <m/>
    <m/>
    <m/>
    <m/>
    <x v="30"/>
    <s v="Not fully evolved"/>
    <x v="4"/>
  </r>
  <r>
    <n v="64"/>
    <s v="AURORUS"/>
    <m/>
    <x v="14"/>
    <x v="12"/>
    <s v="x"/>
    <s v="x"/>
    <s v="x"/>
    <s v="x"/>
    <s v="x"/>
    <s v="x"/>
    <s v="x"/>
    <s v="n/a"/>
    <s v="x"/>
    <s v="x"/>
    <s v="105/0/0"/>
    <s v="n/a"/>
    <s v="n/a"/>
    <s v="n/a"/>
    <s v="n/a"/>
    <s v="n/a"/>
    <s v="n/a"/>
    <s v="n/a"/>
    <s v="Raffs07/Jos"/>
    <m/>
    <m/>
    <n v="1"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n v="3"/>
    <m/>
    <m/>
    <m/>
    <m/>
    <m/>
    <x v="30"/>
    <m/>
    <x v="4"/>
  </r>
  <r>
    <n v="65"/>
    <s v="GEODUDE"/>
    <m/>
    <x v="13"/>
    <x v="11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n v="1"/>
    <n v="1"/>
    <n v="1"/>
    <n v="1"/>
    <m/>
    <m/>
    <n v="1"/>
    <m/>
    <m/>
    <m/>
    <m/>
    <m/>
    <m/>
    <m/>
    <m/>
    <m/>
    <m/>
    <m/>
    <m/>
    <m/>
    <x v="31"/>
    <s v="Not fully evolved"/>
    <x v="0"/>
  </r>
  <r>
    <n v="66"/>
    <s v="GRAVELER"/>
    <m/>
    <x v="13"/>
    <x v="11"/>
    <s v="x"/>
    <s v="x"/>
    <m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x v="31"/>
    <s v="Not fully evolved"/>
    <x v="0"/>
  </r>
  <r>
    <n v="67"/>
    <s v="GOLEM"/>
    <m/>
    <x v="13"/>
    <x v="11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n v="1"/>
    <m/>
    <m/>
    <m/>
    <m/>
    <m/>
    <x v="31"/>
    <m/>
    <x v="0"/>
  </r>
  <r>
    <n v="68"/>
    <s v="SKRELP"/>
    <m/>
    <x v="9"/>
    <x v="6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32"/>
    <s v="Not fully evolved"/>
    <x v="4"/>
  </r>
  <r>
    <n v="69"/>
    <s v="DRAGALGE"/>
    <m/>
    <x v="9"/>
    <x v="6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n v="3"/>
    <m/>
    <m/>
    <m/>
    <m/>
    <m/>
    <x v="32"/>
    <m/>
    <x v="4"/>
  </r>
  <r>
    <n v="70"/>
    <s v="LITLEO"/>
    <m/>
    <x v="2"/>
    <x v="8"/>
    <s v="x"/>
    <s v="x"/>
    <m/>
    <s v="x"/>
    <s v="x"/>
    <s v="x"/>
    <s v="x"/>
    <s v="x"/>
    <s v="x"/>
    <s v="x"/>
    <s v="45/0/0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n v="1"/>
    <m/>
    <m/>
    <m/>
    <m/>
    <m/>
    <m/>
    <m/>
    <m/>
    <m/>
    <m/>
    <m/>
    <m/>
    <m/>
    <x v="33"/>
    <s v="Not fully evolved"/>
    <x v="4"/>
  </r>
  <r>
    <n v="71"/>
    <s v="PYROAR"/>
    <m/>
    <x v="2"/>
    <x v="8"/>
    <s v="x"/>
    <s v="x"/>
    <s v="x"/>
    <s v="x"/>
    <s v="x"/>
    <s v="x"/>
    <s v="x"/>
    <s v="n/a"/>
    <s v="x"/>
    <s v="x"/>
    <s v="45/0/0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3"/>
    <n v="1"/>
    <m/>
    <m/>
    <m/>
    <m/>
    <x v="33"/>
    <m/>
    <x v="4"/>
  </r>
  <r>
    <n v="72"/>
    <s v="LUNATONE"/>
    <m/>
    <x v="2"/>
    <x v="13"/>
    <s v="x"/>
    <s v="x"/>
    <s v="x"/>
    <s v="x"/>
    <s v="x"/>
    <s v="x"/>
    <s v="x"/>
    <s v="x"/>
    <s v="x"/>
    <s v="x"/>
    <s v="-50/0/0"/>
    <s v="n/a"/>
    <s v="n/a"/>
    <s v="n/a"/>
    <s v="n/a"/>
    <s v="n/a"/>
    <s v="n/a"/>
    <s v="n/a"/>
    <s v="Jos / Zeta"/>
    <m/>
    <m/>
    <m/>
    <m/>
    <m/>
    <m/>
    <m/>
    <m/>
    <n v="1"/>
    <n v="1"/>
    <m/>
    <m/>
    <m/>
    <m/>
    <m/>
    <m/>
    <n v="1"/>
    <n v="1"/>
    <n v="1"/>
    <n v="1"/>
    <m/>
    <m/>
    <n v="1"/>
    <m/>
    <m/>
    <m/>
    <m/>
    <m/>
    <m/>
    <n v="6"/>
    <m/>
    <m/>
    <m/>
    <m/>
    <m/>
    <m/>
    <m/>
    <n v="1"/>
    <n v="1"/>
    <m/>
    <m/>
    <m/>
    <m/>
    <x v="34"/>
    <m/>
    <x v="3"/>
  </r>
  <r>
    <n v="73"/>
    <s v="SOLROCK"/>
    <m/>
    <x v="0"/>
    <x v="13"/>
    <s v="x"/>
    <s v="x"/>
    <s v="x"/>
    <s v="x"/>
    <s v="x"/>
    <s v="x"/>
    <s v="x"/>
    <s v="x"/>
    <s v="x"/>
    <s v="x"/>
    <s v="-150/0/0"/>
    <s v="n/a"/>
    <s v="n/a"/>
    <s v="n/a"/>
    <s v="n/a"/>
    <s v="n/a"/>
    <s v="n/a"/>
    <s v="n/a"/>
    <s v="Jos / Zeta"/>
    <m/>
    <m/>
    <m/>
    <m/>
    <m/>
    <m/>
    <m/>
    <m/>
    <n v="1"/>
    <n v="1"/>
    <m/>
    <m/>
    <m/>
    <m/>
    <m/>
    <m/>
    <m/>
    <m/>
    <m/>
    <m/>
    <m/>
    <m/>
    <m/>
    <n v="1"/>
    <n v="1"/>
    <n v="1"/>
    <n v="1"/>
    <m/>
    <m/>
    <m/>
    <m/>
    <m/>
    <m/>
    <m/>
    <m/>
    <m/>
    <m/>
    <n v="1"/>
    <n v="1"/>
    <m/>
    <m/>
    <m/>
    <m/>
    <x v="35"/>
    <m/>
    <x v="3"/>
  </r>
  <r>
    <n v="74"/>
    <s v="DROWZEE"/>
    <m/>
    <x v="10"/>
    <x v="14"/>
    <s v="x"/>
    <s v="x"/>
    <m/>
    <s v="x"/>
    <s v="x"/>
    <s v="x"/>
    <s v="x"/>
    <s v="x"/>
    <s v="x"/>
    <s v="x"/>
    <s v="75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n v="1"/>
    <m/>
    <m/>
    <m/>
    <m/>
    <m/>
    <m/>
    <m/>
    <m/>
    <m/>
    <m/>
    <m/>
    <m/>
    <m/>
    <x v="36"/>
    <s v="Not fully evolved"/>
    <x v="0"/>
  </r>
  <r>
    <n v="75"/>
    <s v="HYPNO"/>
    <m/>
    <x v="10"/>
    <x v="14"/>
    <s v="x"/>
    <s v="x"/>
    <s v="x"/>
    <s v="x"/>
    <s v="x"/>
    <s v="x"/>
    <s v="x"/>
    <s v="n/a"/>
    <s v="x"/>
    <s v="x"/>
    <s v="75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2"/>
    <m/>
    <m/>
    <m/>
    <m/>
    <m/>
    <x v="36"/>
    <m/>
    <x v="0"/>
  </r>
  <r>
    <n v="76"/>
    <s v="SEEL"/>
    <m/>
    <x v="1"/>
    <x v="15"/>
    <s v="x"/>
    <s v="x"/>
    <m/>
    <s v="x"/>
    <s v="x"/>
    <s v="x"/>
    <m/>
    <s v="x"/>
    <s v="x"/>
    <s v="x"/>
    <s v="-90/0/0"/>
    <s v="n/a"/>
    <s v="n/a"/>
    <s v="n/a"/>
    <s v="n/a"/>
    <s v="n/a"/>
    <s v="n/a"/>
    <s v="n/a"/>
    <s v="Raffs07"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n v="1"/>
    <m/>
    <m/>
    <m/>
    <m/>
    <m/>
    <m/>
    <m/>
    <m/>
    <m/>
    <m/>
    <m/>
    <m/>
    <m/>
    <x v="37"/>
    <s v="Not fully evolved"/>
    <x v="0"/>
  </r>
  <r>
    <n v="77"/>
    <s v="DEWGONG"/>
    <m/>
    <x v="1"/>
    <x v="15"/>
    <s v="x"/>
    <s v="x"/>
    <s v="x"/>
    <s v="x"/>
    <s v="x"/>
    <s v="x"/>
    <m/>
    <s v="n/a"/>
    <s v="x"/>
    <s v="x"/>
    <s v="-90/0/0"/>
    <s v="n/a"/>
    <s v="n/a"/>
    <s v="n/a"/>
    <s v="n/a"/>
    <s v="n/a"/>
    <s v="n/a"/>
    <s v="n/a"/>
    <s v="Raffs07"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x v="37"/>
    <m/>
    <x v="0"/>
  </r>
  <r>
    <n v="78"/>
    <s v="SKIDDO"/>
    <m/>
    <x v="13"/>
    <x v="16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SplittingJaws, Eysselia, Millie, Amras Anarion"/>
    <m/>
    <m/>
    <m/>
    <m/>
    <m/>
    <m/>
    <m/>
    <m/>
    <m/>
    <m/>
    <m/>
    <m/>
    <m/>
    <m/>
    <m/>
    <m/>
    <n v="1"/>
    <n v="1"/>
    <n v="1"/>
    <n v="1"/>
    <m/>
    <m/>
    <m/>
    <m/>
    <m/>
    <n v="1"/>
    <n v="1"/>
    <m/>
    <m/>
    <n v="1"/>
    <m/>
    <m/>
    <m/>
    <m/>
    <m/>
    <m/>
    <m/>
    <m/>
    <m/>
    <m/>
    <m/>
    <m/>
    <m/>
    <x v="38"/>
    <s v="Not fully evolved"/>
    <x v="4"/>
  </r>
  <r>
    <n v="79"/>
    <s v="GOGOAT"/>
    <m/>
    <x v="13"/>
    <x v="16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SplittingJaws, Eysselia, Millie, Amras Anarion"/>
    <m/>
    <m/>
    <m/>
    <m/>
    <m/>
    <m/>
    <m/>
    <m/>
    <m/>
    <m/>
    <m/>
    <m/>
    <m/>
    <m/>
    <m/>
    <m/>
    <n v="1"/>
    <n v="1"/>
    <n v="1"/>
    <n v="1"/>
    <m/>
    <m/>
    <m/>
    <m/>
    <m/>
    <n v="1"/>
    <n v="1"/>
    <m/>
    <m/>
    <n v="4"/>
    <m/>
    <m/>
    <m/>
    <m/>
    <m/>
    <m/>
    <m/>
    <n v="3"/>
    <n v="3"/>
    <m/>
    <m/>
    <m/>
    <m/>
    <x v="38"/>
    <m/>
    <x v="4"/>
  </r>
  <r>
    <n v="80"/>
    <s v="KABUTO"/>
    <m/>
    <x v="12"/>
    <x v="9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/Boro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x v="39"/>
    <s v="Not fully evolved"/>
    <x v="0"/>
  </r>
  <r>
    <n v="81"/>
    <s v="KABUTOPS"/>
    <m/>
    <x v="12"/>
    <x v="9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/Boro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4"/>
    <n v="2"/>
    <n v="1"/>
    <m/>
    <m/>
    <m/>
    <x v="39"/>
    <m/>
    <x v="0"/>
  </r>
  <r>
    <n v="82"/>
    <s v="SHROOMISH"/>
    <m/>
    <x v="8"/>
    <x v="4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n v="1"/>
    <m/>
    <m/>
    <m/>
    <m/>
    <m/>
    <m/>
    <m/>
    <m/>
    <m/>
    <m/>
    <m/>
    <m/>
    <m/>
    <x v="40"/>
    <s v="Not fully evolved"/>
    <x v="3"/>
  </r>
  <r>
    <n v="83"/>
    <s v="BRELOOM"/>
    <m/>
    <x v="8"/>
    <x v="1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4"/>
    <n v="1"/>
    <m/>
    <m/>
    <m/>
    <m/>
    <x v="41"/>
    <m/>
    <x v="3"/>
  </r>
  <r>
    <n v="84"/>
    <s v="AERODACTYL"/>
    <m/>
    <x v="14"/>
    <x v="2"/>
    <s v="x"/>
    <s v="x"/>
    <s v="x"/>
    <s v="x"/>
    <s v="x"/>
    <s v="x"/>
    <m/>
    <s v="x"/>
    <s v="x"/>
    <s v="x"/>
    <s v="Don't remember hue shift"/>
    <s v="x"/>
    <s v="x"/>
    <s v="x"/>
    <s v="x"/>
    <s v="x"/>
    <s v="x"/>
    <s v="x"/>
    <s v="Jos"/>
    <m/>
    <m/>
    <m/>
    <n v="1"/>
    <m/>
    <m/>
    <m/>
    <m/>
    <m/>
    <m/>
    <m/>
    <m/>
    <m/>
    <m/>
    <m/>
    <m/>
    <m/>
    <m/>
    <m/>
    <m/>
    <m/>
    <m/>
    <m/>
    <m/>
    <m/>
    <m/>
    <m/>
    <m/>
    <m/>
    <n v="6"/>
    <m/>
    <m/>
    <m/>
    <m/>
    <m/>
    <m/>
    <m/>
    <n v="6"/>
    <n v="4"/>
    <n v="1"/>
    <m/>
    <m/>
    <m/>
    <x v="42"/>
    <m/>
    <x v="0"/>
  </r>
  <r>
    <n v="85"/>
    <s v="ROGGENROLA"/>
    <m/>
    <x v="2"/>
    <x v="6"/>
    <s v="x"/>
    <s v="x"/>
    <m/>
    <s v="x"/>
    <s v="x"/>
    <s v="x"/>
    <s v="x"/>
    <s v="x"/>
    <s v="x"/>
    <s v="x"/>
    <s v="Custom - PDM20"/>
    <s v="n/a"/>
    <s v="n/a"/>
    <s v="n/a"/>
    <s v="n/a"/>
    <s v="n/a"/>
    <s v="n/a"/>
    <s v="n/a"/>
    <s v="Jos/Zeta"/>
    <m/>
    <m/>
    <m/>
    <m/>
    <m/>
    <m/>
    <m/>
    <m/>
    <m/>
    <m/>
    <m/>
    <m/>
    <m/>
    <n v="1"/>
    <n v="1"/>
    <n v="1"/>
    <m/>
    <n v="1"/>
    <m/>
    <n v="1"/>
    <m/>
    <m/>
    <m/>
    <m/>
    <m/>
    <m/>
    <m/>
    <m/>
    <m/>
    <n v="1"/>
    <m/>
    <m/>
    <m/>
    <m/>
    <m/>
    <m/>
    <m/>
    <m/>
    <m/>
    <m/>
    <m/>
    <m/>
    <m/>
    <x v="43"/>
    <s v="Not fully evolved"/>
    <x v="1"/>
  </r>
  <r>
    <n v="86"/>
    <s v="BOLDORE"/>
    <m/>
    <x v="2"/>
    <x v="6"/>
    <s v="x"/>
    <s v="x"/>
    <m/>
    <s v="x"/>
    <s v="x"/>
    <s v="x"/>
    <s v="x"/>
    <s v="n/a"/>
    <s v="x"/>
    <s v="x"/>
    <s v="Custom - PDM20"/>
    <s v="n/a"/>
    <s v="n/a"/>
    <s v="n/a"/>
    <s v="n/a"/>
    <s v="n/a"/>
    <s v="n/a"/>
    <s v="n/a"/>
    <s v="Jos/Zeta"/>
    <m/>
    <m/>
    <m/>
    <m/>
    <m/>
    <m/>
    <m/>
    <m/>
    <m/>
    <m/>
    <m/>
    <m/>
    <m/>
    <n v="1"/>
    <n v="1"/>
    <n v="1"/>
    <m/>
    <n v="1"/>
    <m/>
    <n v="1"/>
    <m/>
    <m/>
    <m/>
    <m/>
    <m/>
    <m/>
    <m/>
    <m/>
    <m/>
    <m/>
    <m/>
    <m/>
    <m/>
    <m/>
    <m/>
    <m/>
    <m/>
    <m/>
    <m/>
    <m/>
    <m/>
    <m/>
    <m/>
    <x v="43"/>
    <s v="Not fully evolved"/>
    <x v="1"/>
  </r>
  <r>
    <n v="87"/>
    <s v="GIGALITH"/>
    <m/>
    <x v="2"/>
    <x v="6"/>
    <s v="x"/>
    <s v="x"/>
    <s v="x"/>
    <s v="x"/>
    <s v="x"/>
    <s v="x"/>
    <s v="x"/>
    <s v="n/a"/>
    <s v="x"/>
    <s v="x"/>
    <s v="Custom - PDM20"/>
    <s v="x"/>
    <s v="x"/>
    <s v="x"/>
    <s v="x"/>
    <s v="x"/>
    <s v="x"/>
    <s v="x"/>
    <s v="Jos/Zeta"/>
    <m/>
    <m/>
    <m/>
    <m/>
    <m/>
    <m/>
    <m/>
    <m/>
    <m/>
    <m/>
    <m/>
    <m/>
    <m/>
    <n v="1"/>
    <n v="1"/>
    <n v="1"/>
    <m/>
    <n v="1"/>
    <m/>
    <n v="1"/>
    <m/>
    <m/>
    <m/>
    <m/>
    <m/>
    <m/>
    <m/>
    <m/>
    <m/>
    <m/>
    <m/>
    <m/>
    <m/>
    <m/>
    <m/>
    <m/>
    <m/>
    <n v="3"/>
    <n v="2"/>
    <m/>
    <m/>
    <m/>
    <m/>
    <x v="43"/>
    <m/>
    <x v="1"/>
  </r>
  <r>
    <n v="88"/>
    <s v="FINNEON"/>
    <m/>
    <x v="15"/>
    <x v="6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MAD0130/Jos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x v="44"/>
    <s v="Not fully evolved"/>
    <x v="5"/>
  </r>
  <r>
    <n v="89"/>
    <s v="LUMINEON"/>
    <m/>
    <x v="15"/>
    <x v="6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MAD0130/Jos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n v="4"/>
    <m/>
    <m/>
    <m/>
    <m/>
    <m/>
    <x v="44"/>
    <m/>
    <x v="5"/>
  </r>
  <r>
    <n v="90"/>
    <s v="GLIGAR"/>
    <m/>
    <x v="13"/>
    <x v="17"/>
    <s v="x"/>
    <s v="x"/>
    <m/>
    <s v="x"/>
    <s v="x"/>
    <s v="x"/>
    <m/>
    <s v="x"/>
    <s v="x"/>
    <s v="x"/>
    <s v="Custom - Jos"/>
    <s v="n/a"/>
    <s v="n/a"/>
    <s v="n/a"/>
    <s v="n/a"/>
    <s v="n/a"/>
    <s v="n/a"/>
    <s v="n/a"/>
    <s v="Badman"/>
    <m/>
    <m/>
    <m/>
    <m/>
    <m/>
    <m/>
    <m/>
    <m/>
    <m/>
    <n v="1"/>
    <m/>
    <m/>
    <m/>
    <m/>
    <m/>
    <m/>
    <m/>
    <m/>
    <m/>
    <m/>
    <n v="1"/>
    <m/>
    <m/>
    <m/>
    <m/>
    <n v="1"/>
    <n v="1"/>
    <m/>
    <m/>
    <n v="1"/>
    <m/>
    <m/>
    <m/>
    <m/>
    <m/>
    <m/>
    <m/>
    <m/>
    <m/>
    <m/>
    <m/>
    <m/>
    <m/>
    <x v="45"/>
    <s v="Not fully evolved"/>
    <x v="2"/>
  </r>
  <r>
    <n v="91"/>
    <s v="GLISCOR"/>
    <m/>
    <x v="13"/>
    <x v="17"/>
    <s v="x"/>
    <s v="x"/>
    <s v="x"/>
    <s v="x"/>
    <s v="x"/>
    <s v="x"/>
    <m/>
    <s v="n/a"/>
    <s v="x"/>
    <s v="x"/>
    <s v="160/15/-5 (95/15/-5 for Mega)"/>
    <s v="x"/>
    <s v="x"/>
    <s v="x"/>
    <s v="x"/>
    <s v="x"/>
    <s v="x"/>
    <s v="x"/>
    <s v="Badman"/>
    <m/>
    <m/>
    <m/>
    <m/>
    <m/>
    <m/>
    <m/>
    <m/>
    <m/>
    <n v="1"/>
    <m/>
    <m/>
    <m/>
    <m/>
    <m/>
    <m/>
    <m/>
    <m/>
    <m/>
    <m/>
    <n v="1"/>
    <m/>
    <m/>
    <m/>
    <m/>
    <n v="1"/>
    <n v="1"/>
    <m/>
    <m/>
    <m/>
    <m/>
    <m/>
    <m/>
    <m/>
    <m/>
    <m/>
    <m/>
    <n v="2"/>
    <n v="1"/>
    <n v="1"/>
    <m/>
    <m/>
    <m/>
    <x v="45"/>
    <m/>
    <x v="5"/>
  </r>
  <r>
    <n v="92"/>
    <s v="LILLIPUP"/>
    <m/>
    <x v="10"/>
    <x v="18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n v="1"/>
    <n v="1"/>
    <m/>
    <m/>
    <m/>
    <m/>
    <n v="1"/>
    <m/>
    <m/>
    <n v="1"/>
    <m/>
    <m/>
    <m/>
    <m/>
    <m/>
    <m/>
    <m/>
    <m/>
    <m/>
    <m/>
    <m/>
    <m/>
    <m/>
    <x v="46"/>
    <s v="Not fully evolved"/>
    <x v="1"/>
  </r>
  <r>
    <n v="93"/>
    <s v="HERDIER"/>
    <m/>
    <x v="10"/>
    <x v="18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n v="1"/>
    <n v="1"/>
    <m/>
    <m/>
    <m/>
    <m/>
    <n v="1"/>
    <m/>
    <m/>
    <m/>
    <m/>
    <m/>
    <m/>
    <m/>
    <m/>
    <m/>
    <m/>
    <m/>
    <m/>
    <m/>
    <m/>
    <m/>
    <m/>
    <x v="46"/>
    <s v="Not fully evolved"/>
    <x v="1"/>
  </r>
  <r>
    <n v="94"/>
    <s v="STOUTLAND"/>
    <m/>
    <x v="10"/>
    <x v="18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n v="1"/>
    <n v="1"/>
    <m/>
    <m/>
    <m/>
    <m/>
    <n v="1"/>
    <m/>
    <m/>
    <m/>
    <m/>
    <m/>
    <m/>
    <m/>
    <m/>
    <m/>
    <m/>
    <n v="12"/>
    <n v="1"/>
    <m/>
    <m/>
    <m/>
    <m/>
    <x v="46"/>
    <m/>
    <x v="1"/>
  </r>
  <r>
    <n v="95"/>
    <s v="DRIFLOON"/>
    <m/>
    <x v="0"/>
    <x v="2"/>
    <s v="x"/>
    <s v="x"/>
    <m/>
    <s v="x"/>
    <s v="x"/>
    <s v="x"/>
    <s v="x"/>
    <s v="x"/>
    <s v="x"/>
    <s v="x"/>
    <s v="-80/0/0"/>
    <s v="n/a"/>
    <s v="n/a"/>
    <s v="n/a"/>
    <s v="n/a"/>
    <s v="n/a"/>
    <s v="n/a"/>
    <s v="n/a"/>
    <s v="Jos/Zeta"/>
    <m/>
    <n v="1"/>
    <m/>
    <m/>
    <m/>
    <m/>
    <m/>
    <m/>
    <n v="1"/>
    <m/>
    <m/>
    <m/>
    <m/>
    <m/>
    <m/>
    <m/>
    <m/>
    <m/>
    <m/>
    <m/>
    <m/>
    <m/>
    <m/>
    <m/>
    <m/>
    <n v="1"/>
    <m/>
    <m/>
    <m/>
    <n v="1"/>
    <m/>
    <m/>
    <m/>
    <m/>
    <m/>
    <m/>
    <m/>
    <m/>
    <m/>
    <m/>
    <m/>
    <m/>
    <m/>
    <x v="12"/>
    <s v="Not fully evolved"/>
    <x v="5"/>
  </r>
  <r>
    <n v="96"/>
    <s v="DRIFBLIM"/>
    <m/>
    <x v="0"/>
    <x v="2"/>
    <s v="x"/>
    <s v="x"/>
    <s v="x"/>
    <s v="x"/>
    <s v="x"/>
    <s v="x"/>
    <s v="x"/>
    <s v="n/a"/>
    <s v="x"/>
    <s v="x"/>
    <s v="-80/0/0"/>
    <s v="n/a"/>
    <s v="n/a"/>
    <s v="n/a"/>
    <s v="n/a"/>
    <s v="n/a"/>
    <s v="n/a"/>
    <s v="n/a"/>
    <s v="Jos/Zeta"/>
    <m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12"/>
    <m/>
    <x v="5"/>
  </r>
  <r>
    <n v="97"/>
    <s v="MINCCINO"/>
    <m/>
    <x v="6"/>
    <x v="12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/Raffs07"/>
    <m/>
    <m/>
    <m/>
    <m/>
    <m/>
    <m/>
    <m/>
    <m/>
    <n v="1"/>
    <n v="1"/>
    <m/>
    <m/>
    <m/>
    <m/>
    <m/>
    <m/>
    <m/>
    <m/>
    <m/>
    <m/>
    <n v="1"/>
    <m/>
    <m/>
    <m/>
    <m/>
    <m/>
    <m/>
    <m/>
    <m/>
    <n v="1"/>
    <m/>
    <m/>
    <m/>
    <m/>
    <m/>
    <m/>
    <m/>
    <m/>
    <m/>
    <m/>
    <m/>
    <m/>
    <m/>
    <x v="47"/>
    <s v="Not fully evolved"/>
    <x v="1"/>
  </r>
  <r>
    <n v="98"/>
    <s v="CINCCINO"/>
    <m/>
    <x v="6"/>
    <x v="12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Raffs07"/>
    <m/>
    <m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n v="9"/>
    <n v="1"/>
    <m/>
    <m/>
    <m/>
    <m/>
    <x v="47"/>
    <m/>
    <x v="1"/>
  </r>
  <r>
    <n v="99"/>
    <s v="BONSLY"/>
    <m/>
    <x v="4"/>
    <x v="9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 / Doowi"/>
    <m/>
    <m/>
    <m/>
    <m/>
    <m/>
    <m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n v="1"/>
    <m/>
    <m/>
    <m/>
    <m/>
    <x v="15"/>
    <s v="Not fully evolved"/>
    <x v="5"/>
  </r>
  <r>
    <n v="100"/>
    <s v="SUDOWOODO"/>
    <m/>
    <x v="4"/>
    <x v="9"/>
    <s v="x"/>
    <s v="x"/>
    <s v="x"/>
    <s v="x"/>
    <s v="x"/>
    <s v="x"/>
    <m/>
    <s v="n/a"/>
    <s v="x"/>
    <s v="x"/>
    <s v="180/0/0"/>
    <s v="xx"/>
    <s v="xx"/>
    <s v="xx"/>
    <s v="xx"/>
    <s v="xx"/>
    <s v="xx"/>
    <s v="xx"/>
    <s v="Jos / Doowi / Ignotus68 (mega)"/>
    <m/>
    <m/>
    <m/>
    <m/>
    <m/>
    <m/>
    <n v="1"/>
    <m/>
    <m/>
    <m/>
    <m/>
    <m/>
    <m/>
    <m/>
    <m/>
    <m/>
    <m/>
    <m/>
    <m/>
    <m/>
    <m/>
    <m/>
    <m/>
    <m/>
    <m/>
    <m/>
    <m/>
    <m/>
    <m/>
    <n v="6"/>
    <m/>
    <m/>
    <m/>
    <m/>
    <m/>
    <m/>
    <m/>
    <n v="1"/>
    <n v="1"/>
    <n v="2"/>
    <m/>
    <m/>
    <m/>
    <x v="15"/>
    <m/>
    <x v="2"/>
  </r>
  <r>
    <n v="101"/>
    <s v="DRUDDIGON"/>
    <m/>
    <x v="14"/>
    <x v="14"/>
    <s v="x"/>
    <s v="x"/>
    <s v="x"/>
    <s v="x"/>
    <s v="x"/>
    <s v="x"/>
    <m/>
    <s v="x"/>
    <s v="x"/>
    <s v="x"/>
    <s v="Don't remember hue shift"/>
    <s v="n/a"/>
    <s v="n/a"/>
    <s v="n/a"/>
    <s v="n/a"/>
    <s v="n/a"/>
    <s v="n/a"/>
    <s v="n/a"/>
    <s v="Anarlaurendil/Boro"/>
    <m/>
    <m/>
    <m/>
    <m/>
    <m/>
    <n v="1"/>
    <m/>
    <m/>
    <m/>
    <m/>
    <m/>
    <m/>
    <m/>
    <m/>
    <m/>
    <m/>
    <m/>
    <n v="1"/>
    <m/>
    <m/>
    <m/>
    <m/>
    <m/>
    <n v="1"/>
    <m/>
    <n v="1"/>
    <n v="1"/>
    <m/>
    <m/>
    <n v="6"/>
    <m/>
    <m/>
    <m/>
    <m/>
    <m/>
    <m/>
    <m/>
    <m/>
    <m/>
    <m/>
    <m/>
    <m/>
    <m/>
    <x v="48"/>
    <m/>
    <x v="1"/>
  </r>
  <r>
    <n v="102"/>
    <s v="WOOBAT"/>
    <m/>
    <x v="5"/>
    <x v="2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n v="1"/>
    <n v="1"/>
    <n v="1"/>
    <m/>
    <m/>
    <m/>
    <m/>
    <m/>
    <m/>
    <m/>
    <m/>
    <m/>
    <m/>
    <n v="1"/>
    <n v="1"/>
    <m/>
    <m/>
    <m/>
    <n v="1"/>
    <m/>
    <m/>
    <m/>
    <n v="1"/>
    <m/>
    <m/>
    <m/>
    <m/>
    <m/>
    <m/>
    <m/>
    <m/>
    <m/>
    <m/>
    <m/>
    <m/>
    <m/>
    <x v="49"/>
    <s v="Not fully evolved"/>
    <x v="1"/>
  </r>
  <r>
    <n v="103"/>
    <s v="SWOOBAT"/>
    <m/>
    <x v="5"/>
    <x v="2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n v="1"/>
    <n v="1"/>
    <n v="1"/>
    <m/>
    <m/>
    <m/>
    <m/>
    <m/>
    <m/>
    <m/>
    <m/>
    <m/>
    <m/>
    <n v="1"/>
    <n v="1"/>
    <m/>
    <m/>
    <m/>
    <n v="1"/>
    <m/>
    <m/>
    <m/>
    <m/>
    <m/>
    <m/>
    <m/>
    <m/>
    <m/>
    <m/>
    <m/>
    <m/>
    <n v="1"/>
    <m/>
    <m/>
    <m/>
    <m/>
    <x v="49"/>
    <m/>
    <x v="1"/>
  </r>
  <r>
    <n v="104"/>
    <s v="KRABBY"/>
    <m/>
    <x v="4"/>
    <x v="3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n v="1"/>
    <n v="1"/>
    <m/>
    <m/>
    <m/>
    <m/>
    <n v="1"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x v="50"/>
    <s v="Not fully evolved"/>
    <x v="0"/>
  </r>
  <r>
    <n v="105"/>
    <s v="KINGLER"/>
    <m/>
    <x v="4"/>
    <x v="3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n v="1"/>
    <n v="1"/>
    <m/>
    <m/>
    <m/>
    <m/>
    <n v="1"/>
    <m/>
    <m/>
    <m/>
    <m/>
    <m/>
    <m/>
    <m/>
    <m/>
    <m/>
    <m/>
    <m/>
    <m/>
    <m/>
    <m/>
    <n v="1"/>
    <m/>
    <m/>
    <n v="4"/>
    <m/>
    <m/>
    <m/>
    <m/>
    <m/>
    <m/>
    <m/>
    <n v="1"/>
    <m/>
    <m/>
    <m/>
    <m/>
    <m/>
    <x v="50"/>
    <m/>
    <x v="0"/>
  </r>
  <r>
    <n v="106"/>
    <s v="HOOTHOOT"/>
    <m/>
    <x v="16"/>
    <x v="19"/>
    <s v="x"/>
    <s v="x"/>
    <m/>
    <s v="x"/>
    <s v="x"/>
    <s v="x"/>
    <s v="x"/>
    <s v="x"/>
    <s v="x"/>
    <s v="x"/>
    <s v="-175/0/0"/>
    <s v="n/a"/>
    <s v="n/a"/>
    <s v="n/a"/>
    <s v="n/a"/>
    <s v="n/a"/>
    <s v="n/a"/>
    <s v="n/a"/>
    <s v="Jos"/>
    <m/>
    <n v="1"/>
    <n v="1"/>
    <m/>
    <m/>
    <m/>
    <m/>
    <m/>
    <n v="1"/>
    <m/>
    <m/>
    <m/>
    <m/>
    <m/>
    <m/>
    <m/>
    <n v="1"/>
    <m/>
    <m/>
    <m/>
    <m/>
    <m/>
    <n v="1"/>
    <m/>
    <m/>
    <m/>
    <n v="1"/>
    <m/>
    <m/>
    <n v="1"/>
    <m/>
    <m/>
    <m/>
    <m/>
    <m/>
    <m/>
    <m/>
    <m/>
    <m/>
    <m/>
    <m/>
    <m/>
    <m/>
    <x v="51"/>
    <s v="Not fully evolved"/>
    <x v="2"/>
  </r>
  <r>
    <n v="107"/>
    <s v="NOCTOWL"/>
    <m/>
    <x v="16"/>
    <x v="19"/>
    <s v="x"/>
    <s v="x"/>
    <s v="x"/>
    <s v="x"/>
    <s v="x"/>
    <s v="x"/>
    <m/>
    <s v="n/a"/>
    <s v="x"/>
    <s v="x"/>
    <s v="-175/0/0"/>
    <s v="x"/>
    <s v="x"/>
    <s v="x"/>
    <s v="x"/>
    <s v="x"/>
    <s v="x"/>
    <s v="x"/>
    <s v="Jos/ Lumio(Fakemon Festival Pack)/ Endless"/>
    <m/>
    <n v="1"/>
    <n v="1"/>
    <m/>
    <m/>
    <m/>
    <m/>
    <m/>
    <n v="1"/>
    <m/>
    <m/>
    <m/>
    <m/>
    <m/>
    <m/>
    <m/>
    <n v="1"/>
    <m/>
    <m/>
    <m/>
    <m/>
    <m/>
    <n v="1"/>
    <m/>
    <m/>
    <m/>
    <n v="1"/>
    <m/>
    <m/>
    <m/>
    <m/>
    <m/>
    <m/>
    <m/>
    <m/>
    <m/>
    <m/>
    <n v="6"/>
    <n v="2"/>
    <m/>
    <m/>
    <m/>
    <m/>
    <x v="51"/>
    <m/>
    <x v="2"/>
  </r>
  <r>
    <n v="108"/>
    <s v="VOLTORB"/>
    <m/>
    <x v="2"/>
    <x v="4"/>
    <s v="x"/>
    <s v="x"/>
    <m/>
    <s v="x"/>
    <s v="x"/>
    <s v="x"/>
    <s v="x"/>
    <s v="x"/>
    <s v="x"/>
    <s v="x"/>
    <s v="Custom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n v="1"/>
    <m/>
    <m/>
    <m/>
    <m/>
    <m/>
    <m/>
    <m/>
    <m/>
    <m/>
    <m/>
    <m/>
    <m/>
    <m/>
    <x v="52"/>
    <s v="Not fully evolved"/>
    <x v="0"/>
  </r>
  <r>
    <n v="109"/>
    <s v="ELECTRODE"/>
    <m/>
    <x v="2"/>
    <x v="4"/>
    <s v="x"/>
    <s v="x"/>
    <s v="x"/>
    <s v="x"/>
    <s v="x"/>
    <s v="x"/>
    <s v="x"/>
    <s v="n/a"/>
    <s v="x"/>
    <s v="x"/>
    <s v="Custom"/>
    <s v="x"/>
    <s v="x"/>
    <s v="x"/>
    <s v="x"/>
    <s v="x"/>
    <s v="x"/>
    <s v="x"/>
    <s v="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n v="4"/>
    <m/>
    <m/>
    <m/>
    <m/>
    <m/>
    <m/>
    <m/>
    <n v="2"/>
    <m/>
    <m/>
    <m/>
    <m/>
    <m/>
    <x v="52"/>
    <m/>
    <x v="0"/>
  </r>
  <r>
    <n v="110"/>
    <s v="SANDYGAST"/>
    <m/>
    <x v="6"/>
    <x v="16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n v="1"/>
    <m/>
    <m/>
    <m/>
    <m/>
    <m/>
    <m/>
    <m/>
    <m/>
    <m/>
    <m/>
    <m/>
    <m/>
    <m/>
    <x v="53"/>
    <s v="Not fully evolved"/>
    <x v="6"/>
  </r>
  <r>
    <n v="111"/>
    <s v="PALOSSAND"/>
    <m/>
    <x v="6"/>
    <x v="16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3"/>
    <n v="2"/>
    <m/>
    <m/>
    <m/>
    <m/>
    <x v="53"/>
    <m/>
    <x v="6"/>
  </r>
  <r>
    <n v="112"/>
    <s v="WEEDLE"/>
    <m/>
    <x v="12"/>
    <x v="5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Steelman2004 / Hexx_Vixtar"/>
    <m/>
    <m/>
    <m/>
    <m/>
    <m/>
    <m/>
    <m/>
    <m/>
    <m/>
    <m/>
    <m/>
    <m/>
    <m/>
    <m/>
    <m/>
    <m/>
    <m/>
    <m/>
    <m/>
    <m/>
    <n v="1"/>
    <m/>
    <n v="1"/>
    <m/>
    <m/>
    <m/>
    <n v="1"/>
    <m/>
    <m/>
    <m/>
    <m/>
    <m/>
    <m/>
    <m/>
    <m/>
    <m/>
    <m/>
    <m/>
    <m/>
    <m/>
    <m/>
    <m/>
    <m/>
    <x v="28"/>
    <s v="Not fully evolved"/>
    <x v="0"/>
  </r>
  <r>
    <n v="113"/>
    <s v="KAKUNA"/>
    <m/>
    <x v="12"/>
    <x v="5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Steelman2004 / Hexx_Vixtar"/>
    <m/>
    <m/>
    <m/>
    <m/>
    <m/>
    <m/>
    <m/>
    <m/>
    <m/>
    <m/>
    <m/>
    <m/>
    <m/>
    <m/>
    <m/>
    <m/>
    <m/>
    <m/>
    <m/>
    <m/>
    <n v="1"/>
    <m/>
    <n v="1"/>
    <m/>
    <m/>
    <m/>
    <n v="1"/>
    <m/>
    <m/>
    <m/>
    <m/>
    <m/>
    <m/>
    <m/>
    <m/>
    <m/>
    <m/>
    <m/>
    <m/>
    <m/>
    <m/>
    <m/>
    <m/>
    <x v="28"/>
    <s v="Not fully evolved"/>
    <x v="0"/>
  </r>
  <r>
    <n v="114"/>
    <s v="BEEDRILL"/>
    <m/>
    <x v="12"/>
    <x v="5"/>
    <s v="x"/>
    <s v="x"/>
    <s v="x"/>
    <s v="x"/>
    <s v="x"/>
    <s v="x"/>
    <m/>
    <s v="n/a"/>
    <s v="x"/>
    <s v="x"/>
    <s v="Don't remember hue shift"/>
    <s v="x"/>
    <s v="x"/>
    <s v="x"/>
    <s v="x"/>
    <s v="x"/>
    <s v="x"/>
    <s v="x"/>
    <s v="Steelman2004 / Hexx_Vixtar"/>
    <m/>
    <m/>
    <m/>
    <m/>
    <m/>
    <m/>
    <m/>
    <m/>
    <m/>
    <m/>
    <m/>
    <m/>
    <m/>
    <m/>
    <m/>
    <m/>
    <m/>
    <m/>
    <m/>
    <m/>
    <n v="1"/>
    <m/>
    <n v="1"/>
    <m/>
    <m/>
    <m/>
    <n v="1"/>
    <m/>
    <m/>
    <m/>
    <m/>
    <m/>
    <m/>
    <m/>
    <m/>
    <m/>
    <m/>
    <n v="8"/>
    <n v="2"/>
    <m/>
    <m/>
    <m/>
    <m/>
    <x v="28"/>
    <m/>
    <x v="0"/>
  </r>
  <r>
    <n v="115"/>
    <s v="MACHOP"/>
    <m/>
    <x v="4"/>
    <x v="14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Geno / Jos"/>
    <m/>
    <m/>
    <m/>
    <m/>
    <m/>
    <n v="1"/>
    <n v="1"/>
    <n v="1"/>
    <m/>
    <m/>
    <m/>
    <m/>
    <m/>
    <m/>
    <m/>
    <m/>
    <m/>
    <m/>
    <m/>
    <m/>
    <m/>
    <m/>
    <m/>
    <m/>
    <n v="1"/>
    <n v="1"/>
    <n v="1"/>
    <m/>
    <m/>
    <n v="1"/>
    <m/>
    <m/>
    <m/>
    <m/>
    <m/>
    <m/>
    <m/>
    <m/>
    <m/>
    <m/>
    <m/>
    <m/>
    <m/>
    <x v="54"/>
    <s v="Not fully evolved"/>
    <x v="0"/>
  </r>
  <r>
    <n v="116"/>
    <s v="MACHOKE"/>
    <m/>
    <x v="4"/>
    <x v="14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Geno / Jos"/>
    <m/>
    <m/>
    <m/>
    <m/>
    <m/>
    <n v="1"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54"/>
    <s v="Not fully evolved"/>
    <x v="0"/>
  </r>
  <r>
    <n v="117"/>
    <s v="MACHAMP"/>
    <m/>
    <x v="4"/>
    <x v="14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Geno / Jos"/>
    <m/>
    <m/>
    <m/>
    <m/>
    <m/>
    <n v="1"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n v="1"/>
    <m/>
    <m/>
    <m/>
    <x v="54"/>
    <m/>
    <x v="0"/>
  </r>
  <r>
    <n v="118"/>
    <s v="BULBASAUR"/>
    <m/>
    <x v="2"/>
    <x v="12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Maeracle / Hexx_Vixtar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n v="1"/>
    <m/>
    <m/>
    <m/>
    <m/>
    <m/>
    <m/>
    <m/>
    <m/>
    <m/>
    <m/>
    <m/>
    <m/>
    <m/>
    <x v="55"/>
    <s v="Not fully evolved"/>
    <x v="0"/>
  </r>
  <r>
    <n v="119"/>
    <s v="IVYSAUR"/>
    <m/>
    <x v="2"/>
    <x v="12"/>
    <s v="x"/>
    <s v="x"/>
    <m/>
    <s v="x"/>
    <s v="x"/>
    <s v="x"/>
    <s v="x"/>
    <s v="n/a"/>
    <s v="x"/>
    <s v="x"/>
    <s v="Don't remember hue shift"/>
    <s v="n/a"/>
    <s v="n/a"/>
    <s v="n/a"/>
    <s v="n/a"/>
    <s v="n/a"/>
    <s v="n/a"/>
    <s v="n/a"/>
    <s v="Maeracle / Hexx_Vixtar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55"/>
    <s v="Not fully evolved"/>
    <x v="0"/>
  </r>
  <r>
    <n v="120"/>
    <s v="VENUSAUR"/>
    <m/>
    <x v="2"/>
    <x v="12"/>
    <s v="x"/>
    <s v="x"/>
    <s v="x"/>
    <s v="x"/>
    <s v="x"/>
    <s v="x"/>
    <s v="x"/>
    <s v="n/a"/>
    <s v="x"/>
    <s v="x"/>
    <s v="Don't remember hue shift"/>
    <s v="x"/>
    <s v="x"/>
    <s v="x"/>
    <s v="x"/>
    <s v="x"/>
    <s v="x"/>
    <s v="x"/>
    <s v="Maeracle / Hexx_Vixtar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12"/>
    <m/>
    <m/>
    <m/>
    <m/>
    <m/>
    <x v="55"/>
    <m/>
    <x v="0"/>
  </r>
  <r>
    <n v="121"/>
    <s v="TAUROS"/>
    <m/>
    <x v="0"/>
    <x v="7"/>
    <s v="x"/>
    <s v="x"/>
    <s v="x"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n v="1"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6"/>
    <n v="1"/>
    <m/>
    <m/>
    <m/>
    <m/>
    <x v="56"/>
    <m/>
    <x v="0"/>
  </r>
  <r>
    <n v="122"/>
    <s v="CARVANHA"/>
    <m/>
    <x v="8"/>
    <x v="2"/>
    <s v="x"/>
    <s v="x"/>
    <m/>
    <s v="x"/>
    <s v="x"/>
    <s v="x"/>
    <s v="x"/>
    <s v="x"/>
    <s v="x"/>
    <s v="x"/>
    <s v="-90/0/0"/>
    <s v="n/a"/>
    <s v="n/a"/>
    <s v="n/a"/>
    <s v="n/a"/>
    <s v="n/a"/>
    <s v="n/a"/>
    <s v="n/a"/>
    <s v="Boro / Jos"/>
    <m/>
    <m/>
    <m/>
    <m/>
    <m/>
    <m/>
    <m/>
    <m/>
    <m/>
    <m/>
    <m/>
    <m/>
    <m/>
    <m/>
    <m/>
    <m/>
    <m/>
    <m/>
    <m/>
    <m/>
    <n v="1"/>
    <m/>
    <m/>
    <n v="1"/>
    <m/>
    <n v="1"/>
    <n v="1"/>
    <m/>
    <m/>
    <m/>
    <m/>
    <m/>
    <m/>
    <m/>
    <m/>
    <m/>
    <m/>
    <m/>
    <m/>
    <m/>
    <m/>
    <m/>
    <m/>
    <x v="57"/>
    <s v="Not fully evolved"/>
    <x v="3"/>
  </r>
  <r>
    <n v="123"/>
    <s v="SHARPEDO"/>
    <m/>
    <x v="8"/>
    <x v="2"/>
    <s v="x"/>
    <s v="x"/>
    <s v="x"/>
    <s v="x"/>
    <s v="x"/>
    <s v="x"/>
    <m/>
    <s v="n/a"/>
    <s v="x"/>
    <s v="x"/>
    <s v="-90/0/0"/>
    <s v="x"/>
    <s v="x"/>
    <s v="x"/>
    <s v="x"/>
    <s v="x"/>
    <s v="x"/>
    <s v="x"/>
    <s v="Boro / Jos"/>
    <m/>
    <m/>
    <m/>
    <m/>
    <m/>
    <m/>
    <m/>
    <m/>
    <m/>
    <m/>
    <m/>
    <m/>
    <m/>
    <m/>
    <m/>
    <m/>
    <m/>
    <m/>
    <m/>
    <m/>
    <n v="1"/>
    <m/>
    <m/>
    <n v="1"/>
    <m/>
    <n v="1"/>
    <n v="1"/>
    <m/>
    <m/>
    <m/>
    <m/>
    <m/>
    <m/>
    <m/>
    <m/>
    <m/>
    <m/>
    <n v="3"/>
    <n v="1"/>
    <m/>
    <m/>
    <m/>
    <m/>
    <x v="57"/>
    <m/>
    <x v="3"/>
  </r>
  <r>
    <n v="124"/>
    <s v="TIMBURR"/>
    <m/>
    <x v="6"/>
    <x v="14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n v="1"/>
    <m/>
    <m/>
    <m/>
    <m/>
    <m/>
    <m/>
    <m/>
    <m/>
    <m/>
    <m/>
    <n v="1"/>
    <n v="1"/>
    <m/>
    <m/>
    <m/>
    <n v="1"/>
    <m/>
    <m/>
    <m/>
    <m/>
    <m/>
    <m/>
    <m/>
    <m/>
    <m/>
    <m/>
    <m/>
    <m/>
    <m/>
    <m/>
    <m/>
    <m/>
    <m/>
    <x v="58"/>
    <s v="Not fully evolved"/>
    <x v="1"/>
  </r>
  <r>
    <n v="125"/>
    <s v="GURDURR"/>
    <m/>
    <x v="6"/>
    <x v="14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n v="1"/>
    <m/>
    <m/>
    <m/>
    <m/>
    <m/>
    <m/>
    <m/>
    <m/>
    <m/>
    <m/>
    <n v="1"/>
    <n v="1"/>
    <m/>
    <m/>
    <m/>
    <n v="1"/>
    <m/>
    <m/>
    <m/>
    <m/>
    <m/>
    <m/>
    <m/>
    <m/>
    <m/>
    <m/>
    <m/>
    <m/>
    <m/>
    <m/>
    <m/>
    <m/>
    <m/>
    <x v="58"/>
    <s v="Not fully evolved"/>
    <x v="1"/>
  </r>
  <r>
    <n v="126"/>
    <s v="CONKELDURR"/>
    <m/>
    <x v="6"/>
    <x v="14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n v="1"/>
    <m/>
    <m/>
    <m/>
    <m/>
    <m/>
    <m/>
    <m/>
    <m/>
    <m/>
    <m/>
    <n v="1"/>
    <n v="1"/>
    <m/>
    <m/>
    <m/>
    <n v="1"/>
    <m/>
    <m/>
    <m/>
    <m/>
    <m/>
    <m/>
    <m/>
    <m/>
    <m/>
    <m/>
    <m/>
    <n v="1"/>
    <m/>
    <m/>
    <m/>
    <m/>
    <m/>
    <x v="58"/>
    <m/>
    <x v="1"/>
  </r>
  <r>
    <n v="127"/>
    <s v="LITWICK"/>
    <m/>
    <x v="11"/>
    <x v="18"/>
    <s v="x"/>
    <s v="x"/>
    <m/>
    <s v="x"/>
    <s v="x"/>
    <s v="x"/>
    <s v="x"/>
    <s v="x"/>
    <s v="x"/>
    <s v="x"/>
    <s v="180/0/0"/>
    <s v="n/a"/>
    <s v="n/a"/>
    <s v="n/a"/>
    <s v="n/a"/>
    <s v="n/a"/>
    <s v="n/a"/>
    <s v="n/a"/>
    <s v="Plates of Arceus / Jos"/>
    <m/>
    <m/>
    <m/>
    <m/>
    <m/>
    <m/>
    <m/>
    <m/>
    <n v="1"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59"/>
    <s v="Not fully evolved"/>
    <x v="1"/>
  </r>
  <r>
    <n v="128"/>
    <s v="LAMPENT"/>
    <m/>
    <x v="11"/>
    <x v="18"/>
    <s v="x"/>
    <s v="x"/>
    <m/>
    <s v="x"/>
    <s v="x"/>
    <s v="x"/>
    <m/>
    <s v="n/a"/>
    <s v="x"/>
    <s v="x"/>
    <s v="180/0/0"/>
    <s v="n/a"/>
    <s v="n/a"/>
    <s v="n/a"/>
    <s v="n/a"/>
    <s v="n/a"/>
    <s v="n/a"/>
    <s v="n/a"/>
    <s v="Plates of Arceus / Jos"/>
    <m/>
    <m/>
    <m/>
    <m/>
    <m/>
    <m/>
    <m/>
    <m/>
    <n v="1"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59"/>
    <s v="Not fully evolved"/>
    <x v="1"/>
  </r>
  <r>
    <n v="129"/>
    <s v="CHANDELURE"/>
    <m/>
    <x v="11"/>
    <x v="18"/>
    <s v="x"/>
    <s v="x"/>
    <s v="x"/>
    <s v="x"/>
    <s v="x"/>
    <s v="x"/>
    <m/>
    <s v="n/a"/>
    <s v="x"/>
    <s v="x"/>
    <s v="180/0/0"/>
    <s v="x"/>
    <s v="x"/>
    <s v="x"/>
    <s v="x"/>
    <s v="x"/>
    <s v="x"/>
    <s v="x"/>
    <s v="Plates of Arceus / Jos"/>
    <m/>
    <m/>
    <m/>
    <m/>
    <m/>
    <m/>
    <m/>
    <m/>
    <n v="1"/>
    <n v="1"/>
    <m/>
    <m/>
    <m/>
    <m/>
    <m/>
    <m/>
    <m/>
    <m/>
    <m/>
    <m/>
    <n v="1"/>
    <m/>
    <m/>
    <m/>
    <m/>
    <m/>
    <m/>
    <m/>
    <m/>
    <m/>
    <m/>
    <m/>
    <m/>
    <m/>
    <m/>
    <m/>
    <m/>
    <n v="7"/>
    <n v="3"/>
    <m/>
    <m/>
    <m/>
    <m/>
    <x v="59"/>
    <m/>
    <x v="1"/>
  </r>
  <r>
    <n v="130"/>
    <s v="VANILLITE"/>
    <m/>
    <x v="5"/>
    <x v="4"/>
    <s v="x"/>
    <s v="x"/>
    <m/>
    <s v="x"/>
    <s v="x"/>
    <s v="x"/>
    <s v="x"/>
    <s v="x"/>
    <s v="x"/>
    <s v="x"/>
    <s v="Custom - PDM20"/>
    <s v="n/a"/>
    <s v="n/a"/>
    <s v="n/a"/>
    <s v="n/a"/>
    <s v="n/a"/>
    <s v="n/a"/>
    <s v="n/a"/>
    <s v="Raffs07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7"/>
    <s v="Not fully evolved"/>
    <x v="1"/>
  </r>
  <r>
    <n v="131"/>
    <s v="VANILLISH"/>
    <m/>
    <x v="5"/>
    <x v="4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Raffs07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7"/>
    <s v="Not fully evolved"/>
    <x v="1"/>
  </r>
  <r>
    <n v="132"/>
    <s v="VANILLUXE"/>
    <m/>
    <x v="5"/>
    <x v="4"/>
    <s v="x"/>
    <s v="x"/>
    <s v="x"/>
    <s v="x"/>
    <s v="x"/>
    <s v="x"/>
    <m/>
    <s v="n/a"/>
    <s v="x"/>
    <s v="x"/>
    <s v="Custom - PDM20"/>
    <s v="n/a"/>
    <s v="n/a"/>
    <s v="n/a"/>
    <s v="n/a"/>
    <s v="n/a"/>
    <s v="n/a"/>
    <s v="n/a"/>
    <s v="Raffs07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4"/>
    <m/>
    <m/>
    <m/>
    <m/>
    <m/>
    <x v="7"/>
    <m/>
    <x v="1"/>
  </r>
  <r>
    <n v="133"/>
    <s v="ELEKID"/>
    <m/>
    <x v="12"/>
    <x v="14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LuRocha / Hexx_Vixtar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0"/>
    <s v="Not fully evolved"/>
    <x v="2"/>
  </r>
  <r>
    <n v="134"/>
    <s v="ELECTABUZZ"/>
    <m/>
    <x v="12"/>
    <x v="14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0"/>
    <s v="Not fully evolved"/>
    <x v="0"/>
  </r>
  <r>
    <n v="135"/>
    <s v="ELECTIVIRE"/>
    <m/>
    <x v="12"/>
    <x v="1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x v="60"/>
    <m/>
    <x v="5"/>
  </r>
  <r>
    <n v="136"/>
    <s v="POPPLIO"/>
    <m/>
    <x v="9"/>
    <x v="12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LuRocha / Hexx_Vixtar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1"/>
    <s v="Not fully evolved"/>
    <x v="6"/>
  </r>
  <r>
    <n v="137"/>
    <s v="BRIONNE"/>
    <m/>
    <x v="9"/>
    <x v="12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1"/>
    <s v="Not fully evolved"/>
    <x v="6"/>
  </r>
  <r>
    <n v="138"/>
    <s v="PRIMARINA"/>
    <m/>
    <x v="9"/>
    <x v="12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x v="61"/>
    <m/>
    <x v="6"/>
  </r>
  <r>
    <n v="139"/>
    <s v="SNORUNT"/>
    <m/>
    <x v="6"/>
    <x v="4"/>
    <s v="x"/>
    <s v="x"/>
    <m/>
    <s v="x"/>
    <s v="x"/>
    <s v="x"/>
    <m/>
    <s v="x"/>
    <s v="x"/>
    <s v="x"/>
    <s v="-85/0/0"/>
    <s v="n/a"/>
    <s v="n/a"/>
    <s v="n/a"/>
    <s v="n/a"/>
    <s v="n/a"/>
    <s v="n/a"/>
    <s v="n/a"/>
    <s v="Jos"/>
    <m/>
    <m/>
    <m/>
    <m/>
    <m/>
    <n v="1"/>
    <m/>
    <m/>
    <m/>
    <n v="1"/>
    <m/>
    <m/>
    <m/>
    <m/>
    <m/>
    <m/>
    <m/>
    <m/>
    <m/>
    <m/>
    <n v="1"/>
    <n v="1"/>
    <n v="1"/>
    <m/>
    <m/>
    <m/>
    <n v="1"/>
    <m/>
    <m/>
    <m/>
    <m/>
    <m/>
    <m/>
    <m/>
    <m/>
    <m/>
    <m/>
    <m/>
    <m/>
    <m/>
    <m/>
    <m/>
    <m/>
    <x v="62"/>
    <s v="Not fully evolved"/>
    <x v="3"/>
  </r>
  <r>
    <n v="140"/>
    <s v="GLALIE"/>
    <m/>
    <x v="6"/>
    <x v="10"/>
    <s v="x"/>
    <s v="x"/>
    <s v="x"/>
    <s v="x"/>
    <s v="x"/>
    <s v="x"/>
    <m/>
    <s v="n/a"/>
    <s v="x"/>
    <s v="x"/>
    <s v="-85/0/0"/>
    <s v="x"/>
    <s v="x"/>
    <s v="x"/>
    <s v="x"/>
    <s v="x"/>
    <s v="x"/>
    <s v="x"/>
    <s v="Jos / Raffs07 / Brylark and TheAetherPlayer"/>
    <m/>
    <m/>
    <m/>
    <m/>
    <m/>
    <n v="1"/>
    <m/>
    <m/>
    <m/>
    <n v="1"/>
    <m/>
    <m/>
    <m/>
    <m/>
    <m/>
    <m/>
    <m/>
    <m/>
    <m/>
    <m/>
    <n v="1"/>
    <n v="1"/>
    <n v="1"/>
    <m/>
    <m/>
    <m/>
    <n v="1"/>
    <m/>
    <m/>
    <m/>
    <m/>
    <m/>
    <m/>
    <m/>
    <m/>
    <m/>
    <m/>
    <n v="2"/>
    <m/>
    <m/>
    <m/>
    <m/>
    <m/>
    <x v="63"/>
    <m/>
    <x v="3"/>
  </r>
  <r>
    <n v="141"/>
    <s v="FROSLASS"/>
    <m/>
    <x v="6"/>
    <x v="2"/>
    <s v="x"/>
    <s v="x"/>
    <s v="x"/>
    <s v="x"/>
    <s v="x"/>
    <s v="x"/>
    <m/>
    <s v="n/a"/>
    <s v="x"/>
    <s v="x"/>
    <s v="-85/0/0"/>
    <s v="x"/>
    <s v="x"/>
    <s v="x"/>
    <s v="x"/>
    <s v="x"/>
    <s v="x"/>
    <s v="x"/>
    <s v="Raffs07"/>
    <m/>
    <m/>
    <m/>
    <m/>
    <m/>
    <n v="1"/>
    <m/>
    <m/>
    <m/>
    <n v="1"/>
    <m/>
    <m/>
    <m/>
    <m/>
    <m/>
    <m/>
    <m/>
    <m/>
    <m/>
    <m/>
    <n v="1"/>
    <n v="1"/>
    <n v="1"/>
    <m/>
    <m/>
    <m/>
    <n v="1"/>
    <m/>
    <m/>
    <m/>
    <m/>
    <m/>
    <m/>
    <m/>
    <m/>
    <m/>
    <m/>
    <n v="1"/>
    <n v="1"/>
    <n v="1"/>
    <m/>
    <m/>
    <m/>
    <x v="64"/>
    <m/>
    <x v="5"/>
  </r>
  <r>
    <n v="142"/>
    <s v="MAGBY"/>
    <m/>
    <x v="1"/>
    <x v="16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LuRocha / Hexx_Vixtar"/>
    <m/>
    <m/>
    <m/>
    <m/>
    <m/>
    <m/>
    <m/>
    <m/>
    <m/>
    <m/>
    <m/>
    <m/>
    <m/>
    <n v="1"/>
    <n v="1"/>
    <n v="1"/>
    <m/>
    <m/>
    <n v="1"/>
    <n v="1"/>
    <m/>
    <m/>
    <m/>
    <m/>
    <m/>
    <m/>
    <m/>
    <m/>
    <m/>
    <m/>
    <m/>
    <m/>
    <m/>
    <m/>
    <m/>
    <m/>
    <m/>
    <m/>
    <m/>
    <m/>
    <m/>
    <m/>
    <m/>
    <x v="65"/>
    <s v="Not fully evolved"/>
    <x v="2"/>
  </r>
  <r>
    <n v="143"/>
    <s v="MAGMAR"/>
    <m/>
    <x v="1"/>
    <x v="16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m/>
    <m/>
    <m/>
    <m/>
    <m/>
    <m/>
    <m/>
    <m/>
    <m/>
    <m/>
    <m/>
    <m/>
    <n v="1"/>
    <n v="1"/>
    <n v="1"/>
    <m/>
    <m/>
    <n v="1"/>
    <n v="1"/>
    <m/>
    <m/>
    <m/>
    <m/>
    <m/>
    <m/>
    <m/>
    <m/>
    <m/>
    <m/>
    <m/>
    <m/>
    <m/>
    <m/>
    <m/>
    <m/>
    <m/>
    <n v="2"/>
    <m/>
    <m/>
    <m/>
    <m/>
    <m/>
    <x v="65"/>
    <s v="Not fully evolved"/>
    <x v="0"/>
  </r>
  <r>
    <n v="144"/>
    <s v="MAGMORTAR"/>
    <m/>
    <x v="1"/>
    <x v="16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m/>
    <m/>
    <m/>
    <m/>
    <m/>
    <m/>
    <m/>
    <m/>
    <m/>
    <m/>
    <m/>
    <m/>
    <n v="1"/>
    <n v="1"/>
    <n v="1"/>
    <m/>
    <m/>
    <n v="1"/>
    <n v="1"/>
    <m/>
    <m/>
    <m/>
    <m/>
    <m/>
    <m/>
    <m/>
    <m/>
    <m/>
    <m/>
    <m/>
    <m/>
    <m/>
    <m/>
    <m/>
    <m/>
    <m/>
    <n v="2"/>
    <m/>
    <m/>
    <m/>
    <m/>
    <m/>
    <x v="65"/>
    <m/>
    <x v="5"/>
  </r>
  <r>
    <n v="145"/>
    <s v="EXEGGCUTE"/>
    <m/>
    <x v="7"/>
    <x v="0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Agentbla"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x v="66"/>
    <s v="Not fully evolved"/>
    <x v="0"/>
  </r>
  <r>
    <n v="146"/>
    <s v="EXEGGUTOR"/>
    <m/>
    <x v="7"/>
    <x v="0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Agentbla"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n v="4"/>
    <n v="6"/>
    <m/>
    <m/>
    <m/>
    <m/>
    <x v="66"/>
    <m/>
    <x v="0"/>
  </r>
  <r>
    <n v="147"/>
    <s v="JOLTIK"/>
    <m/>
    <x v="12"/>
    <x v="10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n v="1"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x v="67"/>
    <s v="Not fully evolved"/>
    <x v="1"/>
  </r>
  <r>
    <n v="148"/>
    <s v="GALVANTULA"/>
    <m/>
    <x v="12"/>
    <x v="10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n v="1"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n v="1"/>
    <m/>
    <m/>
    <m/>
    <m/>
    <m/>
    <x v="67"/>
    <m/>
    <x v="1"/>
  </r>
  <r>
    <n v="149"/>
    <s v="GRIMER"/>
    <m/>
    <x v="9"/>
    <x v="15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Zeta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68"/>
    <s v="Not fully evolved"/>
    <x v="0"/>
  </r>
  <r>
    <n v="150"/>
    <s v="MUK"/>
    <m/>
    <x v="9"/>
    <x v="15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Zeta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2"/>
    <m/>
    <m/>
    <m/>
    <m/>
    <m/>
    <x v="68"/>
    <m/>
    <x v="0"/>
  </r>
  <r>
    <n v="151"/>
    <s v="CHIMCHAR"/>
    <m/>
    <x v="7"/>
    <x v="14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LuRocha / Hexx_Vixtar"/>
    <m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69"/>
    <s v="Not fully evolved"/>
    <x v="5"/>
  </r>
  <r>
    <n v="152"/>
    <s v="MONFERNO"/>
    <m/>
    <x v="7"/>
    <x v="14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69"/>
    <s v="Not fully evolved"/>
    <x v="5"/>
  </r>
  <r>
    <n v="153"/>
    <s v="INFERNAPE"/>
    <m/>
    <x v="7"/>
    <x v="14"/>
    <s v="x"/>
    <s v="x"/>
    <s v="x"/>
    <s v="x"/>
    <s v="x"/>
    <s v="x"/>
    <m/>
    <s v="n/a"/>
    <s v="x"/>
    <s v="x"/>
    <s v="Don't remember hue shift"/>
    <s v="x"/>
    <s v="x"/>
    <s v="x"/>
    <s v="x"/>
    <s v="x"/>
    <s v="x"/>
    <s v="x"/>
    <s v="LuRocha / Hexx_Vixtar"/>
    <m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12"/>
    <n v="6"/>
    <m/>
    <m/>
    <m/>
    <m/>
    <x v="69"/>
    <m/>
    <x v="5"/>
  </r>
  <r>
    <n v="154"/>
    <s v="SABLEYE"/>
    <m/>
    <x v="0"/>
    <x v="10"/>
    <s v="x"/>
    <s v="x"/>
    <s v="x"/>
    <s v="x"/>
    <s v="x"/>
    <s v="x"/>
    <m/>
    <s v="x"/>
    <s v="x"/>
    <s v="x"/>
    <s v="Don't remember hue shift"/>
    <s v="x"/>
    <s v="x"/>
    <s v="x"/>
    <s v="x"/>
    <s v="x"/>
    <s v="x"/>
    <s v="x"/>
    <s v="Jos"/>
    <m/>
    <m/>
    <m/>
    <m/>
    <m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n v="3"/>
    <m/>
    <m/>
    <m/>
    <m/>
    <m/>
    <x v="70"/>
    <m/>
    <x v="3"/>
  </r>
  <r>
    <n v="155"/>
    <s v="CUBCHOO"/>
    <m/>
    <x v="17"/>
    <x v="4"/>
    <s v="x"/>
    <s v="x"/>
    <m/>
    <s v="x"/>
    <s v="x"/>
    <s v="x"/>
    <s v="x"/>
    <s v="n/a"/>
    <s v="x"/>
    <s v="x"/>
    <s v="Custom"/>
    <s v="n/a"/>
    <s v="n/a"/>
    <s v="n/a"/>
    <s v="n/a"/>
    <s v="n/a"/>
    <s v="n/a"/>
    <s v="n/a"/>
    <s v="Jos"/>
    <m/>
    <n v="1"/>
    <n v="1"/>
    <m/>
    <m/>
    <n v="1"/>
    <m/>
    <m/>
    <m/>
    <m/>
    <m/>
    <m/>
    <m/>
    <m/>
    <m/>
    <m/>
    <n v="1"/>
    <n v="1"/>
    <n v="1"/>
    <n v="1"/>
    <m/>
    <m/>
    <m/>
    <m/>
    <m/>
    <n v="1"/>
    <n v="1"/>
    <m/>
    <m/>
    <m/>
    <m/>
    <m/>
    <m/>
    <m/>
    <m/>
    <m/>
    <m/>
    <m/>
    <m/>
    <m/>
    <m/>
    <m/>
    <m/>
    <x v="71"/>
    <s v="Not fully evolved"/>
    <x v="1"/>
  </r>
  <r>
    <n v="156"/>
    <s v="BEARTIC"/>
    <m/>
    <x v="17"/>
    <x v="4"/>
    <s v="x"/>
    <s v="x"/>
    <s v="x"/>
    <s v="x"/>
    <s v="x"/>
    <s v="x"/>
    <m/>
    <s v="x"/>
    <s v="x"/>
    <s v="x"/>
    <s v="Custom"/>
    <s v="x"/>
    <s v="x"/>
    <s v="x"/>
    <s v="x"/>
    <s v="x"/>
    <s v="x"/>
    <s v="x"/>
    <s v="Raffs07"/>
    <m/>
    <n v="1"/>
    <n v="1"/>
    <m/>
    <m/>
    <n v="1"/>
    <m/>
    <m/>
    <m/>
    <m/>
    <m/>
    <m/>
    <m/>
    <m/>
    <m/>
    <m/>
    <n v="1"/>
    <n v="1"/>
    <n v="1"/>
    <n v="1"/>
    <m/>
    <m/>
    <m/>
    <m/>
    <m/>
    <n v="1"/>
    <n v="1"/>
    <m/>
    <m/>
    <m/>
    <m/>
    <m/>
    <m/>
    <m/>
    <m/>
    <m/>
    <m/>
    <n v="2"/>
    <m/>
    <m/>
    <m/>
    <m/>
    <m/>
    <x v="71"/>
    <m/>
    <x v="1"/>
  </r>
  <r>
    <n v="157"/>
    <s v="TREECKO"/>
    <m/>
    <x v="12"/>
    <x v="17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LuRocha / Hexx_Vixtar"/>
    <m/>
    <m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72"/>
    <s v="Not fully evolved"/>
    <x v="3"/>
  </r>
  <r>
    <n v="158"/>
    <s v="GROVYLE"/>
    <m/>
    <x v="12"/>
    <x v="17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m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72"/>
    <s v="Not fully evolved"/>
    <x v="3"/>
  </r>
  <r>
    <n v="159"/>
    <s v="SCEPTILE"/>
    <m/>
    <x v="12"/>
    <x v="17"/>
    <s v="x"/>
    <s v="x"/>
    <s v="x"/>
    <s v="x"/>
    <s v="x"/>
    <s v="x"/>
    <m/>
    <s v="n/a"/>
    <s v="x"/>
    <s v="x"/>
    <s v="Don't remember hue shift"/>
    <s v="x"/>
    <s v="x"/>
    <s v="x"/>
    <s v="x"/>
    <s v="x"/>
    <s v="x"/>
    <s v="x"/>
    <s v="LuRocha / Hexx_Vixtar / PDM20 (Mega) / Boro"/>
    <m/>
    <m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10"/>
    <n v="5"/>
    <m/>
    <m/>
    <m/>
    <m/>
    <x v="72"/>
    <m/>
    <x v="3"/>
  </r>
  <r>
    <n v="160"/>
    <s v="LARVITAR"/>
    <m/>
    <x v="8"/>
    <x v="17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73"/>
    <s v="Not fully evolved"/>
    <x v="2"/>
  </r>
  <r>
    <n v="161"/>
    <s v="PUPITAR"/>
    <m/>
    <x v="8"/>
    <x v="17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73"/>
    <s v="Not fully evolved"/>
    <x v="2"/>
  </r>
  <r>
    <n v="162"/>
    <s v="TYRANITAR"/>
    <m/>
    <x v="8"/>
    <x v="17"/>
    <s v="x"/>
    <s v="x"/>
    <s v="x"/>
    <s v="x"/>
    <s v="x"/>
    <s v="x"/>
    <m/>
    <s v="n/a"/>
    <s v="x"/>
    <s v="x"/>
    <s v="Don't remember hue shift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5"/>
    <n v="6"/>
    <m/>
    <m/>
    <m/>
    <m/>
    <x v="73"/>
    <m/>
    <x v="2"/>
  </r>
  <r>
    <n v="163"/>
    <s v="HIPPOPOTAS"/>
    <m/>
    <x v="9"/>
    <x v="6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"/>
    <m/>
    <m/>
    <m/>
    <n v="1"/>
    <n v="1"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2"/>
    <s v="Not fully evolved"/>
    <x v="5"/>
  </r>
  <r>
    <n v="164"/>
    <s v="HIPPOWDON"/>
    <m/>
    <x v="9"/>
    <x v="6"/>
    <s v="x"/>
    <s v="x"/>
    <s v="x"/>
    <s v="x"/>
    <s v="x"/>
    <s v="x"/>
    <m/>
    <s v="n/a"/>
    <s v="x"/>
    <s v="x"/>
    <s v="Don't remember hue shift"/>
    <s v="x"/>
    <s v="x"/>
    <s v="x"/>
    <s v="x"/>
    <s v="x"/>
    <s v="x"/>
    <s v="x"/>
    <s v="Jos"/>
    <m/>
    <m/>
    <m/>
    <n v="1"/>
    <n v="1"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n v="4"/>
    <n v="3"/>
    <m/>
    <m/>
    <m/>
    <m/>
    <x v="32"/>
    <m/>
    <x v="5"/>
  </r>
  <r>
    <n v="165"/>
    <s v="BRONZOR"/>
    <m/>
    <x v="9"/>
    <x v="3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Plates of Arceus / Jos"/>
    <m/>
    <m/>
    <m/>
    <n v="1"/>
    <n v="1"/>
    <m/>
    <m/>
    <m/>
    <n v="1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74"/>
    <s v="Not fully evolved"/>
    <x v="5"/>
  </r>
  <r>
    <n v="166"/>
    <s v="BRONZONG"/>
    <m/>
    <x v="9"/>
    <x v="3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Plates of Arceus / Jos"/>
    <m/>
    <m/>
    <m/>
    <n v="1"/>
    <n v="1"/>
    <m/>
    <m/>
    <m/>
    <n v="1"/>
    <m/>
    <m/>
    <m/>
    <m/>
    <m/>
    <m/>
    <m/>
    <m/>
    <m/>
    <m/>
    <m/>
    <m/>
    <m/>
    <m/>
    <m/>
    <m/>
    <m/>
    <m/>
    <n v="1"/>
    <m/>
    <m/>
    <m/>
    <m/>
    <m/>
    <m/>
    <m/>
    <m/>
    <m/>
    <n v="3"/>
    <n v="1"/>
    <n v="1"/>
    <m/>
    <m/>
    <m/>
    <x v="74"/>
    <m/>
    <x v="5"/>
  </r>
  <r>
    <n v="167"/>
    <s v="SWIRLIX"/>
    <m/>
    <x v="18"/>
    <x v="19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/Boro"/>
    <m/>
    <n v="1"/>
    <n v="1"/>
    <m/>
    <m/>
    <m/>
    <m/>
    <m/>
    <n v="1"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m/>
    <m/>
    <m/>
    <m/>
    <x v="75"/>
    <s v="Not fully evolved"/>
    <x v="4"/>
  </r>
  <r>
    <n v="168"/>
    <s v="SLURPUFF"/>
    <m/>
    <x v="18"/>
    <x v="19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/Boro"/>
    <m/>
    <n v="1"/>
    <n v="1"/>
    <m/>
    <m/>
    <m/>
    <m/>
    <m/>
    <n v="1"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m/>
    <m/>
    <m/>
    <m/>
    <x v="75"/>
    <m/>
    <x v="4"/>
  </r>
  <r>
    <n v="169"/>
    <s v="MAREEP"/>
    <m/>
    <x v="15"/>
    <x v="2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"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76"/>
    <s v="Not fully evolved"/>
    <x v="2"/>
  </r>
  <r>
    <n v="170"/>
    <s v="FLAAFFY"/>
    <m/>
    <x v="15"/>
    <x v="2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76"/>
    <s v="Not fully evolved"/>
    <x v="2"/>
  </r>
  <r>
    <n v="171"/>
    <s v="AMPHAROS"/>
    <m/>
    <x v="15"/>
    <x v="2"/>
    <s v="x"/>
    <s v="x"/>
    <s v="x"/>
    <s v="x"/>
    <s v="x"/>
    <s v="x"/>
    <m/>
    <s v="n/a"/>
    <s v="x"/>
    <s v="x"/>
    <s v="Don't remember hue shift"/>
    <s v="x"/>
    <s v="x"/>
    <s v="x"/>
    <s v="x"/>
    <s v="x"/>
    <s v="x"/>
    <s v="x"/>
    <s v="Escav"/>
    <m/>
    <n v="1"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8"/>
    <n v="4"/>
    <m/>
    <m/>
    <m/>
    <m/>
    <x v="76"/>
    <m/>
    <x v="2"/>
  </r>
  <r>
    <n v="172"/>
    <s v="SWABLU"/>
    <m/>
    <x v="5"/>
    <x v="17"/>
    <s v="x"/>
    <s v="x"/>
    <m/>
    <s v="x"/>
    <s v="x"/>
    <s v="x"/>
    <s v="Need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n v="1"/>
    <n v="1"/>
    <n v="1"/>
    <n v="1"/>
    <m/>
    <m/>
    <m/>
    <m/>
    <m/>
    <m/>
    <m/>
    <m/>
    <m/>
    <m/>
    <m/>
    <m/>
    <m/>
    <m/>
    <m/>
    <m/>
    <x v="77"/>
    <s v="Not fully evolved"/>
    <x v="3"/>
  </r>
  <r>
    <n v="173"/>
    <s v="ALTARIA"/>
    <m/>
    <x v="5"/>
    <x v="17"/>
    <s v="x"/>
    <s v="x"/>
    <s v="x"/>
    <s v="x"/>
    <s v="x"/>
    <s v="x"/>
    <m/>
    <s v="n/a"/>
    <s v="x"/>
    <s v="x"/>
    <s v="Don't remember hue shift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n v="1"/>
    <m/>
    <m/>
    <n v="1"/>
    <n v="1"/>
    <n v="1"/>
    <n v="1"/>
    <m/>
    <m/>
    <m/>
    <m/>
    <m/>
    <m/>
    <m/>
    <m/>
    <m/>
    <m/>
    <n v="1"/>
    <m/>
    <n v="1"/>
    <m/>
    <m/>
    <m/>
    <x v="77"/>
    <m/>
    <x v="3"/>
  </r>
  <r>
    <n v="174"/>
    <s v="ABRA"/>
    <m/>
    <x v="19"/>
    <x v="20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LuRocha / Hexx_Vixtar"/>
    <m/>
    <n v="1"/>
    <m/>
    <m/>
    <m/>
    <m/>
    <m/>
    <m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78"/>
    <s v="Not fully evolved"/>
    <x v="0"/>
  </r>
  <r>
    <n v="175"/>
    <s v="KADABRA"/>
    <m/>
    <x v="19"/>
    <x v="20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n v="1"/>
    <m/>
    <m/>
    <m/>
    <m/>
    <m/>
    <m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78"/>
    <s v="Not fully evolved"/>
    <x v="0"/>
  </r>
  <r>
    <n v="176"/>
    <s v="ALAKAZAM"/>
    <m/>
    <x v="19"/>
    <x v="20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n v="1"/>
    <m/>
    <m/>
    <m/>
    <m/>
    <m/>
    <m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n v="7"/>
    <m/>
    <m/>
    <m/>
    <m/>
    <m/>
    <x v="78"/>
    <m/>
    <x v="0"/>
  </r>
  <r>
    <n v="177"/>
    <s v="VENIPEDE"/>
    <m/>
    <x v="12"/>
    <x v="13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Endless"/>
    <m/>
    <m/>
    <m/>
    <m/>
    <m/>
    <m/>
    <n v="1"/>
    <n v="1"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x v="79"/>
    <s v="Not fully evolved"/>
    <x v="1"/>
  </r>
  <r>
    <n v="178"/>
    <s v="WHIRLIPEDE"/>
    <m/>
    <x v="8"/>
    <x v="13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Endless"/>
    <m/>
    <m/>
    <m/>
    <m/>
    <m/>
    <m/>
    <n v="1"/>
    <n v="1"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x v="80"/>
    <s v="Not fully evolved"/>
    <x v="1"/>
  </r>
  <r>
    <n v="179"/>
    <s v="SCOLIPEDE"/>
    <m/>
    <x v="8"/>
    <x v="13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Endless"/>
    <m/>
    <m/>
    <m/>
    <m/>
    <m/>
    <m/>
    <n v="1"/>
    <n v="1"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n v="5"/>
    <n v="1"/>
    <m/>
    <m/>
    <m/>
    <m/>
    <x v="80"/>
    <m/>
    <x v="1"/>
  </r>
  <r>
    <n v="180"/>
    <s v="HERACROSS"/>
    <m/>
    <x v="12"/>
    <x v="15"/>
    <s v="x"/>
    <s v="x"/>
    <s v="x"/>
    <s v="x"/>
    <s v="x"/>
    <s v="x"/>
    <m/>
    <s v="x"/>
    <s v="x"/>
    <s v="x"/>
    <s v="Don't remember hue shift"/>
    <s v="x"/>
    <s v="x"/>
    <s v="x"/>
    <s v="x"/>
    <s v="x"/>
    <s v="x"/>
    <s v="x"/>
    <s v="Jos"/>
    <m/>
    <m/>
    <m/>
    <m/>
    <m/>
    <m/>
    <n v="1"/>
    <n v="1"/>
    <n v="1"/>
    <m/>
    <m/>
    <m/>
    <m/>
    <m/>
    <m/>
    <m/>
    <m/>
    <m/>
    <m/>
    <m/>
    <m/>
    <m/>
    <m/>
    <m/>
    <m/>
    <m/>
    <n v="1"/>
    <m/>
    <m/>
    <m/>
    <m/>
    <m/>
    <m/>
    <m/>
    <m/>
    <m/>
    <m/>
    <n v="1"/>
    <n v="1"/>
    <m/>
    <m/>
    <m/>
    <m/>
    <x v="81"/>
    <m/>
    <x v="2"/>
  </r>
  <r>
    <n v="181"/>
    <s v="TEDDIURSA"/>
    <m/>
    <x v="6"/>
    <x v="13"/>
    <s v="x"/>
    <s v="x"/>
    <m/>
    <s v="x"/>
    <s v="x"/>
    <s v="x"/>
    <s v="x"/>
    <s v="x"/>
    <s v="x"/>
    <s v="x"/>
    <s v="90/0/10"/>
    <s v="n/a"/>
    <s v="n/a"/>
    <s v="n/a"/>
    <s v="n/a"/>
    <s v="n/a"/>
    <s v="n/a"/>
    <s v="n/a"/>
    <s v="Jos"/>
    <m/>
    <n v="1"/>
    <m/>
    <m/>
    <m/>
    <n v="1"/>
    <m/>
    <m/>
    <n v="1"/>
    <m/>
    <m/>
    <m/>
    <m/>
    <m/>
    <m/>
    <m/>
    <n v="1"/>
    <m/>
    <m/>
    <n v="1"/>
    <m/>
    <m/>
    <n v="1"/>
    <m/>
    <m/>
    <n v="1"/>
    <n v="1"/>
    <m/>
    <m/>
    <m/>
    <m/>
    <m/>
    <m/>
    <m/>
    <m/>
    <m/>
    <m/>
    <m/>
    <m/>
    <m/>
    <m/>
    <m/>
    <m/>
    <x v="82"/>
    <s v="Not fully evolved"/>
    <x v="2"/>
  </r>
  <r>
    <n v="182"/>
    <s v="URSARING"/>
    <m/>
    <x v="6"/>
    <x v="13"/>
    <s v="x"/>
    <s v="x"/>
    <s v="x"/>
    <s v="x"/>
    <s v="x"/>
    <s v="x"/>
    <m/>
    <s v="n/a"/>
    <s v="x"/>
    <s v="x"/>
    <s v="90/0/10"/>
    <s v="n/a"/>
    <s v="n/a"/>
    <s v="n/a"/>
    <s v="n/a"/>
    <s v="n/a"/>
    <s v="n/a"/>
    <s v="n/a"/>
    <s v="Jos"/>
    <m/>
    <n v="1"/>
    <m/>
    <m/>
    <m/>
    <n v="1"/>
    <m/>
    <m/>
    <n v="1"/>
    <m/>
    <m/>
    <m/>
    <m/>
    <m/>
    <m/>
    <m/>
    <n v="1"/>
    <m/>
    <m/>
    <n v="1"/>
    <m/>
    <m/>
    <n v="1"/>
    <m/>
    <m/>
    <n v="1"/>
    <n v="1"/>
    <m/>
    <m/>
    <m/>
    <m/>
    <m/>
    <m/>
    <m/>
    <m/>
    <m/>
    <m/>
    <n v="2"/>
    <m/>
    <m/>
    <m/>
    <m/>
    <m/>
    <x v="82"/>
    <m/>
    <x v="2"/>
  </r>
  <r>
    <n v="183"/>
    <s v="PSYDUCK"/>
    <m/>
    <x v="4"/>
    <x v="1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LuRocha / Hexx_Vixtar"/>
    <m/>
    <m/>
    <m/>
    <n v="1"/>
    <n v="1"/>
    <m/>
    <m/>
    <m/>
    <n v="1"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83"/>
    <s v="Not fully evolved"/>
    <x v="0"/>
  </r>
  <r>
    <n v="184"/>
    <s v="GOLDUCK"/>
    <m/>
    <x v="4"/>
    <x v="1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LuRocha / Hexx_Vixtar"/>
    <m/>
    <m/>
    <m/>
    <n v="1"/>
    <n v="1"/>
    <m/>
    <m/>
    <m/>
    <n v="1"/>
    <m/>
    <n v="1"/>
    <m/>
    <m/>
    <m/>
    <m/>
    <m/>
    <m/>
    <m/>
    <m/>
    <m/>
    <m/>
    <m/>
    <m/>
    <m/>
    <m/>
    <m/>
    <m/>
    <n v="1"/>
    <m/>
    <m/>
    <m/>
    <m/>
    <m/>
    <m/>
    <m/>
    <m/>
    <m/>
    <n v="2"/>
    <m/>
    <m/>
    <m/>
    <m/>
    <m/>
    <x v="83"/>
    <m/>
    <x v="0"/>
  </r>
  <r>
    <n v="185"/>
    <s v="DUSKULL"/>
    <m/>
    <x v="0"/>
    <x v="18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x v="84"/>
    <s v="Not fully evolved"/>
    <x v="3"/>
  </r>
  <r>
    <n v="186"/>
    <s v="DUSCLOPS"/>
    <m/>
    <x v="0"/>
    <x v="18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x v="84"/>
    <s v="Not fully evolved"/>
    <x v="3"/>
  </r>
  <r>
    <n v="187"/>
    <s v="DUSKNOIR"/>
    <m/>
    <x v="0"/>
    <x v="18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m/>
    <m/>
    <n v="1"/>
    <n v="1"/>
    <n v="1"/>
    <m/>
    <m/>
    <m/>
    <m/>
    <m/>
    <m/>
    <m/>
    <m/>
    <m/>
    <m/>
    <m/>
    <m/>
    <n v="2"/>
    <m/>
    <m/>
    <m/>
    <m/>
    <m/>
    <x v="84"/>
    <m/>
    <x v="5"/>
  </r>
  <r>
    <n v="188"/>
    <s v="SKITTY"/>
    <m/>
    <x v="6"/>
    <x v="20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m/>
    <n v="1"/>
    <n v="1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x v="85"/>
    <s v="Not fully evolved"/>
    <x v="3"/>
  </r>
  <r>
    <n v="189"/>
    <s v="DELCATTY"/>
    <m/>
    <x v="6"/>
    <x v="20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Jos"/>
    <m/>
    <m/>
    <m/>
    <m/>
    <m/>
    <n v="1"/>
    <m/>
    <m/>
    <n v="1"/>
    <n v="1"/>
    <m/>
    <m/>
    <m/>
    <m/>
    <m/>
    <m/>
    <m/>
    <m/>
    <m/>
    <m/>
    <n v="1"/>
    <n v="1"/>
    <n v="1"/>
    <m/>
    <m/>
    <m/>
    <m/>
    <m/>
    <m/>
    <m/>
    <m/>
    <m/>
    <m/>
    <m/>
    <m/>
    <m/>
    <m/>
    <n v="1"/>
    <n v="1"/>
    <m/>
    <m/>
    <m/>
    <m/>
    <x v="85"/>
    <m/>
    <x v="3"/>
  </r>
  <r>
    <n v="190"/>
    <s v="EEVEE2"/>
    <m/>
    <x v="6"/>
    <x v="4"/>
    <s v="x"/>
    <s v="x"/>
    <m/>
    <s v="x"/>
    <s v="x"/>
    <s v="x"/>
    <s v="x"/>
    <s v="x"/>
    <s v="x"/>
    <s v="x"/>
    <s v="Don't remember hue shift"/>
    <s v="n/a"/>
    <s v="n/a"/>
    <s v="n/a"/>
    <s v="n/a"/>
    <s v="n/a"/>
    <s v="n/a"/>
    <s v="n/a"/>
    <s v="Hexx_Vixtar"/>
    <m/>
    <m/>
    <m/>
    <m/>
    <m/>
    <m/>
    <m/>
    <m/>
    <m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62"/>
    <s v="Not fully evolved"/>
    <x v="0"/>
  </r>
  <r>
    <n v="191"/>
    <s v="VAPOREON"/>
    <m/>
    <x v="4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Hexx_Vixtar"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"/>
    <m/>
    <m/>
    <m/>
    <m/>
    <x v="17"/>
    <m/>
    <x v="0"/>
  </r>
  <r>
    <n v="192"/>
    <s v="JOLTEON"/>
    <m/>
    <x v="18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n v="1"/>
    <m/>
    <m/>
    <m/>
    <m/>
    <m/>
    <m/>
    <n v="1"/>
    <m/>
    <m/>
    <m/>
    <m/>
    <m/>
    <m/>
    <m/>
    <m/>
    <m/>
    <m/>
    <m/>
    <n v="6"/>
    <n v="3"/>
    <n v="1"/>
    <m/>
    <m/>
    <m/>
    <x v="86"/>
    <m/>
    <x v="0"/>
  </r>
  <r>
    <n v="193"/>
    <s v="FLAREON"/>
    <m/>
    <x v="8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2"/>
    <m/>
    <m/>
    <m/>
    <m/>
    <m/>
    <x v="40"/>
    <m/>
    <x v="0"/>
  </r>
  <r>
    <n v="194"/>
    <s v="ESPEON"/>
    <m/>
    <x v="5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4"/>
    <m/>
    <m/>
    <m/>
    <m/>
    <m/>
    <x v="7"/>
    <m/>
    <x v="2"/>
  </r>
  <r>
    <n v="195"/>
    <s v="UMBREON"/>
    <m/>
    <x v="19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Hexx_Vixtar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n v="6"/>
    <n v="1"/>
    <m/>
    <m/>
    <m/>
    <m/>
    <x v="87"/>
    <m/>
    <x v="2"/>
  </r>
  <r>
    <n v="196"/>
    <s v="LEAFEON"/>
    <m/>
    <x v="12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Hexx_Vixtar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4"/>
    <n v="3"/>
    <m/>
    <m/>
    <m/>
    <m/>
    <x v="88"/>
    <m/>
    <x v="5"/>
  </r>
  <r>
    <n v="197"/>
    <s v="GLACEON"/>
    <m/>
    <x v="13"/>
    <x v="4"/>
    <s v="x"/>
    <s v="x"/>
    <s v="x"/>
    <s v="x"/>
    <s v="x"/>
    <s v="x"/>
    <s v="x"/>
    <s v="n/a"/>
    <s v="x"/>
    <s v="x"/>
    <s v="Don't remember hue shift"/>
    <s v="n/a"/>
    <s v="n/a"/>
    <s v="n/a"/>
    <s v="n/a"/>
    <s v="n/a"/>
    <s v="n/a"/>
    <s v="n/a"/>
    <s v="Hexx_Vixtar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x v="27"/>
    <m/>
    <x v="5"/>
  </r>
  <r>
    <n v="198"/>
    <s v="SYLVEON"/>
    <m/>
    <x v="14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Hexx_Vixtar"/>
    <m/>
    <m/>
    <m/>
    <m/>
    <m/>
    <m/>
    <m/>
    <m/>
    <n v="1"/>
    <m/>
    <m/>
    <m/>
    <m/>
    <m/>
    <m/>
    <m/>
    <m/>
    <m/>
    <m/>
    <m/>
    <m/>
    <m/>
    <n v="1"/>
    <m/>
    <m/>
    <n v="1"/>
    <n v="1"/>
    <m/>
    <m/>
    <m/>
    <m/>
    <m/>
    <m/>
    <m/>
    <m/>
    <m/>
    <m/>
    <n v="5"/>
    <n v="1"/>
    <n v="1"/>
    <m/>
    <m/>
    <m/>
    <x v="89"/>
    <m/>
    <x v="4"/>
  </r>
  <r>
    <n v="199"/>
    <s v="DEERLING"/>
    <m/>
    <x v="17"/>
    <x v="11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90"/>
    <s v="Not fully evolved"/>
    <x v="1"/>
  </r>
  <r>
    <n v="200"/>
    <s v="SAWSBUCK"/>
    <m/>
    <x v="17"/>
    <x v="11"/>
    <s v="x"/>
    <s v="x"/>
    <s v="x"/>
    <s v="x"/>
    <s v="x"/>
    <s v="x"/>
    <m/>
    <s v="n/a"/>
    <s v="x"/>
    <s v="x"/>
    <s v="180/0/0"/>
    <s v="x"/>
    <s v="x"/>
    <s v="x"/>
    <s v="x"/>
    <s v="x"/>
    <s v="x"/>
    <s v="x"/>
    <s v="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1"/>
    <m/>
    <m/>
    <m/>
    <m/>
    <x v="90"/>
    <m/>
    <x v="1"/>
  </r>
  <r>
    <n v="201"/>
    <s v="ARON"/>
    <m/>
    <x v="12"/>
    <x v="3"/>
    <s v="x"/>
    <s v="x"/>
    <m/>
    <s v="x"/>
    <s v="x"/>
    <s v="x"/>
    <s v="x"/>
    <s v="x"/>
    <s v="x"/>
    <s v="x"/>
    <s v="-120/-2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91"/>
    <s v="Not fully evolved"/>
    <x v="3"/>
  </r>
  <r>
    <n v="202"/>
    <s v="LAIRON"/>
    <m/>
    <x v="12"/>
    <x v="3"/>
    <s v="x"/>
    <s v="x"/>
    <m/>
    <s v="x"/>
    <s v="x"/>
    <s v="x"/>
    <m/>
    <s v="n/a"/>
    <s v="x"/>
    <s v="x"/>
    <s v="-120/-2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91"/>
    <s v="Not fully evolved"/>
    <x v="3"/>
  </r>
  <r>
    <n v="203"/>
    <s v="AGGRON"/>
    <m/>
    <x v="12"/>
    <x v="3"/>
    <s v="x"/>
    <s v="x"/>
    <s v="x"/>
    <s v="x"/>
    <s v="x"/>
    <s v="x"/>
    <s v="x"/>
    <s v="n/a"/>
    <s v="x"/>
    <s v="x"/>
    <s v="-120/-20/0"/>
    <s v="x"/>
    <s v="x"/>
    <s v="x"/>
    <s v="x"/>
    <s v="x"/>
    <s v="x"/>
    <s v="x"/>
    <s v="Jos"/>
    <m/>
    <m/>
    <m/>
    <m/>
    <m/>
    <n v="1"/>
    <m/>
    <m/>
    <m/>
    <m/>
    <m/>
    <m/>
    <m/>
    <m/>
    <m/>
    <m/>
    <m/>
    <m/>
    <m/>
    <m/>
    <m/>
    <m/>
    <m/>
    <n v="1"/>
    <m/>
    <n v="1"/>
    <n v="1"/>
    <m/>
    <m/>
    <m/>
    <m/>
    <m/>
    <m/>
    <m/>
    <m/>
    <m/>
    <m/>
    <n v="5"/>
    <n v="3"/>
    <m/>
    <m/>
    <m/>
    <m/>
    <x v="91"/>
    <m/>
    <x v="3"/>
  </r>
  <r>
    <n v="204"/>
    <s v="SHELLOS"/>
    <m/>
    <x v="14"/>
    <x v="20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CrystalStar / PDM20"/>
    <m/>
    <n v="1"/>
    <n v="1"/>
    <n v="1"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n v="1"/>
    <m/>
    <m/>
    <m/>
    <m/>
    <x v="92"/>
    <s v="Not fully evolved"/>
    <x v="5"/>
  </r>
  <r>
    <n v="205"/>
    <s v="GASTRODON"/>
    <m/>
    <x v="14"/>
    <x v="20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CrystalStar / PDM20"/>
    <m/>
    <n v="1"/>
    <n v="1"/>
    <n v="1"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n v="1"/>
    <m/>
    <m/>
    <m/>
    <m/>
    <m/>
    <x v="92"/>
    <m/>
    <x v="5"/>
  </r>
  <r>
    <s v="x"/>
    <s v="SHELLOS"/>
    <s v="Horsea / Seadra"/>
    <x v="14"/>
    <x v="6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CrystalStar / PDM20"/>
    <m/>
    <m/>
    <m/>
    <m/>
    <m/>
    <m/>
    <m/>
    <m/>
    <m/>
    <m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93"/>
    <s v="Not fully evolved"/>
    <x v="7"/>
  </r>
  <r>
    <s v="x"/>
    <s v="GASTRODON"/>
    <s v="Horsea / Seadra"/>
    <x v="14"/>
    <x v="6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CrystalStar / PDM20"/>
    <m/>
    <m/>
    <m/>
    <m/>
    <m/>
    <m/>
    <m/>
    <m/>
    <m/>
    <m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93"/>
    <m/>
    <x v="7"/>
  </r>
  <r>
    <s v="x"/>
    <s v="SHELLOS"/>
    <s v="Axew / Haxorus"/>
    <x v="14"/>
    <x v="5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PDM20"/>
    <m/>
    <m/>
    <m/>
    <m/>
    <m/>
    <n v="1"/>
    <n v="1"/>
    <m/>
    <m/>
    <m/>
    <m/>
    <m/>
    <m/>
    <m/>
    <m/>
    <m/>
    <m/>
    <m/>
    <m/>
    <m/>
    <m/>
    <m/>
    <m/>
    <n v="1"/>
    <m/>
    <n v="1"/>
    <n v="1"/>
    <m/>
    <m/>
    <m/>
    <m/>
    <m/>
    <m/>
    <m/>
    <m/>
    <m/>
    <m/>
    <m/>
    <n v="1"/>
    <m/>
    <m/>
    <m/>
    <m/>
    <x v="94"/>
    <s v="Not fully evolved"/>
    <x v="7"/>
  </r>
  <r>
    <s v="x"/>
    <s v="GASTRODON"/>
    <s v="Axew / Haxorus"/>
    <x v="14"/>
    <x v="5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PDM20"/>
    <m/>
    <m/>
    <m/>
    <m/>
    <m/>
    <n v="1"/>
    <n v="1"/>
    <m/>
    <m/>
    <m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94"/>
    <m/>
    <x v="7"/>
  </r>
  <r>
    <s v="x"/>
    <s v="SHELLOS"/>
    <s v="Deino / Hydreigon"/>
    <x v="14"/>
    <x v="10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PDM20"/>
    <m/>
    <m/>
    <m/>
    <m/>
    <m/>
    <n v="1"/>
    <m/>
    <m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n v="1"/>
    <m/>
    <m/>
    <m/>
    <m/>
    <x v="95"/>
    <s v="Not fully evolved"/>
    <x v="7"/>
  </r>
  <r>
    <s v="x"/>
    <s v="GASTRODON"/>
    <s v="Deino / Hydreigon"/>
    <x v="14"/>
    <x v="10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PDM20"/>
    <m/>
    <m/>
    <m/>
    <m/>
    <m/>
    <n v="1"/>
    <m/>
    <m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n v="1"/>
    <m/>
    <m/>
    <m/>
    <m/>
    <m/>
    <x v="95"/>
    <m/>
    <x v="7"/>
  </r>
  <r>
    <s v="x"/>
    <s v="SHELLOS"/>
    <s v="Jangmo-o / Kommo-o"/>
    <x v="14"/>
    <x v="14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PDM20"/>
    <m/>
    <m/>
    <m/>
    <m/>
    <m/>
    <n v="1"/>
    <m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48"/>
    <s v="Not fully evolved"/>
    <x v="7"/>
  </r>
  <r>
    <s v="x"/>
    <s v="GASTRODON"/>
    <s v="Jangmo-o / Kommo-o"/>
    <x v="14"/>
    <x v="1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PDM20"/>
    <m/>
    <m/>
    <m/>
    <m/>
    <m/>
    <n v="1"/>
    <m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n v="1"/>
    <m/>
    <m/>
    <m/>
    <m/>
    <m/>
    <x v="48"/>
    <m/>
    <x v="7"/>
  </r>
  <r>
    <s v="x"/>
    <s v="SHELLOS"/>
    <s v="Swablu / Altaria"/>
    <x v="14"/>
    <x v="12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PDM20"/>
    <m/>
    <n v="1"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0"/>
    <s v="Not fully evolved"/>
    <x v="7"/>
  </r>
  <r>
    <s v="x"/>
    <s v="GASTRODON"/>
    <s v="Swablu / Altaria"/>
    <x v="14"/>
    <x v="12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CrystalStar / PDM20"/>
    <m/>
    <n v="1"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x v="30"/>
    <m/>
    <x v="7"/>
  </r>
  <r>
    <s v="x"/>
    <s v="SHELLOS"/>
    <s v="Trapinch / Flygon"/>
    <x v="14"/>
    <x v="21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PDM20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96"/>
    <s v="Not fully evolved"/>
    <x v="7"/>
  </r>
  <r>
    <s v="x"/>
    <s v="GASTRODON"/>
    <s v="Trapinch / Flygon"/>
    <x v="14"/>
    <x v="21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PDM20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96"/>
    <m/>
    <x v="7"/>
  </r>
  <r>
    <s v="x"/>
    <s v="SHELLOS"/>
    <s v="Gible / Garchomp"/>
    <x v="14"/>
    <x v="15"/>
    <s v="x"/>
    <s v="x"/>
    <m/>
    <s v="x"/>
    <s v="x"/>
    <s v="x"/>
    <m/>
    <s v="x"/>
    <s v="x"/>
    <s v="x"/>
    <s v="120/0/0"/>
    <s v="n/a"/>
    <s v="n/a"/>
    <s v="n/a"/>
    <s v="n/a"/>
    <s v="n/a"/>
    <s v="n/a"/>
    <s v="n/a"/>
    <s v="Jos / CrystalStar / PDM20"/>
    <m/>
    <m/>
    <m/>
    <m/>
    <m/>
    <n v="1"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97"/>
    <s v="Not fully evolved"/>
    <x v="7"/>
  </r>
  <r>
    <s v="x"/>
    <s v="GASTRODON"/>
    <s v="Gible / Garchomp"/>
    <x v="14"/>
    <x v="15"/>
    <s v="x"/>
    <s v="x"/>
    <s v="x"/>
    <s v="x"/>
    <s v="x"/>
    <s v="x"/>
    <m/>
    <s v="n/a"/>
    <s v="x"/>
    <s v="x"/>
    <s v="120/0/0"/>
    <s v="n/a"/>
    <s v="n/a"/>
    <s v="n/a"/>
    <s v="n/a"/>
    <s v="n/a"/>
    <s v="n/a"/>
    <s v="n/a"/>
    <s v="Jos / CrystalStar / PDM20"/>
    <m/>
    <m/>
    <m/>
    <m/>
    <m/>
    <n v="1"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97"/>
    <m/>
    <x v="7"/>
  </r>
  <r>
    <s v="x"/>
    <s v="SHELLOS"/>
    <s v="Applin / Flapple"/>
    <x v="14"/>
    <x v="9"/>
    <s v="x"/>
    <s v="x"/>
    <m/>
    <s v="x"/>
    <s v="x"/>
    <s v="x"/>
    <m/>
    <s v="x"/>
    <s v="x"/>
    <s v="x"/>
    <s v="-70/0/0"/>
    <s v="n/a"/>
    <s v="n/a"/>
    <s v="n/a"/>
    <s v="n/a"/>
    <s v="n/a"/>
    <s v="n/a"/>
    <s v="n/a"/>
    <s v="Jos / PDM20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1"/>
    <m/>
    <m/>
    <m/>
    <m/>
    <x v="98"/>
    <s v="Not fully evolved"/>
    <x v="7"/>
  </r>
  <r>
    <s v="x"/>
    <s v="GASTRODON"/>
    <s v="Applin / Flapple"/>
    <x v="14"/>
    <x v="9"/>
    <s v="x"/>
    <s v="x"/>
    <s v="x"/>
    <s v="x"/>
    <s v="x"/>
    <s v="x"/>
    <m/>
    <s v="n/a"/>
    <s v="x"/>
    <s v="x"/>
    <s v="-70/0/0"/>
    <s v="n/a"/>
    <s v="n/a"/>
    <s v="n/a"/>
    <s v="n/a"/>
    <s v="n/a"/>
    <s v="n/a"/>
    <s v="n/a"/>
    <s v="Jos / PDM20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98"/>
    <m/>
    <x v="7"/>
  </r>
  <r>
    <s v="x"/>
    <s v="SHELLOS"/>
    <s v="Dreepy / Dragapult"/>
    <x v="14"/>
    <x v="18"/>
    <s v="x"/>
    <s v="x"/>
    <m/>
    <s v="x"/>
    <s v="x"/>
    <s v="x"/>
    <m/>
    <s v="x"/>
    <s v="x"/>
    <s v="x"/>
    <s v="80/0/0"/>
    <s v="n/a"/>
    <s v="n/a"/>
    <s v="n/a"/>
    <s v="n/a"/>
    <s v="n/a"/>
    <s v="n/a"/>
    <s v="n/a"/>
    <s v="Jos / PDM20"/>
    <m/>
    <m/>
    <m/>
    <m/>
    <m/>
    <n v="1"/>
    <m/>
    <n v="1"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n v="1"/>
    <m/>
    <m/>
    <m/>
    <m/>
    <x v="99"/>
    <s v="Not fully evolved"/>
    <x v="7"/>
  </r>
  <r>
    <s v="x"/>
    <s v="GASTRODON"/>
    <s v="Dreepy / Dragapult"/>
    <x v="14"/>
    <x v="18"/>
    <s v="x"/>
    <s v="x"/>
    <s v="x"/>
    <s v="x"/>
    <s v="x"/>
    <s v="x"/>
    <m/>
    <s v="n/a"/>
    <s v="x"/>
    <s v="x"/>
    <s v="80/0/0"/>
    <s v="n/a"/>
    <s v="n/a"/>
    <s v="n/a"/>
    <s v="n/a"/>
    <s v="n/a"/>
    <s v="n/a"/>
    <s v="n/a"/>
    <s v="Jos / PDM20"/>
    <m/>
    <m/>
    <m/>
    <m/>
    <m/>
    <n v="1"/>
    <m/>
    <n v="1"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99"/>
    <m/>
    <x v="7"/>
  </r>
  <r>
    <s v="x"/>
    <s v="SHELLOS"/>
    <s v="Skrelp / Dragalge"/>
    <x v="14"/>
    <x v="0"/>
    <s v="x"/>
    <s v="x"/>
    <m/>
    <s v="x"/>
    <s v="x"/>
    <s v="x"/>
    <m/>
    <s v="x"/>
    <s v="x"/>
    <s v="x"/>
    <s v="105/0/0"/>
    <s v="n/a"/>
    <s v="n/a"/>
    <s v="n/a"/>
    <s v="n/a"/>
    <s v="n/a"/>
    <s v="n/a"/>
    <s v="n/a"/>
    <s v="Jos / PDM20"/>
    <m/>
    <m/>
    <m/>
    <m/>
    <m/>
    <m/>
    <m/>
    <m/>
    <m/>
    <m/>
    <m/>
    <m/>
    <m/>
    <n v="1"/>
    <n v="1"/>
    <n v="1"/>
    <m/>
    <m/>
    <m/>
    <m/>
    <m/>
    <n v="1"/>
    <m/>
    <m/>
    <m/>
    <m/>
    <m/>
    <m/>
    <m/>
    <m/>
    <m/>
    <m/>
    <m/>
    <m/>
    <m/>
    <m/>
    <m/>
    <m/>
    <n v="1"/>
    <m/>
    <m/>
    <m/>
    <m/>
    <x v="100"/>
    <s v="Not fully evolved"/>
    <x v="7"/>
  </r>
  <r>
    <s v="x"/>
    <s v="GASTRODON"/>
    <s v="Skrelp / Dragalge"/>
    <x v="14"/>
    <x v="0"/>
    <s v="x"/>
    <s v="x"/>
    <s v="x"/>
    <s v="x"/>
    <s v="x"/>
    <s v="x"/>
    <m/>
    <s v="n/a"/>
    <s v="x"/>
    <s v="x"/>
    <s v="105/0/0"/>
    <s v="n/a"/>
    <s v="n/a"/>
    <s v="n/a"/>
    <s v="n/a"/>
    <s v="n/a"/>
    <s v="n/a"/>
    <s v="n/a"/>
    <s v="Jos / PDM20"/>
    <m/>
    <m/>
    <m/>
    <m/>
    <m/>
    <m/>
    <m/>
    <m/>
    <m/>
    <m/>
    <m/>
    <m/>
    <m/>
    <n v="1"/>
    <n v="1"/>
    <n v="1"/>
    <m/>
    <m/>
    <m/>
    <m/>
    <m/>
    <n v="1"/>
    <m/>
    <m/>
    <m/>
    <m/>
    <m/>
    <m/>
    <m/>
    <m/>
    <m/>
    <m/>
    <m/>
    <m/>
    <m/>
    <m/>
    <m/>
    <m/>
    <m/>
    <m/>
    <m/>
    <m/>
    <m/>
    <x v="100"/>
    <m/>
    <x v="7"/>
  </r>
  <r>
    <s v="x"/>
    <s v="SHELLOS"/>
    <s v="Tyrunt / Tyrantrum"/>
    <x v="14"/>
    <x v="3"/>
    <s v="x"/>
    <s v="x"/>
    <m/>
    <s v="x"/>
    <s v="x"/>
    <s v="x"/>
    <m/>
    <s v="x"/>
    <s v="x"/>
    <s v="x"/>
    <s v="-110/0/0"/>
    <s v="n/a"/>
    <s v="n/a"/>
    <s v="n/a"/>
    <s v="n/a"/>
    <s v="n/a"/>
    <s v="n/a"/>
    <s v="n/a"/>
    <s v="Jos / PDM20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01"/>
    <s v="Not fully evolved"/>
    <x v="7"/>
  </r>
  <r>
    <s v="x"/>
    <s v="GASTRODON"/>
    <s v="Tyrunt / Tyrantrum"/>
    <x v="14"/>
    <x v="3"/>
    <s v="x"/>
    <s v="x"/>
    <s v="x"/>
    <s v="x"/>
    <s v="x"/>
    <s v="x"/>
    <m/>
    <s v="n/a"/>
    <s v="x"/>
    <s v="x"/>
    <s v="-110/0/0"/>
    <s v="n/a"/>
    <s v="n/a"/>
    <s v="n/a"/>
    <s v="n/a"/>
    <s v="n/a"/>
    <s v="n/a"/>
    <s v="n/a"/>
    <s v="Jos / PDM20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01"/>
    <m/>
    <x v="7"/>
  </r>
  <r>
    <s v="x"/>
    <s v="SHELLOS"/>
    <s v="Bagon / Salamence"/>
    <x v="14"/>
    <x v="2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PDM20"/>
    <m/>
    <m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42"/>
    <s v="Not fully evolved"/>
    <x v="7"/>
  </r>
  <r>
    <s v="x"/>
    <s v="GASTRODON"/>
    <s v="Bagon / Salamence"/>
    <x v="14"/>
    <x v="2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PDM20"/>
    <m/>
    <m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42"/>
    <m/>
    <x v="7"/>
  </r>
  <r>
    <s v="x"/>
    <s v="SHELLOS"/>
    <s v="Frigibax / Baxcalibur"/>
    <x v="14"/>
    <x v="16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PDM20"/>
    <m/>
    <m/>
    <m/>
    <m/>
    <m/>
    <n v="1"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102"/>
    <s v="Not fully evolved"/>
    <x v="7"/>
  </r>
  <r>
    <s v="x"/>
    <s v="GASTRODON"/>
    <s v="Frigibax / Baxcalibur"/>
    <x v="14"/>
    <x v="16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PDM20"/>
    <m/>
    <m/>
    <m/>
    <m/>
    <m/>
    <n v="1"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102"/>
    <m/>
    <x v="7"/>
  </r>
  <r>
    <n v="206"/>
    <s v="MEOWTH"/>
    <m/>
    <x v="7"/>
    <x v="20"/>
    <s v="x"/>
    <s v="x"/>
    <m/>
    <s v="x"/>
    <s v="x"/>
    <s v="x"/>
    <m/>
    <s v="x"/>
    <s v="x"/>
    <s v="x"/>
    <s v="0/-100/10"/>
    <s v="n/a"/>
    <s v="n/a"/>
    <s v="n/a"/>
    <s v="n/a"/>
    <s v="n/a"/>
    <s v="n/a"/>
    <s v="n/a"/>
    <s v="Jos"/>
    <m/>
    <n v="1"/>
    <m/>
    <m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03"/>
    <s v="Not fully evolved"/>
    <x v="0"/>
  </r>
  <r>
    <n v="207"/>
    <s v="PERSIAN"/>
    <m/>
    <x v="7"/>
    <x v="20"/>
    <s v="x"/>
    <s v="x"/>
    <s v="x"/>
    <s v="x"/>
    <s v="x"/>
    <s v="x"/>
    <s v="x"/>
    <s v="n/a"/>
    <s v="x"/>
    <s v="x"/>
    <s v="0/-100/10"/>
    <s v="n/a"/>
    <s v="n/a"/>
    <s v="n/a"/>
    <s v="n/a"/>
    <s v="n/a"/>
    <s v="n/a"/>
    <s v="n/a"/>
    <s v="Jos"/>
    <m/>
    <n v="1"/>
    <m/>
    <m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03"/>
    <m/>
    <x v="0"/>
  </r>
  <r>
    <n v="208"/>
    <s v="WURMPLE"/>
    <m/>
    <x v="12"/>
    <x v="1"/>
    <s v="x"/>
    <s v="x"/>
    <m/>
    <s v="x"/>
    <s v="x"/>
    <s v="x"/>
    <m/>
    <s v="x"/>
    <s v="x"/>
    <s v="x"/>
    <s v="80/0/0"/>
    <s v="n/a"/>
    <s v="n/a"/>
    <s v="n/a"/>
    <s v="n/a"/>
    <s v="n/a"/>
    <s v="n/a"/>
    <s v="n/a"/>
    <s v="Raffs07/Jos"/>
    <m/>
    <n v="1"/>
    <n v="1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04"/>
    <s v="Not fully evolved"/>
    <x v="3"/>
  </r>
  <r>
    <n v="209"/>
    <s v="SILCOON"/>
    <m/>
    <x v="12"/>
    <x v="1"/>
    <s v="x"/>
    <s v="x"/>
    <m/>
    <s v="x"/>
    <s v="x"/>
    <s v="x"/>
    <m/>
    <s v="n/a"/>
    <s v="x"/>
    <s v="x"/>
    <s v="80/0/0"/>
    <s v="n/a"/>
    <s v="n/a"/>
    <s v="n/a"/>
    <s v="n/a"/>
    <s v="n/a"/>
    <s v="n/a"/>
    <s v="n/a"/>
    <s v="Raffs07/Jos"/>
    <m/>
    <n v="1"/>
    <n v="1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04"/>
    <s v="Not fully evolved"/>
    <x v="3"/>
  </r>
  <r>
    <n v="210"/>
    <s v="BEAUTIFLY"/>
    <m/>
    <x v="12"/>
    <x v="1"/>
    <s v="x"/>
    <s v="x"/>
    <s v="x"/>
    <s v="x"/>
    <s v="x"/>
    <s v="x"/>
    <m/>
    <s v="n/a"/>
    <s v="x"/>
    <s v="x"/>
    <s v="80/0/0"/>
    <s v="n/a"/>
    <s v="n/a"/>
    <s v="n/a"/>
    <s v="n/a"/>
    <s v="n/a"/>
    <s v="n/a"/>
    <s v="n/a"/>
    <s v="Raffs07/Jos"/>
    <m/>
    <n v="1"/>
    <n v="1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1"/>
    <n v="1"/>
    <m/>
    <m/>
    <m/>
    <x v="104"/>
    <m/>
    <x v="3"/>
  </r>
  <r>
    <n v="211"/>
    <s v="WURMPLE2"/>
    <m/>
    <x v="12"/>
    <x v="16"/>
    <s v="x"/>
    <s v="x"/>
    <m/>
    <s v="x"/>
    <s v="x"/>
    <s v="x"/>
    <m/>
    <s v="x"/>
    <s v="x"/>
    <s v="x"/>
    <s v="-80/0/0"/>
    <s v="n/a"/>
    <s v="n/a"/>
    <s v="n/a"/>
    <s v="n/a"/>
    <s v="n/a"/>
    <s v="n/a"/>
    <s v="n/a"/>
    <s v="Raffs07/Jos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105"/>
    <s v="Not fully evolved"/>
    <x v="3"/>
  </r>
  <r>
    <n v="212"/>
    <s v="CASCOON"/>
    <m/>
    <x v="12"/>
    <x v="16"/>
    <s v="x"/>
    <s v="x"/>
    <m/>
    <s v="x"/>
    <s v="x"/>
    <s v="x"/>
    <m/>
    <s v="n/a"/>
    <s v="x"/>
    <s v="x"/>
    <s v="-80/0/0"/>
    <s v="n/a"/>
    <s v="n/a"/>
    <s v="n/a"/>
    <s v="n/a"/>
    <s v="n/a"/>
    <s v="n/a"/>
    <s v="n/a"/>
    <s v="Raffs07/Jos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105"/>
    <s v="Not fully evolved"/>
    <x v="3"/>
  </r>
  <r>
    <n v="213"/>
    <s v="DUSTOX"/>
    <m/>
    <x v="12"/>
    <x v="16"/>
    <s v="x"/>
    <s v="x"/>
    <s v="x"/>
    <s v="x"/>
    <s v="x"/>
    <s v="x"/>
    <m/>
    <s v="n/a"/>
    <s v="x"/>
    <s v="x"/>
    <s v="-80/0/0"/>
    <s v="n/a"/>
    <s v="n/a"/>
    <s v="n/a"/>
    <s v="n/a"/>
    <s v="n/a"/>
    <s v="n/a"/>
    <s v="n/a"/>
    <s v="Raffs07/Jos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1"/>
    <m/>
    <m/>
    <m/>
    <m/>
    <x v="105"/>
    <m/>
    <x v="3"/>
  </r>
  <r>
    <n v="214"/>
    <s v="AIPOM"/>
    <m/>
    <x v="16"/>
    <x v="20"/>
    <s v="x"/>
    <s v="x"/>
    <m/>
    <s v="x"/>
    <s v="x"/>
    <s v="x"/>
    <s v="x"/>
    <s v="x"/>
    <s v="x"/>
    <s v="x"/>
    <s v="-50/0/0 on skin_x000a_-0/-50/-20 on hair"/>
    <s v="n/a"/>
    <s v="n/a"/>
    <s v="n/a"/>
    <s v="n/a"/>
    <s v="n/a"/>
    <s v="n/a"/>
    <s v="n/a"/>
    <s v="Jos"/>
    <m/>
    <n v="1"/>
    <n v="1"/>
    <n v="1"/>
    <n v="1"/>
    <m/>
    <m/>
    <m/>
    <n v="1"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x v="106"/>
    <s v="Not fully evolved"/>
    <x v="2"/>
  </r>
  <r>
    <n v="215"/>
    <s v="AMBIPOM"/>
    <m/>
    <x v="16"/>
    <x v="20"/>
    <s v="x"/>
    <s v="x"/>
    <s v="x"/>
    <s v="x"/>
    <s v="x"/>
    <s v="x"/>
    <m/>
    <s v="n/a"/>
    <s v="x"/>
    <s v="x"/>
    <s v="-50/0/0 on skin_x000a_-0/-50/-20 on hair"/>
    <s v="n/a"/>
    <s v="n/a"/>
    <s v="n/a"/>
    <s v="n/a"/>
    <s v="n/a"/>
    <s v="n/a"/>
    <s v="n/a"/>
    <s v="Jos"/>
    <m/>
    <n v="1"/>
    <n v="1"/>
    <n v="1"/>
    <n v="1"/>
    <m/>
    <m/>
    <m/>
    <n v="1"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x v="106"/>
    <m/>
    <x v="5"/>
  </r>
  <r>
    <n v="216"/>
    <s v="RATTATA"/>
    <m/>
    <x v="17"/>
    <x v="1"/>
    <s v="x"/>
    <s v="x"/>
    <m/>
    <s v="x"/>
    <s v="x"/>
    <s v="x"/>
    <s v="x"/>
    <s v="x"/>
    <s v="x"/>
    <s v="x"/>
    <s v="140/0/0"/>
    <s v="n/a"/>
    <s v="n/a"/>
    <s v="n/a"/>
    <s v="n/a"/>
    <s v="n/a"/>
    <s v="n/a"/>
    <s v="n/a"/>
    <s v="Jos"/>
    <m/>
    <n v="1"/>
    <n v="1"/>
    <n v="1"/>
    <m/>
    <n v="1"/>
    <m/>
    <n v="1"/>
    <n v="1"/>
    <m/>
    <m/>
    <m/>
    <m/>
    <m/>
    <m/>
    <m/>
    <n v="1"/>
    <m/>
    <m/>
    <m/>
    <n v="1"/>
    <n v="1"/>
    <m/>
    <m/>
    <m/>
    <m/>
    <n v="1"/>
    <n v="1"/>
    <m/>
    <m/>
    <m/>
    <m/>
    <m/>
    <m/>
    <m/>
    <m/>
    <m/>
    <m/>
    <m/>
    <m/>
    <m/>
    <m/>
    <m/>
    <x v="107"/>
    <s v="Not fully evolved"/>
    <x v="0"/>
  </r>
  <r>
    <n v="217"/>
    <s v="RATICATE"/>
    <m/>
    <x v="17"/>
    <x v="1"/>
    <s v="x"/>
    <s v="x"/>
    <s v="x"/>
    <s v="x"/>
    <s v="x"/>
    <s v="x"/>
    <s v="x"/>
    <s v="n/a"/>
    <s v="x"/>
    <s v="x"/>
    <s v="140/0/0"/>
    <s v="n/a"/>
    <s v="n/a"/>
    <s v="n/a"/>
    <s v="n/a"/>
    <s v="n/a"/>
    <s v="n/a"/>
    <s v="n/a"/>
    <s v="Jos"/>
    <m/>
    <n v="1"/>
    <n v="1"/>
    <n v="1"/>
    <m/>
    <n v="1"/>
    <m/>
    <n v="1"/>
    <n v="1"/>
    <m/>
    <m/>
    <m/>
    <m/>
    <m/>
    <m/>
    <m/>
    <n v="1"/>
    <m/>
    <m/>
    <m/>
    <n v="1"/>
    <n v="1"/>
    <m/>
    <m/>
    <m/>
    <m/>
    <n v="1"/>
    <n v="1"/>
    <m/>
    <m/>
    <m/>
    <m/>
    <m/>
    <m/>
    <m/>
    <m/>
    <m/>
    <n v="1"/>
    <m/>
    <n v="1"/>
    <m/>
    <m/>
    <m/>
    <x v="107"/>
    <m/>
    <x v="0"/>
  </r>
  <r>
    <n v="218"/>
    <s v="STARLY"/>
    <m/>
    <x v="20"/>
    <x v="2"/>
    <s v="x"/>
    <s v="x"/>
    <m/>
    <s v="x"/>
    <s v="x"/>
    <s v="x"/>
    <s v="x"/>
    <s v="x"/>
    <s v="x"/>
    <s v="x"/>
    <s v="115/10/-10 on feathers_x000a_-35/0/0 on beak/talons"/>
    <s v="n/a"/>
    <s v="n/a"/>
    <s v="n/a"/>
    <s v="n/a"/>
    <s v="n/a"/>
    <s v="n/a"/>
    <s v="n/a"/>
    <s v="Jos"/>
    <m/>
    <n v="1"/>
    <n v="1"/>
    <m/>
    <m/>
    <m/>
    <m/>
    <m/>
    <n v="1"/>
    <m/>
    <m/>
    <m/>
    <m/>
    <m/>
    <m/>
    <m/>
    <n v="1"/>
    <m/>
    <m/>
    <m/>
    <n v="1"/>
    <m/>
    <m/>
    <m/>
    <m/>
    <n v="1"/>
    <m/>
    <m/>
    <m/>
    <m/>
    <m/>
    <m/>
    <m/>
    <m/>
    <m/>
    <m/>
    <m/>
    <m/>
    <m/>
    <m/>
    <m/>
    <m/>
    <m/>
    <x v="108"/>
    <s v="Not fully evolved"/>
    <x v="5"/>
  </r>
  <r>
    <n v="219"/>
    <s v="STARAVIA"/>
    <m/>
    <x v="20"/>
    <x v="2"/>
    <s v="x"/>
    <s v="x"/>
    <m/>
    <s v="x"/>
    <s v="x"/>
    <s v="x"/>
    <s v="x"/>
    <s v="n/a"/>
    <s v="x"/>
    <s v="x"/>
    <s v="115/10/-10 on feathers_x000a_-35/0/0 on beak/talons"/>
    <s v="n/a"/>
    <s v="n/a"/>
    <s v="n/a"/>
    <s v="n/a"/>
    <s v="n/a"/>
    <s v="n/a"/>
    <s v="n/a"/>
    <s v="Jos"/>
    <m/>
    <n v="1"/>
    <n v="1"/>
    <m/>
    <m/>
    <m/>
    <m/>
    <m/>
    <n v="1"/>
    <m/>
    <m/>
    <m/>
    <m/>
    <m/>
    <m/>
    <m/>
    <n v="1"/>
    <m/>
    <m/>
    <m/>
    <n v="1"/>
    <m/>
    <m/>
    <m/>
    <m/>
    <n v="1"/>
    <m/>
    <m/>
    <m/>
    <m/>
    <m/>
    <m/>
    <m/>
    <m/>
    <m/>
    <m/>
    <m/>
    <m/>
    <m/>
    <m/>
    <m/>
    <m/>
    <m/>
    <x v="108"/>
    <s v="Not fully evolved"/>
    <x v="5"/>
  </r>
  <r>
    <n v="220"/>
    <s v="STARAPTOR"/>
    <m/>
    <x v="20"/>
    <x v="2"/>
    <s v="x"/>
    <s v="x"/>
    <s v="x"/>
    <s v="x"/>
    <s v="x"/>
    <s v="x"/>
    <s v="x"/>
    <s v="n/a"/>
    <s v="x"/>
    <s v="x"/>
    <s v="115/10/-10 on feathers_x000a_-35/0/0 on beak/talons"/>
    <s v="x"/>
    <s v="x"/>
    <s v="x"/>
    <s v="x"/>
    <s v="x"/>
    <s v="x"/>
    <s v="x"/>
    <s v="Jos"/>
    <m/>
    <n v="1"/>
    <n v="1"/>
    <m/>
    <m/>
    <m/>
    <m/>
    <m/>
    <n v="1"/>
    <m/>
    <m/>
    <m/>
    <m/>
    <m/>
    <m/>
    <m/>
    <n v="1"/>
    <m/>
    <m/>
    <m/>
    <n v="1"/>
    <m/>
    <m/>
    <m/>
    <m/>
    <n v="1"/>
    <m/>
    <m/>
    <m/>
    <m/>
    <m/>
    <m/>
    <m/>
    <m/>
    <m/>
    <m/>
    <m/>
    <n v="8"/>
    <n v="1"/>
    <m/>
    <m/>
    <m/>
    <m/>
    <x v="108"/>
    <m/>
    <x v="5"/>
  </r>
  <r>
    <n v="221"/>
    <s v="KRICKETOT"/>
    <m/>
    <x v="12"/>
    <x v="8"/>
    <s v="x"/>
    <s v="x"/>
    <m/>
    <s v="x"/>
    <s v="x"/>
    <s v="x"/>
    <s v="x"/>
    <s v="x"/>
    <s v="x"/>
    <s v="x"/>
    <s v="0/-50/-20 on coat_x000a_0/-75/10 on chest"/>
    <s v="n/a"/>
    <s v="n/a"/>
    <s v="n/a"/>
    <s v="n/a"/>
    <s v="n/a"/>
    <s v="n/a"/>
    <s v="n/a"/>
    <s v="Jos"/>
    <m/>
    <n v="1"/>
    <n v="1"/>
    <n v="1"/>
    <n v="1"/>
    <m/>
    <m/>
    <m/>
    <n v="1"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x v="109"/>
    <s v="Not fully evolved"/>
    <x v="5"/>
  </r>
  <r>
    <n v="222"/>
    <s v="KRICKETUNE"/>
    <m/>
    <x v="12"/>
    <x v="8"/>
    <s v="x"/>
    <s v="x"/>
    <s v="x"/>
    <s v="x"/>
    <s v="x"/>
    <s v="x"/>
    <s v="x"/>
    <s v="n/a"/>
    <s v="x"/>
    <s v="x"/>
    <s v="0/-50/-10 on coat_x000a_0/-75/35 on chest"/>
    <s v="n/a"/>
    <s v="n/a"/>
    <s v="n/a"/>
    <s v="n/a"/>
    <s v="n/a"/>
    <s v="n/a"/>
    <s v="n/a"/>
    <s v="Jos"/>
    <m/>
    <n v="1"/>
    <n v="1"/>
    <n v="1"/>
    <n v="1"/>
    <m/>
    <m/>
    <m/>
    <n v="1"/>
    <m/>
    <m/>
    <m/>
    <m/>
    <m/>
    <m/>
    <m/>
    <n v="1"/>
    <m/>
    <m/>
    <m/>
    <m/>
    <m/>
    <m/>
    <m/>
    <m/>
    <m/>
    <m/>
    <n v="1"/>
    <m/>
    <m/>
    <m/>
    <m/>
    <m/>
    <m/>
    <m/>
    <m/>
    <m/>
    <n v="2"/>
    <n v="3"/>
    <m/>
    <m/>
    <m/>
    <m/>
    <x v="109"/>
    <m/>
    <x v="5"/>
  </r>
  <r>
    <n v="223"/>
    <s v="SLOWPOKE"/>
    <m/>
    <x v="17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Boro / Jos"/>
    <m/>
    <n v="1"/>
    <n v="1"/>
    <n v="1"/>
    <m/>
    <n v="1"/>
    <m/>
    <m/>
    <m/>
    <m/>
    <n v="1"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71"/>
    <s v="Not fully evolved"/>
    <x v="0"/>
  </r>
  <r>
    <n v="224"/>
    <s v="SLOWBRO"/>
    <m/>
    <x v="17"/>
    <x v="21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Boro / Jos"/>
    <m/>
    <n v="1"/>
    <n v="1"/>
    <n v="1"/>
    <m/>
    <n v="1"/>
    <m/>
    <m/>
    <m/>
    <m/>
    <n v="1"/>
    <n v="1"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m/>
    <m/>
    <x v="110"/>
    <m/>
    <x v="0"/>
  </r>
  <r>
    <n v="225"/>
    <s v="SLOWKING"/>
    <m/>
    <x v="17"/>
    <x v="21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Boro / Jos"/>
    <m/>
    <n v="1"/>
    <n v="1"/>
    <n v="1"/>
    <m/>
    <n v="1"/>
    <m/>
    <m/>
    <m/>
    <m/>
    <n v="1"/>
    <n v="1"/>
    <m/>
    <m/>
    <m/>
    <m/>
    <n v="1"/>
    <m/>
    <m/>
    <m/>
    <m/>
    <m/>
    <m/>
    <m/>
    <m/>
    <m/>
    <m/>
    <m/>
    <m/>
    <m/>
    <m/>
    <m/>
    <m/>
    <m/>
    <m/>
    <m/>
    <m/>
    <n v="2"/>
    <n v="2"/>
    <m/>
    <m/>
    <m/>
    <m/>
    <x v="110"/>
    <m/>
    <x v="2"/>
  </r>
  <r>
    <n v="226"/>
    <s v="ROOKIDEE"/>
    <m/>
    <x v="7"/>
    <x v="10"/>
    <s v="x"/>
    <s v="x"/>
    <m/>
    <s v="x"/>
    <s v="x"/>
    <s v="x"/>
    <m/>
    <s v="x"/>
    <s v="x"/>
    <s v="x"/>
    <s v="-130/5/10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26"/>
    <s v="Not fully evolved"/>
    <x v="8"/>
  </r>
  <r>
    <n v="227"/>
    <s v="CORVISQUIRE"/>
    <m/>
    <x v="7"/>
    <x v="10"/>
    <s v="x"/>
    <s v="x"/>
    <m/>
    <s v="x"/>
    <s v="x"/>
    <s v="x"/>
    <m/>
    <s v="n/a"/>
    <s v="x"/>
    <s v="x"/>
    <s v="-130/5/10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26"/>
    <s v="Not fully evolved"/>
    <x v="8"/>
  </r>
  <r>
    <n v="228"/>
    <s v="CORVIKNIGHT"/>
    <m/>
    <x v="7"/>
    <x v="10"/>
    <s v="x"/>
    <s v="x"/>
    <s v="x"/>
    <s v="x"/>
    <s v="x"/>
    <s v="x"/>
    <m/>
    <s v="n/a"/>
    <s v="x"/>
    <s v="x"/>
    <s v="-130/5/10"/>
    <s v="x"/>
    <s v="x"/>
    <s v="x"/>
    <s v="x"/>
    <s v="x"/>
    <s v="x"/>
    <s v="x"/>
    <s v="Jos"/>
    <m/>
    <n v="1"/>
    <n v="1"/>
    <m/>
    <m/>
    <m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n v="27"/>
    <n v="2"/>
    <m/>
    <m/>
    <m/>
    <m/>
    <x v="26"/>
    <m/>
    <x v="8"/>
  </r>
  <r>
    <n v="229"/>
    <s v="ODDISH"/>
    <m/>
    <x v="9"/>
    <x v="13"/>
    <s v="x"/>
    <s v="x"/>
    <m/>
    <s v="x"/>
    <s v="x"/>
    <s v="x"/>
    <s v="x"/>
    <s v="x"/>
    <s v="x"/>
    <s v="x"/>
    <s v="145/0/0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1"/>
    <m/>
    <m/>
    <m/>
    <m/>
    <x v="111"/>
    <s v="Not fully evolved"/>
    <x v="0"/>
  </r>
  <r>
    <n v="230"/>
    <s v="GLOOM"/>
    <m/>
    <x v="9"/>
    <x v="13"/>
    <s v="x"/>
    <s v="x"/>
    <m/>
    <s v="x"/>
    <s v="x"/>
    <s v="x"/>
    <m/>
    <s v="n/a"/>
    <s v="x"/>
    <s v="x"/>
    <s v="145/0/0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111"/>
    <s v="Not fully evolved"/>
    <x v="0"/>
  </r>
  <r>
    <n v="231"/>
    <s v="VILEPLUME"/>
    <m/>
    <x v="9"/>
    <x v="13"/>
    <s v="x"/>
    <s v="x"/>
    <s v="x"/>
    <s v="x"/>
    <s v="x"/>
    <s v="x"/>
    <m/>
    <s v="n/a"/>
    <s v="x"/>
    <s v="x"/>
    <s v="145/0/0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4"/>
    <m/>
    <m/>
    <m/>
    <m/>
    <m/>
    <x v="111"/>
    <m/>
    <x v="0"/>
  </r>
  <r>
    <n v="232"/>
    <s v="BELLOSSOM"/>
    <m/>
    <x v="9"/>
    <x v="1"/>
    <s v="x"/>
    <s v="x"/>
    <s v="x"/>
    <s v="x"/>
    <s v="x"/>
    <s v="x"/>
    <m/>
    <s v="n/a"/>
    <s v="x"/>
    <s v="x"/>
    <s v="145/0/0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1"/>
    <n v="2"/>
    <m/>
    <m/>
    <m/>
    <m/>
    <x v="13"/>
    <m/>
    <x v="2"/>
  </r>
  <r>
    <n v="233"/>
    <s v="SUNKERN"/>
    <m/>
    <x v="0"/>
    <x v="9"/>
    <s v="x"/>
    <s v="x"/>
    <m/>
    <s v="x"/>
    <s v="x"/>
    <s v="x"/>
    <m/>
    <s v="x"/>
    <s v="x"/>
    <s v="x"/>
    <s v="-85/0/0"/>
    <s v="n/a"/>
    <s v="n/a"/>
    <s v="n/a"/>
    <s v="n/a"/>
    <s v="n/a"/>
    <s v="n/a"/>
    <s v="n/a"/>
    <s v="Badman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12"/>
    <s v="Not fully evolved"/>
    <x v="2"/>
  </r>
  <r>
    <n v="234"/>
    <s v="SUNFLORA"/>
    <m/>
    <x v="0"/>
    <x v="9"/>
    <s v="x"/>
    <s v="x"/>
    <s v="x"/>
    <s v="x"/>
    <s v="x"/>
    <s v="x"/>
    <m/>
    <s v="n/a"/>
    <s v="x"/>
    <s v="x"/>
    <s v="-85/0/0"/>
    <s v="n/a"/>
    <s v="n/a"/>
    <s v="n/a"/>
    <s v="n/a"/>
    <s v="n/a"/>
    <s v="n/a"/>
    <s v="n/a"/>
    <s v="Badman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x v="112"/>
    <m/>
    <x v="2"/>
  </r>
  <r>
    <n v="235"/>
    <s v="STUNKY"/>
    <m/>
    <x v="17"/>
    <x v="0"/>
    <s v="x"/>
    <s v="x"/>
    <m/>
    <s v="x"/>
    <s v="x"/>
    <s v="x"/>
    <s v="x"/>
    <s v="x"/>
    <s v="x"/>
    <s v="x"/>
    <s v="Custom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113"/>
    <s v="Not fully evolved"/>
    <x v="5"/>
  </r>
  <r>
    <n v="236"/>
    <s v="SKUNTANK"/>
    <m/>
    <x v="17"/>
    <x v="0"/>
    <s v="x"/>
    <s v="x"/>
    <s v="x"/>
    <s v="x"/>
    <s v="x"/>
    <s v="x"/>
    <s v="x"/>
    <s v="n/a"/>
    <s v="x"/>
    <s v="x"/>
    <s v="Custom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113"/>
    <m/>
    <x v="5"/>
  </r>
  <r>
    <n v="237"/>
    <s v="FEEBAS"/>
    <m/>
    <x v="11"/>
    <x v="1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n v="1"/>
    <m/>
    <n v="1"/>
    <n v="1"/>
    <n v="1"/>
    <n v="1"/>
    <m/>
    <m/>
    <m/>
    <m/>
    <m/>
    <m/>
    <n v="1"/>
    <m/>
    <m/>
    <m/>
    <m/>
    <m/>
    <m/>
    <m/>
    <m/>
    <m/>
    <m/>
    <m/>
    <m/>
    <m/>
    <m/>
    <m/>
    <m/>
    <m/>
    <m/>
    <m/>
    <m/>
    <x v="114"/>
    <s v="Not fully evolved"/>
    <x v="3"/>
  </r>
  <r>
    <n v="238"/>
    <s v="MILOTIC"/>
    <m/>
    <x v="11"/>
    <x v="1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n v="1"/>
    <m/>
    <n v="1"/>
    <n v="1"/>
    <n v="1"/>
    <n v="1"/>
    <m/>
    <m/>
    <m/>
    <m/>
    <m/>
    <m/>
    <n v="1"/>
    <m/>
    <m/>
    <m/>
    <m/>
    <m/>
    <m/>
    <m/>
    <m/>
    <m/>
    <m/>
    <m/>
    <m/>
    <m/>
    <m/>
    <n v="19"/>
    <n v="2"/>
    <m/>
    <m/>
    <m/>
    <m/>
    <x v="114"/>
    <m/>
    <x v="3"/>
  </r>
  <r>
    <n v="239"/>
    <s v="HORSEA"/>
    <m/>
    <x v="11"/>
    <x v="6"/>
    <s v="x"/>
    <s v="x"/>
    <m/>
    <s v="x"/>
    <s v="x"/>
    <s v="x"/>
    <s v="x"/>
    <s v="x"/>
    <s v="x"/>
    <s v="x"/>
    <s v="-80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15"/>
    <s v="Not fully evolved"/>
    <x v="0"/>
  </r>
  <r>
    <n v="240"/>
    <s v="SEADRA"/>
    <m/>
    <x v="11"/>
    <x v="6"/>
    <s v="x"/>
    <s v="x"/>
    <m/>
    <s v="x"/>
    <s v="x"/>
    <s v="x"/>
    <m/>
    <s v="n/a"/>
    <s v="x"/>
    <s v="x"/>
    <s v="-80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15"/>
    <s v="Not fully evolved"/>
    <x v="0"/>
  </r>
  <r>
    <n v="241"/>
    <s v="KINGDRA"/>
    <m/>
    <x v="11"/>
    <x v="6"/>
    <s v="x"/>
    <s v="x"/>
    <s v="x"/>
    <s v="x"/>
    <s v="x"/>
    <s v="x"/>
    <m/>
    <s v="n/a"/>
    <s v="x"/>
    <s v="x"/>
    <s v="-80/0/0"/>
    <s v="x"/>
    <s v="x"/>
    <s v="x"/>
    <s v="x"/>
    <s v="x"/>
    <s v="x"/>
    <s v="x"/>
    <s v="Jos / PDM20 (Mega)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16"/>
    <n v="10"/>
    <n v="2"/>
    <m/>
    <m/>
    <m/>
    <x v="115"/>
    <m/>
    <x v="2"/>
  </r>
  <r>
    <n v="242"/>
    <s v="YAMPER"/>
    <m/>
    <x v="17"/>
    <x v="4"/>
    <s v="x"/>
    <s v="x"/>
    <m/>
    <s v="x"/>
    <s v="x"/>
    <s v="x"/>
    <s v="x"/>
    <s v="x"/>
    <s v="x"/>
    <s v="x"/>
    <s v="130/10/-5"/>
    <s v="n/a"/>
    <s v="n/a"/>
    <s v="n/a"/>
    <s v="n/a"/>
    <s v="n/a"/>
    <s v="n/a"/>
    <s v="n/a"/>
    <s v="Jos"/>
    <m/>
    <n v="1"/>
    <n v="1"/>
    <m/>
    <m/>
    <m/>
    <m/>
    <m/>
    <n v="1"/>
    <m/>
    <m/>
    <m/>
    <m/>
    <m/>
    <m/>
    <m/>
    <n v="1"/>
    <m/>
    <m/>
    <m/>
    <n v="1"/>
    <m/>
    <m/>
    <m/>
    <m/>
    <n v="1"/>
    <m/>
    <m/>
    <m/>
    <m/>
    <m/>
    <m/>
    <m/>
    <m/>
    <m/>
    <m/>
    <m/>
    <m/>
    <m/>
    <m/>
    <m/>
    <m/>
    <m/>
    <x v="71"/>
    <s v="Not fully evolved"/>
    <x v="8"/>
  </r>
  <r>
    <n v="243"/>
    <s v="BOLTUND"/>
    <m/>
    <x v="17"/>
    <x v="4"/>
    <s v="x"/>
    <s v="x"/>
    <s v="x"/>
    <s v="x"/>
    <s v="x"/>
    <s v="x"/>
    <s v="x"/>
    <s v="n/a"/>
    <s v="x"/>
    <s v="x"/>
    <s v="130/10/-5"/>
    <s v="n/a"/>
    <s v="n/a"/>
    <s v="n/a"/>
    <s v="n/a"/>
    <s v="n/a"/>
    <s v="n/a"/>
    <s v="n/a"/>
    <s v="Jos"/>
    <m/>
    <n v="1"/>
    <n v="1"/>
    <m/>
    <m/>
    <m/>
    <m/>
    <m/>
    <n v="1"/>
    <m/>
    <m/>
    <m/>
    <m/>
    <m/>
    <m/>
    <m/>
    <n v="1"/>
    <m/>
    <m/>
    <m/>
    <n v="1"/>
    <m/>
    <m/>
    <m/>
    <m/>
    <n v="1"/>
    <m/>
    <m/>
    <m/>
    <m/>
    <m/>
    <m/>
    <m/>
    <m/>
    <m/>
    <m/>
    <m/>
    <n v="2"/>
    <m/>
    <m/>
    <m/>
    <m/>
    <m/>
    <x v="71"/>
    <m/>
    <x v="8"/>
  </r>
  <r>
    <n v="244"/>
    <s v="VENONAT"/>
    <m/>
    <x v="12"/>
    <x v="9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Endless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39"/>
    <s v="Not fully evolved"/>
    <x v="0"/>
  </r>
  <r>
    <n v="245"/>
    <s v="VENOMOTH"/>
    <m/>
    <x v="12"/>
    <x v="9"/>
    <s v="x"/>
    <s v="x"/>
    <s v="x"/>
    <s v="x"/>
    <s v="x"/>
    <s v="x"/>
    <s v="x"/>
    <s v="n/a"/>
    <s v="x"/>
    <s v="x"/>
    <s v="n/a"/>
    <s v="n/a"/>
    <s v="n/a"/>
    <s v="n/a"/>
    <s v="n/a"/>
    <s v="n/a"/>
    <s v="n/a"/>
    <s v="n/a"/>
    <s v="Endless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1"/>
    <m/>
    <m/>
    <m/>
    <m/>
    <m/>
    <x v="39"/>
    <m/>
    <x v="0"/>
  </r>
  <r>
    <n v="246"/>
    <s v="CATERPIE"/>
    <m/>
    <x v="12"/>
    <x v="12"/>
    <s v="x"/>
    <s v="x"/>
    <m/>
    <s v="x"/>
    <s v="x"/>
    <s v="x"/>
    <m/>
    <s v="x"/>
    <s v="x"/>
    <s v="x"/>
    <s v="-180/0/0"/>
    <s v="n/a"/>
    <s v="n/a"/>
    <s v="n/a"/>
    <s v="n/a"/>
    <s v="n/a"/>
    <s v="n/a"/>
    <s v="n/a"/>
    <s v="Jos"/>
    <m/>
    <n v="1"/>
    <n v="1"/>
    <n v="1"/>
    <n v="1"/>
    <m/>
    <m/>
    <m/>
    <m/>
    <m/>
    <m/>
    <m/>
    <m/>
    <m/>
    <m/>
    <m/>
    <n v="1"/>
    <n v="1"/>
    <m/>
    <m/>
    <m/>
    <m/>
    <m/>
    <m/>
    <m/>
    <m/>
    <m/>
    <n v="1"/>
    <m/>
    <m/>
    <m/>
    <m/>
    <m/>
    <m/>
    <m/>
    <m/>
    <m/>
    <m/>
    <m/>
    <m/>
    <m/>
    <m/>
    <m/>
    <x v="116"/>
    <s v="Not fully evolved"/>
    <x v="0"/>
  </r>
  <r>
    <n v="247"/>
    <s v="METAPOD"/>
    <m/>
    <x v="12"/>
    <x v="12"/>
    <s v="x"/>
    <s v="x"/>
    <m/>
    <s v="x"/>
    <s v="x"/>
    <s v="x"/>
    <m/>
    <s v="n/a"/>
    <s v="x"/>
    <s v="x"/>
    <s v="-180/0/0"/>
    <s v="n/a"/>
    <s v="n/a"/>
    <s v="n/a"/>
    <s v="n/a"/>
    <s v="n/a"/>
    <s v="n/a"/>
    <s v="n/a"/>
    <s v="Jos"/>
    <m/>
    <n v="1"/>
    <n v="1"/>
    <n v="1"/>
    <n v="1"/>
    <m/>
    <m/>
    <m/>
    <m/>
    <m/>
    <m/>
    <m/>
    <m/>
    <m/>
    <m/>
    <m/>
    <n v="1"/>
    <n v="1"/>
    <m/>
    <m/>
    <m/>
    <m/>
    <m/>
    <m/>
    <m/>
    <m/>
    <m/>
    <n v="1"/>
    <m/>
    <m/>
    <m/>
    <m/>
    <m/>
    <m/>
    <m/>
    <m/>
    <m/>
    <m/>
    <m/>
    <m/>
    <m/>
    <m/>
    <m/>
    <x v="116"/>
    <s v="Not fully evolved"/>
    <x v="0"/>
  </r>
  <r>
    <n v="248"/>
    <s v="BUTTERFREE"/>
    <m/>
    <x v="12"/>
    <x v="12"/>
    <s v="x"/>
    <s v="x"/>
    <s v="x"/>
    <s v="x"/>
    <s v="x"/>
    <s v="x"/>
    <s v="x"/>
    <s v="n/a"/>
    <s v="x"/>
    <s v="x"/>
    <s v="-180/0/0"/>
    <s v="x"/>
    <s v="x"/>
    <s v="x"/>
    <s v="x"/>
    <s v="x"/>
    <s v="x"/>
    <s v="x"/>
    <s v="Jos/ Draconyan (mega)"/>
    <m/>
    <n v="1"/>
    <n v="1"/>
    <n v="1"/>
    <n v="1"/>
    <m/>
    <m/>
    <m/>
    <m/>
    <m/>
    <m/>
    <m/>
    <m/>
    <m/>
    <m/>
    <m/>
    <n v="1"/>
    <n v="1"/>
    <m/>
    <m/>
    <m/>
    <m/>
    <m/>
    <m/>
    <m/>
    <m/>
    <m/>
    <n v="1"/>
    <m/>
    <m/>
    <m/>
    <m/>
    <m/>
    <m/>
    <m/>
    <m/>
    <m/>
    <n v="1"/>
    <m/>
    <m/>
    <m/>
    <m/>
    <m/>
    <x v="116"/>
    <m/>
    <x v="0"/>
  </r>
  <r>
    <n v="249"/>
    <s v="MANKEY"/>
    <m/>
    <x v="20"/>
    <x v="14"/>
    <s v="x"/>
    <s v="x"/>
    <m/>
    <s v="x"/>
    <s v="x"/>
    <s v="x"/>
    <s v="x"/>
    <s v="x"/>
    <s v="x"/>
    <s v="x"/>
    <s v="Custom based on Slowpoke"/>
    <s v="n/a"/>
    <s v="n/a"/>
    <s v="n/a"/>
    <s v="n/a"/>
    <s v="n/a"/>
    <s v="n/a"/>
    <s v="n/a"/>
    <s v="Jos"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17"/>
    <s v="Not fully evolved"/>
    <x v="0"/>
  </r>
  <r>
    <n v="250"/>
    <s v="PRIMEAPE"/>
    <m/>
    <x v="20"/>
    <x v="14"/>
    <s v="x"/>
    <s v="x"/>
    <s v="x"/>
    <s v="x"/>
    <s v="x"/>
    <s v="x"/>
    <m/>
    <s v="n/a"/>
    <s v="x"/>
    <s v="x"/>
    <s v="Custom based on Slowpoke"/>
    <s v="n/a"/>
    <s v="n/a"/>
    <s v="n/a"/>
    <s v="n/a"/>
    <s v="n/a"/>
    <s v="n/a"/>
    <s v="n/a"/>
    <s v="Jos"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17"/>
    <s v="Not fully evolved"/>
    <x v="0"/>
  </r>
  <r>
    <n v="251"/>
    <s v="TYNAMO"/>
    <m/>
    <x v="4"/>
    <x v="21"/>
    <s v="x"/>
    <s v="x"/>
    <m/>
    <s v="x"/>
    <s v="x"/>
    <s v="x"/>
    <m/>
    <s v="x"/>
    <s v="x"/>
    <s v="x"/>
    <s v="180/-10/10"/>
    <s v="n/a"/>
    <s v="n/a"/>
    <s v="n/a"/>
    <s v="n/a"/>
    <s v="n/a"/>
    <s v="n/a"/>
    <s v="n/a"/>
    <s v="Jos"/>
    <m/>
    <m/>
    <m/>
    <m/>
    <m/>
    <n v="1"/>
    <n v="1"/>
    <n v="1"/>
    <m/>
    <n v="1"/>
    <m/>
    <n v="1"/>
    <m/>
    <m/>
    <m/>
    <m/>
    <m/>
    <m/>
    <m/>
    <m/>
    <n v="1"/>
    <m/>
    <m/>
    <n v="1"/>
    <m/>
    <n v="1"/>
    <n v="1"/>
    <m/>
    <m/>
    <m/>
    <m/>
    <m/>
    <m/>
    <m/>
    <m/>
    <m/>
    <m/>
    <m/>
    <m/>
    <m/>
    <m/>
    <m/>
    <m/>
    <x v="118"/>
    <s v="Not fully evolved"/>
    <x v="1"/>
  </r>
  <r>
    <n v="252"/>
    <s v="EELEKTRIK"/>
    <m/>
    <x v="4"/>
    <x v="21"/>
    <s v="x"/>
    <s v="x"/>
    <m/>
    <s v="x"/>
    <s v="x"/>
    <s v="x"/>
    <m/>
    <s v="n/a"/>
    <s v="x"/>
    <s v="x"/>
    <s v="180/-10/10"/>
    <s v="n/a"/>
    <s v="n/a"/>
    <s v="n/a"/>
    <s v="n/a"/>
    <s v="n/a"/>
    <s v="n/a"/>
    <s v="n/a"/>
    <s v="Jos"/>
    <m/>
    <m/>
    <m/>
    <m/>
    <m/>
    <n v="1"/>
    <n v="1"/>
    <n v="1"/>
    <m/>
    <n v="1"/>
    <m/>
    <n v="1"/>
    <m/>
    <m/>
    <m/>
    <m/>
    <m/>
    <m/>
    <m/>
    <m/>
    <n v="1"/>
    <m/>
    <m/>
    <n v="1"/>
    <m/>
    <n v="1"/>
    <n v="1"/>
    <m/>
    <m/>
    <m/>
    <m/>
    <m/>
    <m/>
    <m/>
    <m/>
    <m/>
    <m/>
    <m/>
    <m/>
    <m/>
    <m/>
    <m/>
    <m/>
    <x v="118"/>
    <s v="Not fully evolved"/>
    <x v="1"/>
  </r>
  <r>
    <n v="253"/>
    <s v="EELEKTROSS"/>
    <m/>
    <x v="4"/>
    <x v="21"/>
    <s v="x"/>
    <s v="x"/>
    <s v="x"/>
    <s v="x"/>
    <s v="x"/>
    <s v="x"/>
    <m/>
    <s v="n/a"/>
    <s v="x"/>
    <s v="x"/>
    <s v="180/-10/10"/>
    <s v="n/a"/>
    <s v="n/a"/>
    <s v="n/a"/>
    <s v="n/a"/>
    <s v="n/a"/>
    <s v="n/a"/>
    <s v="n/a"/>
    <s v="Jos"/>
    <m/>
    <m/>
    <m/>
    <m/>
    <m/>
    <n v="1"/>
    <n v="1"/>
    <n v="1"/>
    <m/>
    <n v="1"/>
    <m/>
    <n v="1"/>
    <m/>
    <m/>
    <m/>
    <m/>
    <m/>
    <m/>
    <m/>
    <m/>
    <n v="1"/>
    <m/>
    <m/>
    <n v="1"/>
    <m/>
    <n v="1"/>
    <n v="1"/>
    <m/>
    <m/>
    <m/>
    <m/>
    <m/>
    <m/>
    <m/>
    <m/>
    <m/>
    <m/>
    <n v="2"/>
    <n v="1"/>
    <m/>
    <m/>
    <m/>
    <m/>
    <x v="118"/>
    <m/>
    <x v="1"/>
  </r>
  <r>
    <n v="254"/>
    <s v="EEVEE"/>
    <m/>
    <x v="17"/>
    <x v="4"/>
    <s v="x"/>
    <s v="x"/>
    <m/>
    <s v="x"/>
    <s v="x"/>
    <s v="x"/>
    <s v="x"/>
    <s v="x"/>
    <s v="x"/>
    <s v="x"/>
    <s v="-120/0/0"/>
    <s v="n/a"/>
    <s v="n/a"/>
    <s v="n/a"/>
    <s v="n/a"/>
    <s v="n/a"/>
    <s v="n/a"/>
    <s v="n/a"/>
    <s v="Jos"/>
    <m/>
    <n v="1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5"/>
    <m/>
    <m/>
    <m/>
    <m/>
    <m/>
    <x v="71"/>
    <s v="Not fully evolved"/>
    <x v="0"/>
  </r>
  <r>
    <n v="255"/>
    <s v="GALAXEON"/>
    <m/>
    <x v="3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21"/>
    <n v="6"/>
    <m/>
    <m/>
    <m/>
    <m/>
    <x v="119"/>
    <m/>
    <x v="0"/>
  </r>
  <r>
    <n v="256"/>
    <s v="PRISMEON"/>
    <m/>
    <x v="11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20"/>
    <n v="7"/>
    <m/>
    <m/>
    <m/>
    <m/>
    <x v="120"/>
    <m/>
    <x v="0"/>
  </r>
  <r>
    <n v="257"/>
    <s v="OCTAVEON"/>
    <m/>
    <x v="20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n v="23"/>
    <n v="6"/>
    <m/>
    <m/>
    <m/>
    <m/>
    <x v="121"/>
    <m/>
    <x v="0"/>
  </r>
  <r>
    <s v="x"/>
    <s v="BASCULIN"/>
    <s v="Piranha"/>
    <x v="14"/>
    <x v="18"/>
    <s v="x"/>
    <s v="x"/>
    <s v="x"/>
    <s v="x"/>
    <s v="x"/>
    <s v="x"/>
    <m/>
    <s v="x"/>
    <s v="x"/>
    <s v="x"/>
    <s v="Custom - Ace"/>
    <s v="n/a"/>
    <s v="n/a"/>
    <s v="n/a"/>
    <s v="n/a"/>
    <s v="n/a"/>
    <s v="n/a"/>
    <s v="n/a"/>
    <s v="Boro / Jos"/>
    <m/>
    <m/>
    <m/>
    <n v="1"/>
    <m/>
    <m/>
    <m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n v="1"/>
    <m/>
    <m/>
    <m/>
    <m/>
    <m/>
    <x v="99"/>
    <m/>
    <x v="7"/>
  </r>
  <r>
    <n v="258"/>
    <s v="BASCULIN"/>
    <s v="Dragonfish"/>
    <x v="14"/>
    <x v="18"/>
    <s v="x"/>
    <s v="x"/>
    <s v="x"/>
    <s v="x"/>
    <s v="x"/>
    <s v="x"/>
    <m/>
    <s v="x"/>
    <s v="x"/>
    <s v="x"/>
    <s v="Custom - Ace"/>
    <s v="n/a"/>
    <s v="n/a"/>
    <s v="n/a"/>
    <s v="n/a"/>
    <s v="n/a"/>
    <s v="n/a"/>
    <s v="n/a"/>
    <s v="Boro / Jos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x v="99"/>
    <m/>
    <x v="1"/>
  </r>
  <r>
    <n v="259"/>
    <s v="CHINCHOU"/>
    <m/>
    <x v="11"/>
    <x v="10"/>
    <s v="x"/>
    <s v="x"/>
    <m/>
    <s v="x"/>
    <s v="x"/>
    <s v="x"/>
    <s v="x"/>
    <s v="x"/>
    <s v="x"/>
    <s v="x"/>
    <s v="105/0/0"/>
    <s v="n/a"/>
    <s v="n/a"/>
    <s v="n/a"/>
    <s v="n/a"/>
    <s v="n/a"/>
    <s v="n/a"/>
    <s v="n/a"/>
    <s v="Scotsman33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22"/>
    <s v="Not fully evolved"/>
    <x v="2"/>
  </r>
  <r>
    <n v="260"/>
    <s v="LANTURN"/>
    <m/>
    <x v="11"/>
    <x v="10"/>
    <s v="x"/>
    <s v="x"/>
    <s v="x"/>
    <s v="x"/>
    <s v="x"/>
    <s v="x"/>
    <m/>
    <s v="n/a"/>
    <s v="x"/>
    <s v="x"/>
    <s v="105/0/0"/>
    <s v="n/a"/>
    <s v="n/a"/>
    <s v="n/a"/>
    <s v="n/a"/>
    <s v="n/a"/>
    <s v="n/a"/>
    <s v="n/a"/>
    <s v="Scotsman33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2"/>
    <m/>
    <m/>
    <m/>
    <m/>
    <m/>
    <x v="122"/>
    <m/>
    <x v="2"/>
  </r>
  <r>
    <n v="261"/>
    <s v="NOIBAT"/>
    <m/>
    <x v="20"/>
    <x v="17"/>
    <s v="x"/>
    <s v="x"/>
    <m/>
    <s v="x"/>
    <s v="x"/>
    <s v="x"/>
    <s v="x"/>
    <s v="x"/>
    <s v="x"/>
    <s v="x"/>
    <s v="180/0/0"/>
    <s v="n/a"/>
    <s v="n/a"/>
    <s v="n/a"/>
    <s v="n/a"/>
    <s v="n/a"/>
    <s v="n/a"/>
    <s v="n/a"/>
    <s v="Jos"/>
    <m/>
    <m/>
    <m/>
    <m/>
    <n v="1"/>
    <n v="1"/>
    <m/>
    <n v="1"/>
    <m/>
    <m/>
    <m/>
    <m/>
    <m/>
    <m/>
    <m/>
    <m/>
    <m/>
    <m/>
    <n v="1"/>
    <n v="1"/>
    <n v="1"/>
    <m/>
    <m/>
    <m/>
    <n v="1"/>
    <n v="1"/>
    <m/>
    <m/>
    <m/>
    <m/>
    <m/>
    <m/>
    <m/>
    <m/>
    <m/>
    <m/>
    <m/>
    <m/>
    <m/>
    <m/>
    <m/>
    <m/>
    <m/>
    <x v="123"/>
    <s v="Not fully evolved"/>
    <x v="4"/>
  </r>
  <r>
    <n v="262"/>
    <s v="NOIVERN"/>
    <m/>
    <x v="20"/>
    <x v="17"/>
    <s v="x"/>
    <s v="x"/>
    <s v="x"/>
    <s v="x"/>
    <s v="x"/>
    <s v="x"/>
    <s v="x"/>
    <s v="n/a"/>
    <s v="x"/>
    <s v="x"/>
    <s v="180/0/0"/>
    <s v="n/a"/>
    <s v="n/a"/>
    <s v="n/a"/>
    <s v="n/a"/>
    <s v="n/a"/>
    <s v="n/a"/>
    <s v="n/a"/>
    <s v="Jos"/>
    <m/>
    <m/>
    <m/>
    <m/>
    <n v="1"/>
    <n v="1"/>
    <m/>
    <n v="1"/>
    <m/>
    <m/>
    <m/>
    <m/>
    <m/>
    <m/>
    <m/>
    <m/>
    <m/>
    <m/>
    <n v="1"/>
    <n v="1"/>
    <n v="1"/>
    <m/>
    <m/>
    <m/>
    <n v="1"/>
    <n v="1"/>
    <m/>
    <m/>
    <m/>
    <m/>
    <m/>
    <m/>
    <m/>
    <m/>
    <m/>
    <m/>
    <m/>
    <n v="7"/>
    <n v="8"/>
    <n v="1"/>
    <m/>
    <m/>
    <m/>
    <x v="123"/>
    <m/>
    <x v="4"/>
  </r>
  <r>
    <n v="263"/>
    <s v="PARAS"/>
    <m/>
    <x v="12"/>
    <x v="18"/>
    <s v="x"/>
    <s v="x"/>
    <m/>
    <s v="x"/>
    <s v="x"/>
    <s v="x"/>
    <s v="x"/>
    <s v="x"/>
    <s v="x"/>
    <s v="x"/>
    <s v="180/0/0"/>
    <s v="n/a"/>
    <s v="n/a"/>
    <s v="n/a"/>
    <s v="n/a"/>
    <s v="n/a"/>
    <s v="n/a"/>
    <s v="n/a"/>
    <s v="Jos"/>
    <m/>
    <m/>
    <m/>
    <n v="1"/>
    <n v="1"/>
    <m/>
    <m/>
    <m/>
    <m/>
    <n v="1"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x v="124"/>
    <s v="Not fully evolved"/>
    <x v="0"/>
  </r>
  <r>
    <n v="264"/>
    <s v="PARASECT"/>
    <m/>
    <x v="12"/>
    <x v="18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m/>
    <m/>
    <n v="1"/>
    <n v="1"/>
    <m/>
    <m/>
    <m/>
    <m/>
    <n v="1"/>
    <m/>
    <m/>
    <m/>
    <m/>
    <m/>
    <m/>
    <m/>
    <m/>
    <m/>
    <m/>
    <m/>
    <m/>
    <m/>
    <m/>
    <n v="1"/>
    <m/>
    <m/>
    <n v="1"/>
    <m/>
    <m/>
    <m/>
    <m/>
    <m/>
    <m/>
    <m/>
    <m/>
    <m/>
    <n v="1"/>
    <n v="6"/>
    <m/>
    <m/>
    <m/>
    <m/>
    <x v="124"/>
    <m/>
    <x v="0"/>
  </r>
  <r>
    <n v="265"/>
    <s v="IMPIDIMP"/>
    <m/>
    <x v="4"/>
    <x v="12"/>
    <s v="x"/>
    <s v="x"/>
    <m/>
    <s v="x"/>
    <s v="x"/>
    <s v="x"/>
    <s v="Need"/>
    <s v="x"/>
    <s v="x"/>
    <s v="x"/>
    <s v="90/0/0"/>
    <s v="n/a"/>
    <s v="n/a"/>
    <s v="n/a"/>
    <s v="n/a"/>
    <s v="n/a"/>
    <s v="n/a"/>
    <s v="n/a"/>
    <s v="Jos/Zeta"/>
    <m/>
    <m/>
    <m/>
    <n v="1"/>
    <n v="1"/>
    <n v="1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x v="125"/>
    <s v="Not fully evolved"/>
    <x v="8"/>
  </r>
  <r>
    <n v="266"/>
    <s v="MORGREM"/>
    <m/>
    <x v="4"/>
    <x v="12"/>
    <s v="x"/>
    <s v="x"/>
    <m/>
    <s v="x"/>
    <s v="x"/>
    <s v="x"/>
    <m/>
    <s v="n/a"/>
    <s v="x"/>
    <s v="x"/>
    <s v="90/0/0"/>
    <s v="n/a"/>
    <s v="n/a"/>
    <s v="n/a"/>
    <s v="n/a"/>
    <s v="n/a"/>
    <s v="n/a"/>
    <s v="n/a"/>
    <s v="Jos/Zeta"/>
    <m/>
    <m/>
    <m/>
    <n v="1"/>
    <n v="1"/>
    <n v="1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x v="125"/>
    <s v="Not fully evolved"/>
    <x v="8"/>
  </r>
  <r>
    <n v="267"/>
    <s v="GRIMMSNARL"/>
    <m/>
    <x v="4"/>
    <x v="12"/>
    <s v="x"/>
    <s v="x"/>
    <s v="x"/>
    <s v="x"/>
    <s v="x"/>
    <s v="x"/>
    <m/>
    <s v="n/a"/>
    <s v="x"/>
    <s v="x"/>
    <s v="90/0/0"/>
    <s v="n/a"/>
    <s v="n/a"/>
    <s v="n/a"/>
    <s v="n/a"/>
    <s v="n/a"/>
    <s v="n/a"/>
    <s v="n/a"/>
    <s v="Jos/Zeta"/>
    <m/>
    <m/>
    <m/>
    <n v="1"/>
    <n v="1"/>
    <n v="1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n v="3"/>
    <n v="1"/>
    <m/>
    <m/>
    <m/>
    <m/>
    <x v="125"/>
    <m/>
    <x v="8"/>
  </r>
  <r>
    <n v="268"/>
    <s v="PIDOVE"/>
    <m/>
    <x v="16"/>
    <x v="1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126"/>
    <s v="Not fully evolved"/>
    <x v="1"/>
  </r>
  <r>
    <n v="269"/>
    <s v="TRANQUILL"/>
    <m/>
    <x v="16"/>
    <x v="12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Endles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x v="126"/>
    <s v="Not fully evolved"/>
    <x v="1"/>
  </r>
  <r>
    <n v="270"/>
    <s v="UNFEZANT"/>
    <s v="Male"/>
    <x v="16"/>
    <x v="1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5"/>
    <n v="1"/>
    <m/>
    <m/>
    <m/>
    <m/>
    <x v="126"/>
    <m/>
    <x v="7"/>
  </r>
  <r>
    <s v="x"/>
    <s v="UNFEZANT"/>
    <s v="Female"/>
    <x v="16"/>
    <x v="1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5"/>
    <n v="1"/>
    <m/>
    <m/>
    <m/>
    <m/>
    <x v="126"/>
    <m/>
    <x v="7"/>
  </r>
  <r>
    <n v="271"/>
    <s v="SEEDOT"/>
    <m/>
    <x v="0"/>
    <x v="9"/>
    <s v="x"/>
    <s v="x"/>
    <m/>
    <s v="x"/>
    <s v="x"/>
    <s v="x"/>
    <m/>
    <s v="x"/>
    <s v="x"/>
    <s v="x"/>
    <s v="-100/0/0"/>
    <s v="n/a"/>
    <s v="n/a"/>
    <s v="n/a"/>
    <s v="n/a"/>
    <s v="n/a"/>
    <s v="n/a"/>
    <s v="n/a"/>
    <s v="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12"/>
    <s v="Not fully evolved"/>
    <x v="3"/>
  </r>
  <r>
    <n v="272"/>
    <s v="NUZLEAF"/>
    <m/>
    <x v="0"/>
    <x v="9"/>
    <s v="x"/>
    <s v="x"/>
    <m/>
    <s v="x"/>
    <s v="x"/>
    <s v="x"/>
    <s v="x"/>
    <s v="n/a"/>
    <s v="x"/>
    <s v="x"/>
    <s v="-100/0/0"/>
    <s v="n/a"/>
    <s v="n/a"/>
    <s v="n/a"/>
    <s v="n/a"/>
    <s v="n/a"/>
    <s v="n/a"/>
    <s v="n/a"/>
    <s v="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12"/>
    <s v="Not fully evolved"/>
    <x v="3"/>
  </r>
  <r>
    <n v="273"/>
    <s v="SHIFTRY"/>
    <m/>
    <x v="0"/>
    <x v="9"/>
    <s v="x"/>
    <s v="x"/>
    <s v="x"/>
    <s v="x"/>
    <s v="x"/>
    <s v="x"/>
    <m/>
    <s v="n/a"/>
    <s v="x"/>
    <s v="x"/>
    <s v="-100/0/0"/>
    <s v="n/a"/>
    <s v="n/a"/>
    <s v="n/a"/>
    <s v="n/a"/>
    <s v="n/a"/>
    <s v="n/a"/>
    <s v="n/a"/>
    <s v="Jos / Hexx_Vixtar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5"/>
    <n v="4"/>
    <n v="1"/>
    <m/>
    <m/>
    <m/>
    <x v="112"/>
    <m/>
    <x v="3"/>
  </r>
  <r>
    <n v="274"/>
    <s v="HOPPIP"/>
    <m/>
    <x v="2"/>
    <x v="8"/>
    <s v="x"/>
    <s v="x"/>
    <m/>
    <s v="x"/>
    <s v="x"/>
    <s v="x"/>
    <s v="x"/>
    <s v="x"/>
    <s v="x"/>
    <s v="x"/>
    <s v="85/0/-1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33"/>
    <s v="Not fully evolved"/>
    <x v="2"/>
  </r>
  <r>
    <n v="275"/>
    <s v="SKIPLOOM"/>
    <m/>
    <x v="2"/>
    <x v="8"/>
    <s v="x"/>
    <s v="x"/>
    <m/>
    <s v="x"/>
    <s v="x"/>
    <s v="x"/>
    <m/>
    <s v="n/a"/>
    <s v="x"/>
    <s v="x"/>
    <s v="85/0/-1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33"/>
    <s v="Not fully evolved"/>
    <x v="2"/>
  </r>
  <r>
    <n v="276"/>
    <s v="JUMPLUFF"/>
    <m/>
    <x v="2"/>
    <x v="8"/>
    <s v="x"/>
    <s v="x"/>
    <s v="x"/>
    <s v="x"/>
    <s v="x"/>
    <s v="x"/>
    <m/>
    <s v="n/a"/>
    <s v="x"/>
    <s v="x"/>
    <s v="85/0/-1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n v="3"/>
    <n v="1"/>
    <m/>
    <m/>
    <m/>
    <m/>
    <x v="33"/>
    <m/>
    <x v="2"/>
  </r>
  <r>
    <n v="277"/>
    <s v="DWEBBLE"/>
    <m/>
    <x v="12"/>
    <x v="6"/>
    <s v="x"/>
    <s v="x"/>
    <m/>
    <s v="x"/>
    <s v="x"/>
    <s v="x"/>
    <s v="x"/>
    <s v="x"/>
    <s v="x"/>
    <s v="x"/>
    <s v="-130/0/0"/>
    <s v="n/a"/>
    <s v="n/a"/>
    <s v="n/a"/>
    <s v="n/a"/>
    <s v="n/a"/>
    <s v="n/a"/>
    <s v="n/a"/>
    <s v="Jos"/>
    <m/>
    <m/>
    <m/>
    <m/>
    <m/>
    <m/>
    <m/>
    <m/>
    <m/>
    <m/>
    <m/>
    <n v="1"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27"/>
    <s v="Not fully evolved"/>
    <x v="1"/>
  </r>
  <r>
    <n v="278"/>
    <s v="CRUSTLE"/>
    <m/>
    <x v="12"/>
    <x v="6"/>
    <s v="x"/>
    <s v="x"/>
    <s v="x"/>
    <s v="x"/>
    <s v="x"/>
    <s v="x"/>
    <m/>
    <s v="n/a"/>
    <s v="x"/>
    <s v="x"/>
    <s v="-130/0/0"/>
    <s v="n/a"/>
    <s v="n/a"/>
    <s v="n/a"/>
    <s v="n/a"/>
    <s v="n/a"/>
    <s v="n/a"/>
    <s v="n/a"/>
    <s v="Jos"/>
    <m/>
    <m/>
    <m/>
    <m/>
    <m/>
    <m/>
    <m/>
    <m/>
    <m/>
    <m/>
    <m/>
    <n v="1"/>
    <m/>
    <n v="1"/>
    <n v="1"/>
    <n v="1"/>
    <m/>
    <m/>
    <m/>
    <m/>
    <m/>
    <m/>
    <m/>
    <m/>
    <m/>
    <m/>
    <m/>
    <m/>
    <m/>
    <m/>
    <m/>
    <m/>
    <m/>
    <m/>
    <m/>
    <m/>
    <m/>
    <n v="3"/>
    <m/>
    <m/>
    <m/>
    <m/>
    <m/>
    <x v="127"/>
    <m/>
    <x v="1"/>
  </r>
  <r>
    <n v="279"/>
    <s v="SENTRET"/>
    <m/>
    <x v="6"/>
    <x v="0"/>
    <s v="x"/>
    <s v="x"/>
    <m/>
    <s v="x"/>
    <s v="x"/>
    <s v="x"/>
    <s v="x"/>
    <s v="x"/>
    <s v="x"/>
    <s v="x"/>
    <s v="-90/0/0"/>
    <s v="n/a"/>
    <s v="n/a"/>
    <s v="n/a"/>
    <s v="n/a"/>
    <s v="n/a"/>
    <s v="n/a"/>
    <s v="n/a"/>
    <s v="Raffs07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28"/>
    <s v="Not fully evolved"/>
    <x v="2"/>
  </r>
  <r>
    <n v="280"/>
    <s v="FURRET"/>
    <m/>
    <x v="6"/>
    <x v="0"/>
    <s v="x"/>
    <s v="x"/>
    <s v="x"/>
    <s v="x"/>
    <s v="x"/>
    <s v="x"/>
    <m/>
    <s v="n/a"/>
    <s v="x"/>
    <s v="x"/>
    <s v="-90/0/0"/>
    <s v="x"/>
    <s v="x"/>
    <s v="x"/>
    <s v="x"/>
    <s v="x"/>
    <s v="x"/>
    <s v="x"/>
    <s v="Raffs07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128"/>
    <m/>
    <x v="2"/>
  </r>
  <r>
    <n v="281"/>
    <s v="CHIKORITA"/>
    <m/>
    <x v="15"/>
    <x v="9"/>
    <s v="x"/>
    <s v="x"/>
    <m/>
    <s v="x"/>
    <s v="x"/>
    <s v="x"/>
    <m/>
    <s v="x"/>
    <s v="x"/>
    <s v="x"/>
    <s v="Custom - Raffs07"/>
    <s v="n/a"/>
    <s v="n/a"/>
    <s v="n/a"/>
    <s v="n/a"/>
    <s v="n/a"/>
    <s v="n/a"/>
    <s v="n/a"/>
    <s v="Raffs07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29"/>
    <s v="Not fully evolved"/>
    <x v="2"/>
  </r>
  <r>
    <n v="282"/>
    <s v="BAYLEEF"/>
    <m/>
    <x v="15"/>
    <x v="9"/>
    <s v="x"/>
    <s v="x"/>
    <m/>
    <s v="x"/>
    <s v="x"/>
    <s v="x"/>
    <m/>
    <s v="n/a"/>
    <s v="x"/>
    <s v="x"/>
    <s v="Custom - Raffs07"/>
    <s v="n/a"/>
    <s v="n/a"/>
    <s v="n/a"/>
    <s v="n/a"/>
    <s v="n/a"/>
    <s v="n/a"/>
    <s v="n/a"/>
    <s v="Raffs07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m/>
    <m/>
    <m/>
    <x v="129"/>
    <s v="Not fully evolved"/>
    <x v="2"/>
  </r>
  <r>
    <n v="283"/>
    <s v="MEGANIUM"/>
    <m/>
    <x v="15"/>
    <x v="9"/>
    <s v="x"/>
    <s v="x"/>
    <s v="x"/>
    <s v="x"/>
    <s v="x"/>
    <s v="x"/>
    <m/>
    <s v="n/a"/>
    <s v="x"/>
    <s v="x"/>
    <s v="Custom - Raffs07"/>
    <s v="n/a"/>
    <s v="n/a"/>
    <s v="n/a"/>
    <s v="n/a"/>
    <s v="n/a"/>
    <s v="n/a"/>
    <s v="n/a"/>
    <s v="Raffs07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"/>
    <n v="6"/>
    <n v="3"/>
    <m/>
    <m/>
    <m/>
    <x v="129"/>
    <m/>
    <x v="2"/>
  </r>
  <r>
    <n v="284"/>
    <s v="CYNDAQUIL"/>
    <m/>
    <x v="8"/>
    <x v="20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30"/>
    <s v="Not fully evolved"/>
    <x v="2"/>
  </r>
  <r>
    <n v="285"/>
    <s v="QUILAVA"/>
    <m/>
    <x v="8"/>
    <x v="20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30"/>
    <s v="Not fully evolved"/>
    <x v="2"/>
  </r>
  <r>
    <n v="286"/>
    <s v="TYPHLOSION"/>
    <m/>
    <x v="8"/>
    <x v="20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8"/>
    <n v="2"/>
    <m/>
    <m/>
    <m/>
    <m/>
    <x v="130"/>
    <m/>
    <x v="2"/>
  </r>
  <r>
    <n v="287"/>
    <s v="RALTS"/>
    <m/>
    <x v="10"/>
    <x v="0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8"/>
    <s v="Not fully evolved"/>
    <x v="3"/>
  </r>
  <r>
    <n v="288"/>
    <s v="KIRLIA"/>
    <m/>
    <x v="10"/>
    <x v="0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8"/>
    <s v="Not fully evolved"/>
    <x v="3"/>
  </r>
  <r>
    <n v="289"/>
    <s v="GARDEVOIR"/>
    <m/>
    <x v="10"/>
    <x v="0"/>
    <s v="x"/>
    <s v="x"/>
    <s v="x"/>
    <s v="x"/>
    <s v="x"/>
    <s v="x"/>
    <m/>
    <s v="n/a"/>
    <s v="x"/>
    <s v="x"/>
    <s v="Custom"/>
    <s v="x"/>
    <s v="x"/>
    <s v="x"/>
    <s v="x"/>
    <s v="x"/>
    <s v="x"/>
    <s v="x"/>
    <s v="Hexx_Vixtar"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22"/>
    <n v="11"/>
    <m/>
    <m/>
    <m/>
    <m/>
    <x v="18"/>
    <m/>
    <x v="3"/>
  </r>
  <r>
    <n v="290"/>
    <s v="GALLADE"/>
    <m/>
    <x v="10"/>
    <x v="0"/>
    <s v="x"/>
    <s v="x"/>
    <s v="x"/>
    <s v="x"/>
    <s v="x"/>
    <s v="x"/>
    <m/>
    <s v="n/a"/>
    <s v="x"/>
    <s v="x"/>
    <s v="Custom"/>
    <s v="x"/>
    <s v="x"/>
    <s v="x"/>
    <s v="x"/>
    <s v="x"/>
    <s v="x"/>
    <s v="x"/>
    <s v="Hexx_Vixtar"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26"/>
    <n v="8"/>
    <n v="1"/>
    <m/>
    <m/>
    <m/>
    <x v="18"/>
    <m/>
    <x v="5"/>
  </r>
  <r>
    <n v="291"/>
    <s v="NUMEL"/>
    <m/>
    <x v="0"/>
    <x v="6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31"/>
    <s v="Not fully evolved"/>
    <x v="3"/>
  </r>
  <r>
    <n v="292"/>
    <s v="CAMERUPT"/>
    <m/>
    <x v="0"/>
    <x v="6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x v="131"/>
    <m/>
    <x v="3"/>
  </r>
  <r>
    <n v="293"/>
    <s v="LAPRAS"/>
    <m/>
    <x v="0"/>
    <x v="3"/>
    <s v="x"/>
    <s v="x"/>
    <s v="x"/>
    <s v="x"/>
    <s v="x"/>
    <s v="x"/>
    <m/>
    <s v="x"/>
    <s v="x"/>
    <s v="x"/>
    <s v="95/0/0"/>
    <s v="n/a"/>
    <s v="n/a"/>
    <s v="n/a"/>
    <s v="n/a"/>
    <s v="n/a"/>
    <s v="n/a"/>
    <s v="n/a"/>
    <s v="Badman"/>
    <m/>
    <m/>
    <m/>
    <m/>
    <m/>
    <m/>
    <m/>
    <m/>
    <m/>
    <m/>
    <m/>
    <n v="1"/>
    <n v="1"/>
    <n v="1"/>
    <n v="1"/>
    <m/>
    <m/>
    <m/>
    <m/>
    <m/>
    <m/>
    <m/>
    <m/>
    <m/>
    <n v="1"/>
    <m/>
    <m/>
    <m/>
    <m/>
    <m/>
    <m/>
    <m/>
    <m/>
    <m/>
    <m/>
    <m/>
    <m/>
    <n v="4"/>
    <m/>
    <n v="1"/>
    <m/>
    <m/>
    <m/>
    <x v="132"/>
    <m/>
    <x v="0"/>
  </r>
  <r>
    <n v="294"/>
    <s v="TOTODILE"/>
    <m/>
    <x v="19"/>
    <x v="15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33"/>
    <s v="Not fully evolved"/>
    <x v="2"/>
  </r>
  <r>
    <n v="295"/>
    <s v="CROCONAW"/>
    <m/>
    <x v="19"/>
    <x v="15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33"/>
    <s v="Not fully evolved"/>
    <x v="2"/>
  </r>
  <r>
    <n v="296"/>
    <s v="FERALIGATR"/>
    <m/>
    <x v="19"/>
    <x v="15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9"/>
    <n v="5"/>
    <n v="2"/>
    <m/>
    <m/>
    <m/>
    <x v="133"/>
    <m/>
    <x v="2"/>
  </r>
  <r>
    <n v="297"/>
    <s v="DIGLETT"/>
    <m/>
    <x v="6"/>
    <x v="15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LightningStrike7 / Jos"/>
    <m/>
    <m/>
    <m/>
    <m/>
    <m/>
    <m/>
    <m/>
    <m/>
    <m/>
    <n v="1"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x v="134"/>
    <s v="Not fully evolved"/>
    <x v="0"/>
  </r>
  <r>
    <n v="298"/>
    <s v="DUGTRIO"/>
    <m/>
    <x v="6"/>
    <x v="15"/>
    <s v="x"/>
    <s v="x"/>
    <s v="x"/>
    <s v="x"/>
    <s v="x"/>
    <s v="x"/>
    <m/>
    <s v="n/a"/>
    <s v="x"/>
    <s v="x"/>
    <s v="180/0/0"/>
    <s v="x"/>
    <s v="x"/>
    <s v="x"/>
    <s v="x"/>
    <s v="x"/>
    <s v="x"/>
    <s v="x"/>
    <s v="LightningStrike7 / Jos / Raffs07"/>
    <m/>
    <m/>
    <m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n v="3"/>
    <m/>
    <n v="1"/>
    <m/>
    <m/>
    <m/>
    <x v="134"/>
    <m/>
    <x v="0"/>
  </r>
  <r>
    <n v="299"/>
    <s v="CROAGUNK"/>
    <m/>
    <x v="5"/>
    <x v="1"/>
    <s v="x"/>
    <s v="x"/>
    <m/>
    <s v="x"/>
    <s v="x"/>
    <s v="x"/>
    <m/>
    <s v="x"/>
    <s v="x"/>
    <s v="x"/>
    <s v="50/-15/-5"/>
    <s v="n/a"/>
    <s v="n/a"/>
    <s v="n/a"/>
    <s v="n/a"/>
    <s v="n/a"/>
    <s v="n/a"/>
    <s v="n/a"/>
    <s v="Jos/Boro"/>
    <m/>
    <m/>
    <n v="1"/>
    <n v="1"/>
    <n v="1"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35"/>
    <s v="Not fully evolved"/>
    <x v="5"/>
  </r>
  <r>
    <n v="300"/>
    <s v="TOXICROAK"/>
    <m/>
    <x v="5"/>
    <x v="1"/>
    <s v="x"/>
    <s v="x"/>
    <s v="x"/>
    <s v="x"/>
    <s v="x"/>
    <s v="x"/>
    <m/>
    <s v="n/a"/>
    <s v="x"/>
    <s v="x"/>
    <s v="50/-15/-5"/>
    <s v="n/a"/>
    <s v="n/a"/>
    <s v="n/a"/>
    <s v="n/a"/>
    <s v="n/a"/>
    <s v="n/a"/>
    <s v="n/a"/>
    <s v="Jos/Boro"/>
    <m/>
    <m/>
    <n v="1"/>
    <n v="1"/>
    <n v="1"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n v="3"/>
    <n v="1"/>
    <m/>
    <m/>
    <m/>
    <m/>
    <x v="135"/>
    <m/>
    <x v="5"/>
  </r>
  <r>
    <n v="301"/>
    <s v="SPRITZEE"/>
    <m/>
    <x v="15"/>
    <x v="0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"/>
    <m/>
    <m/>
    <m/>
    <n v="1"/>
    <m/>
    <n v="1"/>
    <m/>
    <m/>
    <m/>
    <m/>
    <m/>
    <m/>
    <m/>
    <m/>
    <m/>
    <m/>
    <m/>
    <m/>
    <m/>
    <m/>
    <n v="1"/>
    <n v="1"/>
    <m/>
    <m/>
    <m/>
    <m/>
    <n v="1"/>
    <m/>
    <m/>
    <m/>
    <m/>
    <m/>
    <m/>
    <m/>
    <m/>
    <m/>
    <m/>
    <m/>
    <m/>
    <m/>
    <m/>
    <m/>
    <m/>
    <x v="136"/>
    <s v="Not fully evolved"/>
    <x v="4"/>
  </r>
  <r>
    <n v="302"/>
    <s v="AROMATISSE"/>
    <m/>
    <x v="15"/>
    <x v="0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 / BiggusWeeabus"/>
    <m/>
    <m/>
    <m/>
    <n v="1"/>
    <m/>
    <n v="1"/>
    <m/>
    <m/>
    <m/>
    <m/>
    <m/>
    <m/>
    <m/>
    <m/>
    <m/>
    <m/>
    <m/>
    <m/>
    <m/>
    <m/>
    <n v="1"/>
    <n v="1"/>
    <m/>
    <m/>
    <m/>
    <m/>
    <n v="1"/>
    <m/>
    <m/>
    <m/>
    <m/>
    <m/>
    <m/>
    <m/>
    <m/>
    <m/>
    <m/>
    <n v="1"/>
    <m/>
    <m/>
    <m/>
    <m/>
    <m/>
    <x v="136"/>
    <m/>
    <x v="4"/>
  </r>
  <r>
    <n v="303"/>
    <s v="DURANT"/>
    <m/>
    <x v="12"/>
    <x v="11"/>
    <s v="x"/>
    <s v="x"/>
    <s v="x"/>
    <s v="x"/>
    <s v="x"/>
    <s v="x"/>
    <s v="x"/>
    <s v="x"/>
    <s v="x"/>
    <s v="x"/>
    <s v="n/a"/>
    <s v="n/a"/>
    <s v="n/a"/>
    <s v="n/a"/>
    <s v="n/a"/>
    <s v="n/a"/>
    <s v="n/a"/>
    <s v="n/a"/>
    <s v="Plates of Arceus/Boro"/>
    <m/>
    <m/>
    <n v="1"/>
    <n v="1"/>
    <m/>
    <n v="1"/>
    <m/>
    <n v="1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n v="3"/>
    <m/>
    <m/>
    <m/>
    <m/>
    <m/>
    <x v="137"/>
    <m/>
    <x v="1"/>
  </r>
  <r>
    <n v="304"/>
    <s v="YANMA"/>
    <m/>
    <x v="12"/>
    <x v="6"/>
    <s v="x"/>
    <s v="x"/>
    <m/>
    <s v="x"/>
    <s v="x"/>
    <s v="x"/>
    <s v="x"/>
    <s v="x"/>
    <s v="x"/>
    <s v="x"/>
    <s v="180/0/0"/>
    <s v="n/a"/>
    <s v="n/a"/>
    <s v="n/a"/>
    <s v="n/a"/>
    <s v="n/a"/>
    <s v="n/a"/>
    <s v="n/a"/>
    <s v="Jos"/>
    <m/>
    <m/>
    <n v="1"/>
    <n v="1"/>
    <n v="1"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27"/>
    <s v="Not fully evolved"/>
    <x v="2"/>
  </r>
  <r>
    <n v="305"/>
    <s v="YANMEGA"/>
    <m/>
    <x v="12"/>
    <x v="6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m/>
    <n v="1"/>
    <n v="1"/>
    <n v="1"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n v="1"/>
    <m/>
    <m/>
    <m/>
    <m/>
    <x v="127"/>
    <m/>
    <x v="5"/>
  </r>
  <r>
    <n v="306"/>
    <s v="AZURILL"/>
    <m/>
    <x v="19"/>
    <x v="4"/>
    <s v="x"/>
    <s v="x"/>
    <m/>
    <s v="x"/>
    <s v="x"/>
    <s v="x"/>
    <s v="x"/>
    <s v="x"/>
    <s v="x"/>
    <s v="x"/>
    <s v="-70/0/0"/>
    <s v="n/a"/>
    <s v="n/a"/>
    <s v="n/a"/>
    <s v="n/a"/>
    <s v="n/a"/>
    <s v="n/a"/>
    <s v="n/a"/>
    <s v="Boro / Jos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87"/>
    <s v="Not fully evolved"/>
    <x v="3"/>
  </r>
  <r>
    <n v="307"/>
    <s v="MARILL"/>
    <m/>
    <x v="19"/>
    <x v="4"/>
    <s v="x"/>
    <s v="x"/>
    <m/>
    <s v="x"/>
    <s v="x"/>
    <s v="x"/>
    <s v="x"/>
    <s v="n/a"/>
    <s v="x"/>
    <s v="x"/>
    <s v="-70/0/0"/>
    <s v="n/a"/>
    <s v="n/a"/>
    <s v="n/a"/>
    <s v="n/a"/>
    <s v="n/a"/>
    <s v="n/a"/>
    <s v="n/a"/>
    <s v="Boro / Jos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87"/>
    <s v="Not fully evolved"/>
    <x v="2"/>
  </r>
  <r>
    <n v="308"/>
    <s v="AZUMARILL"/>
    <m/>
    <x v="19"/>
    <x v="4"/>
    <s v="x"/>
    <s v="x"/>
    <s v="x"/>
    <s v="x"/>
    <s v="x"/>
    <s v="x"/>
    <m/>
    <s v="n/a"/>
    <s v="x"/>
    <s v="x"/>
    <s v="-70/0/0"/>
    <s v="x"/>
    <s v="x"/>
    <s v="x"/>
    <s v="x"/>
    <s v="x"/>
    <s v="x"/>
    <s v="x"/>
    <s v="Boro / Jos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n v="2"/>
    <n v="1"/>
    <m/>
    <m/>
    <m/>
    <m/>
    <x v="87"/>
    <m/>
    <x v="2"/>
  </r>
  <r>
    <n v="309"/>
    <s v="COMFEY"/>
    <m/>
    <x v="1"/>
    <x v="12"/>
    <s v="x"/>
    <s v="x"/>
    <s v="x"/>
    <s v="x"/>
    <s v="x"/>
    <s v="x"/>
    <s v="x"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n v="3"/>
    <m/>
    <m/>
    <m/>
    <m/>
    <m/>
    <x v="138"/>
    <m/>
    <x v="6"/>
  </r>
  <r>
    <n v="310"/>
    <s v="ROWLET"/>
    <m/>
    <x v="0"/>
    <x v="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n v="1"/>
    <n v="1"/>
    <n v="1"/>
    <m/>
    <m/>
    <m/>
    <m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x v="12"/>
    <s v="Not fully evolved"/>
    <x v="6"/>
  </r>
  <r>
    <n v="311"/>
    <s v="DARTRIX"/>
    <m/>
    <x v="0"/>
    <x v="2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n v="1"/>
    <n v="1"/>
    <n v="1"/>
    <m/>
    <m/>
    <m/>
    <m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x v="12"/>
    <s v="Not fully evolved"/>
    <x v="6"/>
  </r>
  <r>
    <n v="312"/>
    <s v="DECIDUEYE"/>
    <m/>
    <x v="0"/>
    <x v="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n v="1"/>
    <n v="1"/>
    <n v="1"/>
    <m/>
    <m/>
    <m/>
    <m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n v="8"/>
    <n v="2"/>
    <m/>
    <m/>
    <m/>
    <m/>
    <x v="12"/>
    <m/>
    <x v="6"/>
  </r>
  <r>
    <n v="313"/>
    <s v="SKORUPI"/>
    <m/>
    <x v="4"/>
    <x v="0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Jos / Hexx_Vixtar"/>
    <m/>
    <m/>
    <m/>
    <n v="1"/>
    <m/>
    <n v="1"/>
    <n v="1"/>
    <n v="1"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m/>
    <m/>
    <m/>
    <m/>
    <m/>
    <x v="4"/>
    <s v="Not fully evolved"/>
    <x v="5"/>
  </r>
  <r>
    <n v="314"/>
    <s v="DRAPION"/>
    <m/>
    <x v="4"/>
    <x v="0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n v="1"/>
    <m/>
    <n v="1"/>
    <n v="1"/>
    <n v="1"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n v="3"/>
    <m/>
    <m/>
    <m/>
    <m/>
    <m/>
    <x v="4"/>
    <m/>
    <x v="5"/>
  </r>
  <r>
    <n v="315"/>
    <s v="FURFROU"/>
    <m/>
    <x v="18"/>
    <x v="4"/>
    <s v="x"/>
    <s v="x"/>
    <s v="x"/>
    <s v="x"/>
    <s v="x"/>
    <s v="x"/>
    <s v="x"/>
    <s v="x"/>
    <s v="x"/>
    <s v="x"/>
    <s v="180/0/0"/>
    <s v="n/a"/>
    <s v="n/a"/>
    <s v="n/a"/>
    <s v="n/a"/>
    <s v="n/a"/>
    <s v="n/a"/>
    <s v="n/a"/>
    <s v="Boro / Jos"/>
    <m/>
    <n v="1"/>
    <m/>
    <m/>
    <m/>
    <m/>
    <m/>
    <m/>
    <m/>
    <m/>
    <m/>
    <m/>
    <m/>
    <m/>
    <m/>
    <m/>
    <n v="1"/>
    <n v="1"/>
    <m/>
    <m/>
    <m/>
    <m/>
    <m/>
    <m/>
    <m/>
    <n v="1"/>
    <n v="1"/>
    <m/>
    <m/>
    <m/>
    <m/>
    <m/>
    <m/>
    <m/>
    <m/>
    <m/>
    <m/>
    <m/>
    <m/>
    <m/>
    <m/>
    <m/>
    <m/>
    <x v="86"/>
    <m/>
    <x v="4"/>
  </r>
  <r>
    <s v="x"/>
    <s v="FURFROU"/>
    <s v="Ash"/>
    <x v="18"/>
    <x v="11"/>
    <s v="x"/>
    <s v="x"/>
    <s v="x"/>
    <s v="x"/>
    <s v="x"/>
    <s v="x"/>
    <m/>
    <s v="x"/>
    <s v="x"/>
    <s v="x"/>
    <s v="105/0/0"/>
    <s v="n/a"/>
    <s v="n/a"/>
    <s v="n/a"/>
    <s v="n/a"/>
    <s v="n/a"/>
    <s v="n/a"/>
    <s v="n/a"/>
    <s v="Boro / Jos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n v="2"/>
    <m/>
    <m/>
    <m/>
    <m/>
    <m/>
    <x v="139"/>
    <m/>
    <x v="7"/>
  </r>
  <r>
    <s v="x"/>
    <s v="FURFROU"/>
    <s v="Fog"/>
    <x v="18"/>
    <x v="18"/>
    <s v="x"/>
    <s v="x"/>
    <s v="x"/>
    <s v="x"/>
    <s v="x"/>
    <s v="x"/>
    <m/>
    <s v="x"/>
    <s v="x"/>
    <s v="x"/>
    <s v="150/0/0"/>
    <s v="n/a"/>
    <s v="n/a"/>
    <s v="n/a"/>
    <s v="n/a"/>
    <s v="n/a"/>
    <s v="n/a"/>
    <s v="n/a"/>
    <s v="Boro / Jos"/>
    <m/>
    <m/>
    <m/>
    <m/>
    <m/>
    <m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x v="140"/>
    <m/>
    <x v="7"/>
  </r>
  <r>
    <s v="x"/>
    <s v="FURFROU"/>
    <s v="Rain"/>
    <x v="18"/>
    <x v="16"/>
    <s v="x"/>
    <s v="x"/>
    <s v="x"/>
    <s v="x"/>
    <s v="x"/>
    <s v="x"/>
    <m/>
    <s v="x"/>
    <s v="x"/>
    <s v="x"/>
    <s v="-40/10/10"/>
    <s v="n/a"/>
    <s v="n/a"/>
    <s v="n/a"/>
    <s v="n/a"/>
    <s v="n/a"/>
    <s v="n/a"/>
    <s v="n/a"/>
    <s v="Boro / Jos"/>
    <m/>
    <n v="1"/>
    <n v="1"/>
    <n v="1"/>
    <m/>
    <m/>
    <m/>
    <m/>
    <m/>
    <m/>
    <n v="1"/>
    <m/>
    <m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x v="141"/>
    <m/>
    <x v="7"/>
  </r>
  <r>
    <s v="x"/>
    <s v="FURFROU"/>
    <s v="Dust"/>
    <x v="18"/>
    <x v="15"/>
    <s v="x"/>
    <s v="x"/>
    <s v="x"/>
    <s v="x"/>
    <s v="x"/>
    <s v="x"/>
    <m/>
    <s v="x"/>
    <s v="x"/>
    <s v="x"/>
    <s v="180/0/0"/>
    <s v="n/a"/>
    <s v="n/a"/>
    <s v="n/a"/>
    <s v="n/a"/>
    <s v="n/a"/>
    <s v="n/a"/>
    <s v="n/a"/>
    <s v="Boro / Jos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x v="142"/>
    <m/>
    <x v="7"/>
  </r>
  <r>
    <s v="x"/>
    <s v="FURFROU"/>
    <s v="Storm"/>
    <x v="18"/>
    <x v="7"/>
    <s v="x"/>
    <s v="x"/>
    <s v="x"/>
    <s v="x"/>
    <s v="x"/>
    <s v="x"/>
    <m/>
    <s v="x"/>
    <s v="x"/>
    <s v="x"/>
    <s v="-15/10/5"/>
    <s v="n/a"/>
    <s v="n/a"/>
    <s v="n/a"/>
    <s v="n/a"/>
    <s v="n/a"/>
    <s v="n/a"/>
    <s v="n/a"/>
    <s v="Boro / Jos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1"/>
    <m/>
    <m/>
    <m/>
    <m/>
    <m/>
    <x v="143"/>
    <m/>
    <x v="7"/>
  </r>
  <r>
    <s v="x"/>
    <s v="FURFROU"/>
    <s v="Tornado"/>
    <x v="18"/>
    <x v="8"/>
    <s v="x"/>
    <s v="x"/>
    <s v="x"/>
    <s v="x"/>
    <s v="x"/>
    <s v="x"/>
    <m/>
    <s v="x"/>
    <s v="x"/>
    <s v="x"/>
    <s v="85/0/0"/>
    <s v="n/a"/>
    <s v="n/a"/>
    <s v="n/a"/>
    <s v="n/a"/>
    <s v="n/a"/>
    <s v="n/a"/>
    <s v="n/a"/>
    <s v="Boro / Jos"/>
    <m/>
    <m/>
    <m/>
    <m/>
    <m/>
    <m/>
    <m/>
    <m/>
    <m/>
    <m/>
    <m/>
    <m/>
    <m/>
    <m/>
    <m/>
    <m/>
    <m/>
    <m/>
    <m/>
    <m/>
    <n v="1"/>
    <m/>
    <m/>
    <m/>
    <m/>
    <n v="1"/>
    <n v="1"/>
    <n v="1"/>
    <m/>
    <m/>
    <m/>
    <m/>
    <m/>
    <m/>
    <m/>
    <m/>
    <m/>
    <n v="3"/>
    <m/>
    <m/>
    <m/>
    <m/>
    <m/>
    <x v="144"/>
    <m/>
    <x v="7"/>
  </r>
  <r>
    <n v="316"/>
    <s v="MELOETTA"/>
    <m/>
    <x v="0"/>
    <x v="8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Hexx_Vixtar"/>
    <m/>
    <m/>
    <m/>
    <m/>
    <n v="1"/>
    <n v="1"/>
    <m/>
    <m/>
    <m/>
    <n v="1"/>
    <m/>
    <m/>
    <m/>
    <m/>
    <m/>
    <m/>
    <m/>
    <m/>
    <m/>
    <m/>
    <m/>
    <m/>
    <m/>
    <n v="1"/>
    <n v="1"/>
    <m/>
    <m/>
    <m/>
    <m/>
    <m/>
    <m/>
    <m/>
    <m/>
    <m/>
    <m/>
    <m/>
    <m/>
    <n v="11"/>
    <n v="3"/>
    <n v="1"/>
    <m/>
    <m/>
    <m/>
    <x v="145"/>
    <m/>
    <x v="4"/>
  </r>
  <r>
    <n v="317"/>
    <s v="POOCHYENA"/>
    <m/>
    <x v="2"/>
    <x v="4"/>
    <s v="x"/>
    <s v="x"/>
    <m/>
    <s v="x"/>
    <s v="x"/>
    <s v="x"/>
    <s v="Need"/>
    <s v="x"/>
    <s v="x"/>
    <s v="x"/>
    <s v="-135/0/0"/>
    <s v="n/a"/>
    <s v="n/a"/>
    <s v="n/a"/>
    <s v="n/a"/>
    <s v="n/a"/>
    <s v="n/a"/>
    <s v="n/a"/>
    <s v="Riptidecord"/>
    <m/>
    <m/>
    <m/>
    <m/>
    <m/>
    <n v="1"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52"/>
    <s v="Not fully evolved"/>
    <x v="3"/>
  </r>
  <r>
    <n v="318"/>
    <s v="MIGHTYENA"/>
    <m/>
    <x v="2"/>
    <x v="4"/>
    <s v="x"/>
    <s v="x"/>
    <s v="x"/>
    <s v="x"/>
    <s v="x"/>
    <s v="x"/>
    <s v="Need"/>
    <s v="n/a"/>
    <s v="x"/>
    <s v="x"/>
    <s v="-135/0/0"/>
    <s v="n/a"/>
    <s v="n/a"/>
    <s v="n/a"/>
    <s v="n/a"/>
    <s v="n/a"/>
    <s v="n/a"/>
    <s v="n/a"/>
    <s v="Riptidecord"/>
    <m/>
    <m/>
    <m/>
    <m/>
    <m/>
    <n v="1"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1"/>
    <m/>
    <n v="1"/>
    <m/>
    <m/>
    <m/>
    <x v="52"/>
    <m/>
    <x v="3"/>
  </r>
  <r>
    <n v="319"/>
    <s v="LITTEN"/>
    <m/>
    <x v="19"/>
    <x v="13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n v="1"/>
    <n v="1"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46"/>
    <s v="Not fully evolved"/>
    <x v="6"/>
  </r>
  <r>
    <n v="320"/>
    <s v="TORRACAT"/>
    <m/>
    <x v="19"/>
    <x v="13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n v="1"/>
    <n v="1"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46"/>
    <s v="Not fully evolved"/>
    <x v="6"/>
  </r>
  <r>
    <n v="321"/>
    <s v="INCINEROAR"/>
    <m/>
    <x v="19"/>
    <x v="13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n v="1"/>
    <n v="1"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n v="17"/>
    <n v="4"/>
    <n v="2"/>
    <m/>
    <m/>
    <m/>
    <x v="146"/>
    <m/>
    <x v="6"/>
  </r>
  <r>
    <n v="322"/>
    <s v="SPIRITOMB"/>
    <m/>
    <x v="3"/>
    <x v="19"/>
    <s v="x"/>
    <s v="x"/>
    <s v="x"/>
    <s v="x"/>
    <s v="x"/>
    <s v="x"/>
    <m/>
    <s v="x"/>
    <s v="x"/>
    <s v="x"/>
    <s v="-8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4"/>
    <m/>
    <m/>
    <m/>
    <m/>
    <m/>
    <x v="147"/>
    <m/>
    <x v="5"/>
  </r>
  <r>
    <n v="323"/>
    <s v="ABSOL"/>
    <m/>
    <x v="11"/>
    <x v="4"/>
    <s v="x"/>
    <s v="x"/>
    <s v="x"/>
    <s v="x"/>
    <s v="x"/>
    <s v="x"/>
    <m/>
    <s v="x"/>
    <s v="x"/>
    <s v="x"/>
    <s v="-115/-5/0"/>
    <s v="x"/>
    <s v="x"/>
    <s v="x"/>
    <s v="x"/>
    <s v="x"/>
    <s v="x"/>
    <s v="x"/>
    <s v="Jos"/>
    <m/>
    <m/>
    <m/>
    <m/>
    <m/>
    <m/>
    <m/>
    <m/>
    <n v="1"/>
    <m/>
    <m/>
    <m/>
    <m/>
    <m/>
    <m/>
    <m/>
    <m/>
    <m/>
    <m/>
    <m/>
    <n v="1"/>
    <m/>
    <n v="1"/>
    <m/>
    <m/>
    <m/>
    <m/>
    <m/>
    <m/>
    <m/>
    <m/>
    <m/>
    <m/>
    <m/>
    <m/>
    <m/>
    <m/>
    <n v="1"/>
    <m/>
    <m/>
    <m/>
    <m/>
    <m/>
    <x v="120"/>
    <m/>
    <x v="3"/>
  </r>
  <r>
    <n v="324"/>
    <s v="HONEDGE"/>
    <m/>
    <x v="15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48"/>
    <s v="Not fully evolved"/>
    <x v="4"/>
  </r>
  <r>
    <n v="325"/>
    <s v="DOUBLADE"/>
    <m/>
    <x v="15"/>
    <x v="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48"/>
    <s v="Not fully evolved"/>
    <x v="4"/>
  </r>
  <r>
    <n v="326"/>
    <s v="AEGISLASH"/>
    <m/>
    <x v="15"/>
    <x v="5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n v="24"/>
    <n v="6"/>
    <m/>
    <m/>
    <m/>
    <m/>
    <x v="149"/>
    <m/>
    <x v="4"/>
  </r>
  <r>
    <s v="x"/>
    <s v="HONEDGE"/>
    <s v="Bow"/>
    <x v="9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n v="1"/>
    <n v="1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0"/>
    <s v="Not fully evolved"/>
    <x v="7"/>
  </r>
  <r>
    <s v="x"/>
    <s v="DOUBLADE"/>
    <s v="Bow"/>
    <x v="9"/>
    <x v="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n v="1"/>
    <n v="1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0"/>
    <s v="Not fully evolved"/>
    <x v="7"/>
  </r>
  <r>
    <s v="x"/>
    <s v="AEGISLASH"/>
    <s v="Bow"/>
    <x v="9"/>
    <x v="5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n v="1"/>
    <n v="1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n v="22"/>
    <n v="7"/>
    <m/>
    <m/>
    <m/>
    <m/>
    <x v="151"/>
    <m/>
    <x v="7"/>
  </r>
  <r>
    <s v="x"/>
    <s v="HONEDGE"/>
    <s v="Axe"/>
    <x v="0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x v="152"/>
    <s v="Not fully evolved"/>
    <x v="7"/>
  </r>
  <r>
    <s v="x"/>
    <s v="DOUBLADE"/>
    <s v="Axe"/>
    <x v="0"/>
    <x v="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x v="152"/>
    <s v="Not fully evolved"/>
    <x v="7"/>
  </r>
  <r>
    <s v="x"/>
    <s v="AEGISLASH"/>
    <s v="Axe"/>
    <x v="0"/>
    <x v="5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n v="16"/>
    <n v="1"/>
    <m/>
    <m/>
    <m/>
    <m/>
    <x v="153"/>
    <m/>
    <x v="7"/>
  </r>
  <r>
    <s v="x"/>
    <s v="HONEDGE"/>
    <s v="Hammer"/>
    <x v="4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n v="1"/>
    <m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7"/>
    <s v="Not fully evolved"/>
    <x v="7"/>
  </r>
  <r>
    <s v="x"/>
    <s v="DOUBLADE"/>
    <s v="Hammer"/>
    <x v="4"/>
    <x v="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n v="1"/>
    <m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7"/>
    <s v="Not fully evolved"/>
    <x v="7"/>
  </r>
  <r>
    <s v="x"/>
    <s v="AEGISLASH"/>
    <s v="Hammer"/>
    <x v="4"/>
    <x v="5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n v="1"/>
    <m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n v="5"/>
    <n v="2"/>
    <m/>
    <m/>
    <m/>
    <m/>
    <x v="154"/>
    <m/>
    <x v="7"/>
  </r>
  <r>
    <n v="327"/>
    <s v="BELDUM"/>
    <m/>
    <x v="3"/>
    <x v="1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Plates of Arceu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55"/>
    <s v="Not fully evolved"/>
    <x v="3"/>
  </r>
  <r>
    <n v="328"/>
    <s v="METANG"/>
    <m/>
    <x v="3"/>
    <x v="1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Plates of Arceu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55"/>
    <s v="Not fully evolved"/>
    <x v="3"/>
  </r>
  <r>
    <n v="329"/>
    <s v="METAGROSS"/>
    <m/>
    <x v="3"/>
    <x v="1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Plates of Arceu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13"/>
    <n v="5"/>
    <m/>
    <m/>
    <m/>
    <m/>
    <x v="155"/>
    <m/>
    <x v="3"/>
  </r>
  <r>
    <n v="330"/>
    <s v="DUNSPARCE"/>
    <m/>
    <x v="12"/>
    <x v="0"/>
    <s v="x"/>
    <s v="x"/>
    <s v="x"/>
    <s v="x"/>
    <s v="x"/>
    <s v="x"/>
    <s v="n/a"/>
    <s v="x"/>
    <s v="x"/>
    <s v="x"/>
    <s v="-95/0/0"/>
    <s v="n/a"/>
    <s v="n/a"/>
    <s v="n/a"/>
    <s v="n/a"/>
    <s v="n/a"/>
    <s v="n/a"/>
    <s v="n/a"/>
    <s v="Plates of Arceus"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56"/>
    <s v="Not fully evolved"/>
    <x v="2"/>
  </r>
  <r>
    <n v="331"/>
    <s v="MEDITITE"/>
    <m/>
    <x v="11"/>
    <x v="14"/>
    <s v="x"/>
    <s v="x"/>
    <m/>
    <s v="x"/>
    <s v="x"/>
    <s v="x"/>
    <s v="x"/>
    <s v="x"/>
    <s v="x"/>
    <s v="x"/>
    <s v="-110/0/0"/>
    <s v="n/a"/>
    <s v="n/a"/>
    <s v="n/a"/>
    <s v="n/a"/>
    <s v="n/a"/>
    <s v="n/a"/>
    <s v="n/a"/>
    <s v="Jos"/>
    <m/>
    <m/>
    <m/>
    <m/>
    <m/>
    <m/>
    <n v="1"/>
    <n v="1"/>
    <n v="1"/>
    <m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157"/>
    <s v="Not fully evolved"/>
    <x v="3"/>
  </r>
  <r>
    <n v="332"/>
    <s v="MEDICHAM"/>
    <m/>
    <x v="11"/>
    <x v="14"/>
    <s v="x"/>
    <s v="x"/>
    <s v="x"/>
    <s v="x"/>
    <s v="x"/>
    <s v="x"/>
    <s v="x"/>
    <s v="n/a"/>
    <s v="x"/>
    <s v="x"/>
    <s v="-110/0/0"/>
    <s v="x"/>
    <s v="x"/>
    <s v="x"/>
    <s v="x"/>
    <s v="x"/>
    <s v="x"/>
    <s v="x"/>
    <s v="Jos"/>
    <m/>
    <m/>
    <m/>
    <m/>
    <m/>
    <m/>
    <n v="1"/>
    <n v="1"/>
    <n v="1"/>
    <m/>
    <m/>
    <m/>
    <m/>
    <m/>
    <m/>
    <m/>
    <m/>
    <m/>
    <m/>
    <m/>
    <m/>
    <m/>
    <m/>
    <n v="1"/>
    <m/>
    <n v="1"/>
    <n v="1"/>
    <m/>
    <m/>
    <m/>
    <m/>
    <m/>
    <m/>
    <m/>
    <m/>
    <m/>
    <m/>
    <n v="7"/>
    <n v="3"/>
    <m/>
    <m/>
    <m/>
    <m/>
    <x v="157"/>
    <m/>
    <x v="3"/>
  </r>
  <r>
    <n v="333"/>
    <s v="NINCADA"/>
    <m/>
    <x v="17"/>
    <x v="21"/>
    <s v="x"/>
    <s v="x"/>
    <m/>
    <s v="x"/>
    <s v="x"/>
    <s v="x"/>
    <m/>
    <s v="x"/>
    <s v="x"/>
    <s v="x"/>
    <s v="-75/0/0"/>
    <s v="n/a"/>
    <s v="n/a"/>
    <s v="n/a"/>
    <s v="n/a"/>
    <s v="n/a"/>
    <s v="n/a"/>
    <s v="n/a"/>
    <s v="Jos"/>
    <m/>
    <n v="1"/>
    <n v="1"/>
    <m/>
    <m/>
    <n v="1"/>
    <m/>
    <m/>
    <n v="1"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110"/>
    <s v="Not fully evolved"/>
    <x v="3"/>
  </r>
  <r>
    <n v="334"/>
    <s v="NINJASK"/>
    <m/>
    <x v="10"/>
    <x v="21"/>
    <s v="x"/>
    <s v="x"/>
    <s v="x"/>
    <s v="x"/>
    <s v="x"/>
    <s v="x"/>
    <m/>
    <s v="n/a"/>
    <s v="x"/>
    <s v="x"/>
    <s v="110/0/0"/>
    <s v="n/a"/>
    <s v="n/a"/>
    <s v="n/a"/>
    <s v="n/a"/>
    <s v="n/a"/>
    <s v="n/a"/>
    <s v="n/a"/>
    <s v="Jos"/>
    <m/>
    <m/>
    <m/>
    <n v="1"/>
    <n v="1"/>
    <m/>
    <m/>
    <m/>
    <m/>
    <m/>
    <m/>
    <m/>
    <m/>
    <m/>
    <m/>
    <m/>
    <m/>
    <m/>
    <m/>
    <m/>
    <m/>
    <m/>
    <n v="1"/>
    <m/>
    <m/>
    <n v="1"/>
    <n v="1"/>
    <n v="1"/>
    <m/>
    <m/>
    <m/>
    <m/>
    <m/>
    <m/>
    <m/>
    <m/>
    <m/>
    <n v="3"/>
    <m/>
    <m/>
    <m/>
    <m/>
    <m/>
    <x v="158"/>
    <m/>
    <x v="3"/>
  </r>
  <r>
    <n v="335"/>
    <s v="SHEDINJA"/>
    <m/>
    <x v="11"/>
    <x v="21"/>
    <s v="x"/>
    <s v="x"/>
    <s v="x"/>
    <s v="x"/>
    <s v="x"/>
    <s v="x"/>
    <m/>
    <s v="n/a"/>
    <s v="x"/>
    <s v="x"/>
    <s v="-140/0/0"/>
    <s v="n/a"/>
    <s v="n/a"/>
    <s v="n/a"/>
    <s v="n/a"/>
    <s v="n/a"/>
    <s v="n/a"/>
    <s v="n/a"/>
    <s v="Jos"/>
    <m/>
    <m/>
    <m/>
    <m/>
    <n v="1"/>
    <m/>
    <m/>
    <m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n v="1"/>
    <m/>
    <m/>
    <m/>
    <m/>
    <m/>
    <x v="159"/>
    <m/>
    <x v="3"/>
  </r>
  <r>
    <n v="336"/>
    <s v="DEINO"/>
    <m/>
    <x v="16"/>
    <x v="17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Plates of Arceus"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0"/>
    <s v="Not fully evolved"/>
    <x v="1"/>
  </r>
  <r>
    <n v="337"/>
    <s v="ZWEILOUS"/>
    <m/>
    <x v="16"/>
    <x v="17"/>
    <s v="x"/>
    <s v="x"/>
    <m/>
    <s v="x"/>
    <s v="x"/>
    <s v="x"/>
    <m/>
    <s v="n/a"/>
    <s v="x"/>
    <s v="x"/>
    <s v="Custom"/>
    <s v="n/a"/>
    <s v="n/a"/>
    <s v="n/a"/>
    <s v="n/a"/>
    <s v="n/a"/>
    <s v="n/a"/>
    <s v="n/a"/>
    <s v="Plates of Arceus"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0"/>
    <s v="Not fully evolved"/>
    <x v="1"/>
  </r>
  <r>
    <n v="338"/>
    <s v="HYDREIGON"/>
    <m/>
    <x v="16"/>
    <x v="17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Plates of Arceus"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"/>
    <m/>
    <m/>
    <m/>
    <m/>
    <x v="160"/>
    <m/>
    <x v="1"/>
  </r>
  <r>
    <n v="339"/>
    <s v="CHERUBI"/>
    <m/>
    <x v="9"/>
    <x v="16"/>
    <s v="x"/>
    <s v="x"/>
    <m/>
    <s v="x"/>
    <s v="x"/>
    <s v="x"/>
    <s v="Need"/>
    <s v="x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x v="161"/>
    <s v="Not fully evolved"/>
    <x v="5"/>
  </r>
  <r>
    <s v="x"/>
    <s v="CHERRIM"/>
    <s v="Overcast"/>
    <x v="9"/>
    <x v="16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1"/>
    <n v="1"/>
    <m/>
    <m/>
    <m/>
    <m/>
    <x v="161"/>
    <m/>
    <x v="7"/>
  </r>
  <r>
    <n v="340"/>
    <s v="CHERRIM"/>
    <m/>
    <x v="15"/>
    <x v="16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1"/>
    <n v="1"/>
    <m/>
    <m/>
    <m/>
    <m/>
    <x v="162"/>
    <m/>
    <x v="5"/>
  </r>
  <r>
    <n v="341"/>
    <s v="GOSSIFLEUR"/>
    <m/>
    <x v="10"/>
    <x v="9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"/>
    <m/>
    <m/>
    <m/>
    <n v="1"/>
    <n v="1"/>
    <m/>
    <m/>
    <m/>
    <m/>
    <n v="1"/>
    <m/>
    <m/>
    <m/>
    <m/>
    <m/>
    <m/>
    <m/>
    <m/>
    <m/>
    <m/>
    <m/>
    <m/>
    <m/>
    <n v="1"/>
    <m/>
    <m/>
    <m/>
    <n v="1"/>
    <m/>
    <m/>
    <m/>
    <m/>
    <m/>
    <m/>
    <m/>
    <m/>
    <m/>
    <m/>
    <m/>
    <m/>
    <m/>
    <m/>
    <m/>
    <x v="163"/>
    <s v="Not fully evolved"/>
    <x v="8"/>
  </r>
  <r>
    <n v="342"/>
    <s v="ELDEGOSS"/>
    <m/>
    <x v="10"/>
    <x v="9"/>
    <s v="x"/>
    <s v="x"/>
    <s v="x"/>
    <s v="x"/>
    <s v="x"/>
    <s v="x"/>
    <s v="Need"/>
    <s v="n/a"/>
    <s v="x"/>
    <s v="x"/>
    <s v="180/0/0"/>
    <s v="n/a"/>
    <s v="n/a"/>
    <s v="n/a"/>
    <s v="n/a"/>
    <s v="n/a"/>
    <s v="n/a"/>
    <s v="n/a"/>
    <s v="Jos"/>
    <m/>
    <m/>
    <m/>
    <n v="1"/>
    <n v="1"/>
    <m/>
    <m/>
    <m/>
    <m/>
    <n v="1"/>
    <m/>
    <m/>
    <m/>
    <m/>
    <m/>
    <m/>
    <m/>
    <m/>
    <m/>
    <m/>
    <m/>
    <m/>
    <m/>
    <n v="1"/>
    <m/>
    <m/>
    <m/>
    <n v="1"/>
    <m/>
    <m/>
    <m/>
    <m/>
    <m/>
    <m/>
    <m/>
    <m/>
    <m/>
    <m/>
    <m/>
    <m/>
    <m/>
    <m/>
    <m/>
    <x v="163"/>
    <m/>
    <x v="8"/>
  </r>
  <r>
    <n v="343"/>
    <s v="ESPURR"/>
    <m/>
    <x v="16"/>
    <x v="18"/>
    <s v="x"/>
    <s v="x"/>
    <m/>
    <s v="x"/>
    <s v="x"/>
    <s v="x"/>
    <s v="x"/>
    <s v="x"/>
    <s v="x"/>
    <s v="x"/>
    <s v="180/0/0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64"/>
    <s v="Not fully evolved"/>
    <x v="4"/>
  </r>
  <r>
    <n v="344"/>
    <s v="MEOWSTIC"/>
    <m/>
    <x v="16"/>
    <x v="18"/>
    <s v="x"/>
    <s v="x"/>
    <s v="x"/>
    <s v="x"/>
    <s v="x"/>
    <s v="x"/>
    <m/>
    <s v="n/a"/>
    <s v="x"/>
    <s v="x"/>
    <s v="180/0/0"/>
    <s v="x"/>
    <s v="x"/>
    <s v="x"/>
    <s v="x"/>
    <s v="x"/>
    <s v="x"/>
    <s v="x"/>
    <s v="Jos/ Valrex (mega)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n v="5"/>
    <m/>
    <m/>
    <m/>
    <m/>
    <m/>
    <x v="164"/>
    <m/>
    <x v="4"/>
  </r>
  <r>
    <s v="x"/>
    <s v="ESPURR"/>
    <s v="Arsonist"/>
    <x v="16"/>
    <x v="11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x v="165"/>
    <s v="Not fully evolved"/>
    <x v="7"/>
  </r>
  <r>
    <s v="x"/>
    <s v="MEOWSTIC"/>
    <s v="Arsonist"/>
    <x v="16"/>
    <x v="11"/>
    <s v="x"/>
    <s v="x"/>
    <s v="x"/>
    <s v="x"/>
    <s v="x"/>
    <s v="x"/>
    <m/>
    <s v="n/a"/>
    <s v="x"/>
    <s v="x"/>
    <s v="180/0/0"/>
    <s v="x"/>
    <s v="x"/>
    <s v="x"/>
    <s v="x"/>
    <s v="x"/>
    <s v="x"/>
    <s v="x"/>
    <s v="Jos/ Valrex (mega)"/>
    <m/>
    <m/>
    <m/>
    <m/>
    <m/>
    <m/>
    <m/>
    <m/>
    <n v="1"/>
    <n v="1"/>
    <m/>
    <m/>
    <m/>
    <m/>
    <m/>
    <m/>
    <m/>
    <m/>
    <m/>
    <m/>
    <m/>
    <n v="1"/>
    <n v="1"/>
    <m/>
    <m/>
    <m/>
    <m/>
    <m/>
    <m/>
    <m/>
    <m/>
    <m/>
    <m/>
    <m/>
    <m/>
    <m/>
    <m/>
    <n v="7"/>
    <n v="2"/>
    <n v="1"/>
    <m/>
    <m/>
    <m/>
    <x v="165"/>
    <m/>
    <x v="7"/>
  </r>
  <r>
    <n v="345"/>
    <s v="CORSOLA"/>
    <m/>
    <x v="1"/>
    <x v="0"/>
    <s v="x"/>
    <s v="x"/>
    <m/>
    <s v="x"/>
    <s v="x"/>
    <s v="x"/>
    <s v="x"/>
    <s v="x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n v="1"/>
    <n v="1"/>
    <n v="1"/>
    <n v="1"/>
    <m/>
    <m/>
    <m/>
    <m/>
    <m/>
    <m/>
    <n v="1"/>
    <m/>
    <m/>
    <m/>
    <m/>
    <m/>
    <m/>
    <m/>
    <m/>
    <m/>
    <m/>
    <m/>
    <m/>
    <m/>
    <m/>
    <m/>
    <m/>
    <m/>
    <m/>
    <m/>
    <m/>
    <m/>
    <x v="166"/>
    <s v="Not fully evolved"/>
    <x v="2"/>
  </r>
  <r>
    <n v="346"/>
    <s v="CURSOLA"/>
    <m/>
    <x v="1"/>
    <x v="0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n v="1"/>
    <n v="1"/>
    <n v="1"/>
    <n v="1"/>
    <m/>
    <m/>
    <m/>
    <m/>
    <m/>
    <m/>
    <n v="1"/>
    <m/>
    <m/>
    <m/>
    <m/>
    <m/>
    <m/>
    <m/>
    <m/>
    <m/>
    <m/>
    <m/>
    <m/>
    <m/>
    <m/>
    <m/>
    <n v="3"/>
    <n v="1"/>
    <m/>
    <m/>
    <m/>
    <m/>
    <x v="166"/>
    <m/>
    <x v="8"/>
  </r>
  <r>
    <n v="347"/>
    <s v="PIDGEY"/>
    <m/>
    <x v="2"/>
    <x v="2"/>
    <s v="x"/>
    <s v="x"/>
    <m/>
    <s v="x"/>
    <s v="x"/>
    <s v="x"/>
    <s v="x"/>
    <s v="x"/>
    <s v="x"/>
    <s v="x"/>
    <s v="115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x v="2"/>
    <s v="Not fully evolved"/>
    <x v="0"/>
  </r>
  <r>
    <n v="348"/>
    <s v="PIDGEOTTO"/>
    <m/>
    <x v="2"/>
    <x v="2"/>
    <s v="x"/>
    <s v="x"/>
    <m/>
    <s v="x"/>
    <s v="x"/>
    <s v="x"/>
    <s v="x"/>
    <s v="n/a"/>
    <s v="x"/>
    <s v="x"/>
    <s v="115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x v="2"/>
    <s v="Not fully evolved"/>
    <x v="0"/>
  </r>
  <r>
    <n v="349"/>
    <s v="PIDGEOT"/>
    <m/>
    <x v="2"/>
    <x v="2"/>
    <s v="x"/>
    <s v="x"/>
    <s v="x"/>
    <s v="x"/>
    <s v="x"/>
    <s v="x"/>
    <s v="x"/>
    <s v="n/a"/>
    <s v="x"/>
    <s v="x"/>
    <s v="115/0/0"/>
    <s v="x"/>
    <s v="x"/>
    <s v="x"/>
    <s v="x"/>
    <s v="x"/>
    <s v="x"/>
    <s v="x"/>
    <s v="Jos"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n v="4"/>
    <m/>
    <m/>
    <m/>
    <m/>
    <m/>
    <x v="2"/>
    <m/>
    <x v="0"/>
  </r>
  <r>
    <n v="350"/>
    <s v="MANTYKE"/>
    <m/>
    <x v="1"/>
    <x v="7"/>
    <s v="x"/>
    <s v="x"/>
    <m/>
    <s v="x"/>
    <s v="x"/>
    <s v="x"/>
    <s v="x"/>
    <s v="x"/>
    <s v="x"/>
    <s v="x"/>
    <s v="-115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67"/>
    <s v="Not fully evolved"/>
    <x v="5"/>
  </r>
  <r>
    <n v="351"/>
    <s v="MANTINE"/>
    <m/>
    <x v="1"/>
    <x v="7"/>
    <s v="x"/>
    <s v="x"/>
    <s v="x"/>
    <s v="x"/>
    <s v="x"/>
    <s v="x"/>
    <s v="x"/>
    <s v="n/a"/>
    <s v="x"/>
    <s v="x"/>
    <s v="-115/0/0"/>
    <s v="n/a"/>
    <s v="n/a"/>
    <s v="n/a"/>
    <s v="n/a"/>
    <s v="n/a"/>
    <s v="n/a"/>
    <s v="n/a"/>
    <s v="Jos/Hypertox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3"/>
    <n v="2"/>
    <n v="1"/>
    <m/>
    <m/>
    <m/>
    <x v="167"/>
    <m/>
    <x v="2"/>
  </r>
  <r>
    <n v="352"/>
    <s v="LILEEP"/>
    <m/>
    <x v="17"/>
    <x v="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n v="1"/>
    <m/>
    <m/>
    <m/>
    <m/>
    <m/>
    <m/>
    <n v="1"/>
    <m/>
    <m/>
    <m/>
    <m/>
    <m/>
    <m/>
    <m/>
    <m/>
    <m/>
    <m/>
    <m/>
    <m/>
    <m/>
    <m/>
    <m/>
    <m/>
    <m/>
    <x v="168"/>
    <s v="Not fully evolved"/>
    <x v="3"/>
  </r>
  <r>
    <n v="353"/>
    <s v="CRADILY"/>
    <m/>
    <x v="17"/>
    <x v="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n v="1"/>
    <m/>
    <m/>
    <m/>
    <m/>
    <m/>
    <m/>
    <n v="1"/>
    <m/>
    <m/>
    <m/>
    <m/>
    <m/>
    <m/>
    <m/>
    <m/>
    <m/>
    <m/>
    <m/>
    <n v="3"/>
    <n v="1"/>
    <m/>
    <m/>
    <m/>
    <m/>
    <x v="168"/>
    <m/>
    <x v="3"/>
  </r>
  <r>
    <n v="354"/>
    <s v="MURKROW"/>
    <m/>
    <x v="17"/>
    <x v="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"/>
    <m/>
    <n v="1"/>
    <m/>
    <m/>
    <m/>
    <m/>
    <m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n v="1"/>
    <m/>
    <m/>
    <m/>
    <m/>
    <m/>
    <x v="168"/>
    <s v="Not fully evolved"/>
    <x v="2"/>
  </r>
  <r>
    <n v="355"/>
    <s v="HONCHKROW"/>
    <m/>
    <x v="17"/>
    <x v="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Jos"/>
    <m/>
    <n v="1"/>
    <m/>
    <m/>
    <m/>
    <m/>
    <m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n v="4"/>
    <n v="1"/>
    <m/>
    <m/>
    <m/>
    <m/>
    <x v="168"/>
    <m/>
    <x v="5"/>
  </r>
  <r>
    <n v="356"/>
    <s v="CACNEA"/>
    <m/>
    <x v="2"/>
    <x v="1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Boro / 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169"/>
    <s v="Not fully evolved"/>
    <x v="3"/>
  </r>
  <r>
    <n v="357"/>
    <s v="CACTURNE"/>
    <m/>
    <x v="2"/>
    <x v="1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Boro / 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2"/>
    <m/>
    <m/>
    <m/>
    <m/>
    <m/>
    <x v="169"/>
    <m/>
    <x v="3"/>
  </r>
  <r>
    <n v="358"/>
    <s v="HAPPINY"/>
    <m/>
    <x v="17"/>
    <x v="5"/>
    <s v="x"/>
    <s v="x"/>
    <m/>
    <s v="x"/>
    <s v="x"/>
    <s v="x"/>
    <m/>
    <s v="x"/>
    <s v="x"/>
    <s v="x"/>
    <s v="-90/-1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70"/>
    <s v="Not fully evolved"/>
    <x v="5"/>
  </r>
  <r>
    <n v="359"/>
    <s v="CHANSEY"/>
    <m/>
    <x v="17"/>
    <x v="5"/>
    <s v="x"/>
    <s v="x"/>
    <m/>
    <s v="x"/>
    <s v="x"/>
    <s v="x"/>
    <m/>
    <s v="n/a"/>
    <s v="x"/>
    <s v="x"/>
    <s v="-90/-1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70"/>
    <s v="Not fully evolved"/>
    <x v="0"/>
  </r>
  <r>
    <n v="360"/>
    <s v="BLISSEY"/>
    <m/>
    <x v="17"/>
    <x v="5"/>
    <s v="x"/>
    <s v="x"/>
    <s v="x"/>
    <s v="x"/>
    <s v="x"/>
    <s v="x"/>
    <s v="x"/>
    <s v="n/a"/>
    <s v="x"/>
    <s v="x"/>
    <s v="-90/-10/0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2"/>
    <m/>
    <m/>
    <m/>
    <m/>
    <m/>
    <x v="170"/>
    <m/>
    <x v="2"/>
  </r>
  <r>
    <n v="361"/>
    <s v="TENTACOOL"/>
    <m/>
    <x v="3"/>
    <x v="6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n v="1"/>
    <m/>
    <m/>
    <m/>
    <m/>
    <m/>
    <m/>
    <m/>
    <m/>
    <m/>
    <m/>
    <m/>
    <m/>
    <m/>
    <m/>
    <m/>
    <m/>
    <m/>
    <m/>
    <m/>
    <m/>
    <x v="171"/>
    <s v="Not fully evolved"/>
    <x v="0"/>
  </r>
  <r>
    <n v="362"/>
    <s v="TENTACRUEL"/>
    <m/>
    <x v="3"/>
    <x v="6"/>
    <s v="x"/>
    <s v="x"/>
    <s v="x"/>
    <s v="x"/>
    <s v="x"/>
    <s v="x"/>
    <s v="x"/>
    <s v="n/a"/>
    <s v="x"/>
    <s v="x"/>
    <s v="n/a"/>
    <s v="x"/>
    <s v="x"/>
    <s v="x"/>
    <s v="x"/>
    <s v="x"/>
    <s v="x"/>
    <s v="x"/>
    <s v="Jos"/>
    <m/>
    <m/>
    <m/>
    <m/>
    <m/>
    <m/>
    <m/>
    <m/>
    <m/>
    <m/>
    <m/>
    <m/>
    <n v="1"/>
    <n v="1"/>
    <n v="1"/>
    <n v="1"/>
    <m/>
    <m/>
    <m/>
    <m/>
    <m/>
    <m/>
    <n v="1"/>
    <m/>
    <m/>
    <m/>
    <m/>
    <m/>
    <m/>
    <m/>
    <m/>
    <m/>
    <m/>
    <m/>
    <m/>
    <m/>
    <m/>
    <n v="2"/>
    <m/>
    <m/>
    <m/>
    <m/>
    <m/>
    <x v="171"/>
    <m/>
    <x v="0"/>
  </r>
  <r>
    <n v="363"/>
    <s v="BOUNSWEET"/>
    <m/>
    <x v="11"/>
    <x v="10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122"/>
    <s v="Not fully evolved"/>
    <x v="6"/>
  </r>
  <r>
    <n v="364"/>
    <s v="STEENEE"/>
    <m/>
    <x v="11"/>
    <x v="10"/>
    <s v="x"/>
    <s v="x"/>
    <m/>
    <s v="x"/>
    <s v="x"/>
    <s v="x"/>
    <m/>
    <s v="n/a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122"/>
    <s v="Not fully evolved"/>
    <x v="6"/>
  </r>
  <r>
    <n v="365"/>
    <s v="TSAREENA"/>
    <m/>
    <x v="11"/>
    <x v="10"/>
    <s v="x"/>
    <s v="x"/>
    <s v="x"/>
    <s v="x"/>
    <s v="x"/>
    <s v="x"/>
    <m/>
    <s v="n/a"/>
    <s v="x"/>
    <s v="x"/>
    <s v="Custom"/>
    <s v="xx"/>
    <s v="xx"/>
    <s v="xx"/>
    <s v="xx"/>
    <s v="xx"/>
    <s v="xx"/>
    <s v="xx"/>
    <s v="Hexx_Vixtar"/>
    <m/>
    <m/>
    <m/>
    <m/>
    <m/>
    <m/>
    <m/>
    <m/>
    <m/>
    <n v="1"/>
    <m/>
    <m/>
    <m/>
    <m/>
    <m/>
    <m/>
    <m/>
    <m/>
    <m/>
    <m/>
    <m/>
    <m/>
    <n v="1"/>
    <m/>
    <m/>
    <m/>
    <m/>
    <m/>
    <m/>
    <m/>
    <m/>
    <m/>
    <m/>
    <m/>
    <m/>
    <m/>
    <m/>
    <n v="39"/>
    <n v="4"/>
    <n v="1"/>
    <m/>
    <m/>
    <m/>
    <x v="122"/>
    <m/>
    <x v="6"/>
  </r>
  <r>
    <n v="366"/>
    <s v="GROWLITHE"/>
    <m/>
    <x v="3"/>
    <x v="17"/>
    <s v="x"/>
    <s v="x"/>
    <m/>
    <s v="x"/>
    <s v="x"/>
    <s v="x"/>
    <s v="x"/>
    <s v="x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172"/>
    <s v="Not fully evolved"/>
    <x v="0"/>
  </r>
  <r>
    <n v="367"/>
    <s v="ARCANINE"/>
    <m/>
    <x v="3"/>
    <x v="17"/>
    <s v="x"/>
    <s v="x"/>
    <s v="x"/>
    <s v="x"/>
    <s v="x"/>
    <s v="x"/>
    <s v="x"/>
    <s v="n/a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14"/>
    <n v="3"/>
    <n v="1"/>
    <m/>
    <m/>
    <m/>
    <x v="172"/>
    <m/>
    <x v="0"/>
  </r>
  <r>
    <n v="368"/>
    <s v="ELGYEM"/>
    <m/>
    <x v="3"/>
    <x v="10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173"/>
    <s v="Not fully evolved"/>
    <x v="1"/>
  </r>
  <r>
    <n v="369"/>
    <s v="BEHEEYEM"/>
    <m/>
    <x v="3"/>
    <x v="10"/>
    <s v="x"/>
    <s v="x"/>
    <s v="x"/>
    <s v="x"/>
    <s v="x"/>
    <s v="x"/>
    <s v="x"/>
    <s v="n/a"/>
    <s v="x"/>
    <s v="x"/>
    <s v="n/a"/>
    <s v="x"/>
    <s v="x"/>
    <s v="x"/>
    <s v="x"/>
    <s v="x"/>
    <s v="x"/>
    <s v="x"/>
    <s v="Jos / PDM20 (Mega)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3"/>
    <n v="1"/>
    <m/>
    <m/>
    <m/>
    <m/>
    <x v="173"/>
    <m/>
    <x v="1"/>
  </r>
  <r>
    <n v="370"/>
    <s v="SILICOBRA"/>
    <m/>
    <x v="1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4"/>
    <s v="Not fully evolved"/>
    <x v="8"/>
  </r>
  <r>
    <n v="371"/>
    <s v="SANDACONDA"/>
    <m/>
    <x v="1"/>
    <x v="4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Endless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x v="174"/>
    <m/>
    <x v="8"/>
  </r>
  <r>
    <n v="372"/>
    <s v="PICHU"/>
    <m/>
    <x v="20"/>
    <x v="5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75"/>
    <s v="Not fully evolved"/>
    <x v="2"/>
  </r>
  <r>
    <n v="373"/>
    <s v="PIKACHU"/>
    <m/>
    <x v="20"/>
    <x v="5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75"/>
    <s v="Not fully evolved"/>
    <x v="0"/>
  </r>
  <r>
    <n v="374"/>
    <s v="RAICHU"/>
    <m/>
    <x v="20"/>
    <x v="5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Hexx_Vixtar/ PDM20 (Mega)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13"/>
    <n v="2"/>
    <m/>
    <m/>
    <m/>
    <m/>
    <x v="175"/>
    <m/>
    <x v="2"/>
  </r>
  <r>
    <n v="375"/>
    <s v="YAMASK"/>
    <m/>
    <x v="20"/>
    <x v="18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n v="1"/>
    <n v="1"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6"/>
    <s v="Not fully evolved"/>
    <x v="1"/>
  </r>
  <r>
    <n v="376"/>
    <s v="COFAGRIGUS"/>
    <m/>
    <x v="20"/>
    <x v="18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Endless"/>
    <m/>
    <m/>
    <m/>
    <n v="1"/>
    <n v="1"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x v="176"/>
    <m/>
    <x v="1"/>
  </r>
  <r>
    <n v="377"/>
    <s v="SINISTEA"/>
    <m/>
    <x v="1"/>
    <x v="0"/>
    <s v="x"/>
    <s v="x"/>
    <m/>
    <s v="x"/>
    <s v="x"/>
    <s v="x"/>
    <m/>
    <s v="x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n v="1"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66"/>
    <s v="Not fully evolved"/>
    <x v="8"/>
  </r>
  <r>
    <n v="378"/>
    <s v="POLTEAGEIST"/>
    <m/>
    <x v="1"/>
    <x v="0"/>
    <s v="x"/>
    <s v="x"/>
    <s v="x"/>
    <s v="x"/>
    <s v="x"/>
    <s v="x"/>
    <m/>
    <s v="n/a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n v="1"/>
    <m/>
    <m/>
    <m/>
    <m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x v="166"/>
    <m/>
    <x v="8"/>
  </r>
  <r>
    <n v="379"/>
    <s v="THROH"/>
    <m/>
    <x v="13"/>
    <x v="14"/>
    <s v="x"/>
    <s v="x"/>
    <s v="x"/>
    <s v="x"/>
    <s v="x"/>
    <s v="x"/>
    <m/>
    <s v="x"/>
    <s v="x"/>
    <s v="x"/>
    <s v="n/a"/>
    <s v="n/a"/>
    <s v="n/a"/>
    <s v="n/a"/>
    <s v="n/a"/>
    <s v="n/a"/>
    <s v="n/a"/>
    <s v="n/a"/>
    <s v="Boro / Jos"/>
    <m/>
    <m/>
    <m/>
    <m/>
    <n v="1"/>
    <n v="1"/>
    <m/>
    <n v="1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n v="1"/>
    <m/>
    <m/>
    <m/>
    <m/>
    <x v="177"/>
    <m/>
    <x v="1"/>
  </r>
  <r>
    <n v="380"/>
    <s v="SAWK"/>
    <m/>
    <x v="13"/>
    <x v="14"/>
    <s v="x"/>
    <s v="x"/>
    <s v="x"/>
    <s v="x"/>
    <s v="x"/>
    <s v="x"/>
    <m/>
    <s v="x"/>
    <s v="x"/>
    <s v="x"/>
    <s v="n/a"/>
    <s v="n/a"/>
    <s v="n/a"/>
    <s v="n/a"/>
    <s v="n/a"/>
    <s v="n/a"/>
    <s v="n/a"/>
    <s v="n/a"/>
    <s v="Jos"/>
    <m/>
    <m/>
    <m/>
    <m/>
    <n v="1"/>
    <n v="1"/>
    <m/>
    <n v="1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x v="177"/>
    <m/>
    <x v="1"/>
  </r>
  <r>
    <n v="381"/>
    <s v="SANDILE"/>
    <m/>
    <x v="1"/>
    <x v="10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Plates of Arceus"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x v="178"/>
    <s v="Not fully evolved"/>
    <x v="1"/>
  </r>
  <r>
    <n v="382"/>
    <s v="KROKOROK"/>
    <m/>
    <x v="1"/>
    <x v="10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Plates of Arceus"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x v="178"/>
    <s v="Not fully evolved"/>
    <x v="1"/>
  </r>
  <r>
    <n v="383"/>
    <s v="KROOKODILE"/>
    <m/>
    <x v="1"/>
    <x v="10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Plates of Arceus"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7"/>
    <n v="3"/>
    <m/>
    <m/>
    <m/>
    <m/>
    <x v="178"/>
    <m/>
    <x v="1"/>
  </r>
  <r>
    <n v="384"/>
    <s v="MUDKIP"/>
    <m/>
    <x v="3"/>
    <x v="11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x v="179"/>
    <s v="Not fully evolved"/>
    <x v="3"/>
  </r>
  <r>
    <n v="385"/>
    <s v="MARSHTOMP"/>
    <m/>
    <x v="3"/>
    <x v="11"/>
    <s v="x"/>
    <s v="x"/>
    <m/>
    <s v="x"/>
    <s v="x"/>
    <s v="x"/>
    <m/>
    <s v="n/a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x v="179"/>
    <s v="Not fully evolved"/>
    <x v="3"/>
  </r>
  <r>
    <n v="386"/>
    <s v="SWAMPERT"/>
    <m/>
    <x v="3"/>
    <x v="11"/>
    <s v="x"/>
    <s v="x"/>
    <s v="x"/>
    <s v="x"/>
    <s v="x"/>
    <s v="x"/>
    <m/>
    <s v="n/a"/>
    <s v="x"/>
    <s v="x"/>
    <s v="Custom"/>
    <s v="x"/>
    <s v="x"/>
    <s v="x"/>
    <s v="x"/>
    <s v="x"/>
    <s v="x"/>
    <s v="x"/>
    <s v="Hexx_Vixtar/ PDM20 (Mega)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n v="11"/>
    <n v="6"/>
    <m/>
    <m/>
    <m/>
    <m/>
    <x v="179"/>
    <m/>
    <x v="3"/>
  </r>
  <r>
    <n v="387"/>
    <s v="GOLDEEN"/>
    <m/>
    <x v="5"/>
    <x v="6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Boro / Endless"/>
    <m/>
    <m/>
    <m/>
    <m/>
    <m/>
    <m/>
    <m/>
    <m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180"/>
    <s v="Not fully evolved"/>
    <x v="0"/>
  </r>
  <r>
    <n v="388"/>
    <s v="SEAKING"/>
    <m/>
    <x v="5"/>
    <x v="6"/>
    <s v="x"/>
    <s v="x"/>
    <s v="x"/>
    <s v="x"/>
    <s v="x"/>
    <s v="x"/>
    <s v="x"/>
    <s v="n/a"/>
    <s v="x"/>
    <s v="x"/>
    <s v="n/a"/>
    <s v="n/a"/>
    <s v="n/a"/>
    <s v="n/a"/>
    <s v="n/a"/>
    <s v="n/a"/>
    <s v="n/a"/>
    <s v="n/a"/>
    <s v="Boro / Endless"/>
    <m/>
    <m/>
    <m/>
    <m/>
    <m/>
    <m/>
    <m/>
    <m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180"/>
    <m/>
    <x v="0"/>
  </r>
  <r>
    <n v="389"/>
    <s v="TAILLOW"/>
    <m/>
    <x v="10"/>
    <x v="2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181"/>
    <s v="Not fully evolved"/>
    <x v="3"/>
  </r>
  <r>
    <n v="390"/>
    <s v="SWELLOW"/>
    <m/>
    <x v="10"/>
    <x v="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181"/>
    <m/>
    <x v="3"/>
  </r>
  <r>
    <n v="391"/>
    <s v="PATRAT"/>
    <m/>
    <x v="10"/>
    <x v="1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Boro / Jos"/>
    <m/>
    <m/>
    <m/>
    <m/>
    <m/>
    <m/>
    <n v="1"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82"/>
    <s v="Not fully evolved"/>
    <x v="1"/>
  </r>
  <r>
    <n v="392"/>
    <s v="WATCHOG"/>
    <m/>
    <x v="10"/>
    <x v="1"/>
    <s v="x"/>
    <s v="x"/>
    <s v="x"/>
    <s v="x"/>
    <s v="x"/>
    <s v="x"/>
    <s v="x"/>
    <s v="n/a"/>
    <s v="x"/>
    <s v="x"/>
    <s v="n/a"/>
    <s v="n/a"/>
    <s v="n/a"/>
    <s v="n/a"/>
    <s v="n/a"/>
    <s v="n/a"/>
    <s v="n/a"/>
    <s v="n/a"/>
    <s v="Boro / Jos"/>
    <m/>
    <m/>
    <m/>
    <m/>
    <m/>
    <m/>
    <n v="1"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n v="2"/>
    <n v="1"/>
    <m/>
    <m/>
    <m/>
    <m/>
    <x v="182"/>
    <m/>
    <x v="1"/>
  </r>
  <r>
    <n v="393"/>
    <s v="GOTHITA"/>
    <m/>
    <x v="15"/>
    <x v="14"/>
    <s v="x"/>
    <s v="x"/>
    <m/>
    <s v="x"/>
    <s v="x"/>
    <s v="x"/>
    <s v="x"/>
    <s v="x"/>
    <s v="x"/>
    <s v="x"/>
    <s v="180/0/-4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83"/>
    <s v="Not fully evolved"/>
    <x v="1"/>
  </r>
  <r>
    <n v="394"/>
    <s v="GOTHORITA"/>
    <m/>
    <x v="15"/>
    <x v="14"/>
    <s v="x"/>
    <s v="x"/>
    <m/>
    <s v="x"/>
    <s v="x"/>
    <s v="x"/>
    <m/>
    <s v="n/a"/>
    <s v="x"/>
    <s v="x"/>
    <s v="180/0/-4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83"/>
    <s v="Not fully evolved"/>
    <x v="1"/>
  </r>
  <r>
    <n v="395"/>
    <s v="GOTHITELLE"/>
    <m/>
    <x v="15"/>
    <x v="14"/>
    <s v="x"/>
    <s v="x"/>
    <s v="x"/>
    <s v="x"/>
    <s v="x"/>
    <s v="x"/>
    <m/>
    <s v="n/a"/>
    <s v="x"/>
    <s v="x"/>
    <s v="180/0/-40"/>
    <s v="x"/>
    <s v="x"/>
    <s v="x"/>
    <s v="x"/>
    <s v="x"/>
    <s v="Need"/>
    <s v="Need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12"/>
    <n v="2"/>
    <m/>
    <m/>
    <m/>
    <m/>
    <x v="183"/>
    <m/>
    <x v="1"/>
  </r>
  <r>
    <n v="396"/>
    <s v="SPHEAL"/>
    <m/>
    <x v="2"/>
    <x v="15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n v="1"/>
    <m/>
    <n v="1"/>
    <m/>
    <n v="1"/>
    <m/>
    <m/>
    <m/>
    <m/>
    <m/>
    <m/>
    <m/>
    <m/>
    <m/>
    <m/>
    <m/>
    <m/>
    <m/>
    <m/>
    <m/>
    <m/>
    <m/>
    <m/>
    <n v="3"/>
    <m/>
    <m/>
    <m/>
    <m/>
    <x v="184"/>
    <s v="Not fully evolved"/>
    <x v="3"/>
  </r>
  <r>
    <n v="397"/>
    <s v="SEALEO"/>
    <m/>
    <x v="2"/>
    <x v="15"/>
    <s v="x"/>
    <s v="x"/>
    <m/>
    <s v="x"/>
    <s v="x"/>
    <s v="x"/>
    <s v="x"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n v="1"/>
    <m/>
    <n v="1"/>
    <m/>
    <n v="1"/>
    <m/>
    <m/>
    <m/>
    <m/>
    <m/>
    <m/>
    <m/>
    <m/>
    <m/>
    <m/>
    <m/>
    <m/>
    <m/>
    <m/>
    <m/>
    <m/>
    <m/>
    <m/>
    <m/>
    <m/>
    <m/>
    <m/>
    <m/>
    <x v="184"/>
    <s v="Not fully evolved"/>
    <x v="3"/>
  </r>
  <r>
    <n v="398"/>
    <s v="WALREIN"/>
    <m/>
    <x v="2"/>
    <x v="15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Hexx_Vixtar"/>
    <m/>
    <m/>
    <m/>
    <m/>
    <m/>
    <m/>
    <m/>
    <m/>
    <m/>
    <m/>
    <m/>
    <m/>
    <m/>
    <m/>
    <m/>
    <n v="1"/>
    <m/>
    <n v="1"/>
    <m/>
    <n v="1"/>
    <m/>
    <m/>
    <m/>
    <m/>
    <m/>
    <m/>
    <m/>
    <m/>
    <m/>
    <m/>
    <m/>
    <m/>
    <m/>
    <m/>
    <m/>
    <m/>
    <m/>
    <n v="7"/>
    <n v="6"/>
    <m/>
    <m/>
    <m/>
    <m/>
    <x v="184"/>
    <m/>
    <x v="3"/>
  </r>
  <r>
    <n v="399"/>
    <s v="SURSKIT"/>
    <m/>
    <x v="6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n v="1"/>
    <n v="1"/>
    <m/>
    <m/>
    <m/>
    <n v="1"/>
    <n v="1"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62"/>
    <s v="Not fully evolved"/>
    <x v="3"/>
  </r>
  <r>
    <n v="400"/>
    <s v="MASQUERAIN"/>
    <m/>
    <x v="6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n v="1"/>
    <n v="1"/>
    <m/>
    <m/>
    <m/>
    <n v="1"/>
    <n v="1"/>
    <n v="1"/>
    <m/>
    <m/>
    <m/>
    <m/>
    <m/>
    <m/>
    <m/>
    <m/>
    <m/>
    <m/>
    <m/>
    <m/>
    <m/>
    <m/>
    <m/>
    <m/>
    <n v="1"/>
    <m/>
    <m/>
    <m/>
    <m/>
    <m/>
    <m/>
    <m/>
    <m/>
    <m/>
    <n v="1"/>
    <m/>
    <m/>
    <m/>
    <m/>
    <m/>
    <x v="62"/>
    <m/>
    <x v="3"/>
  </r>
  <r>
    <n v="401"/>
    <s v="WINGULL"/>
    <m/>
    <x v="10"/>
    <x v="2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n v="1"/>
    <n v="1"/>
    <n v="1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x v="181"/>
    <s v="Not fully evolved"/>
    <x v="3"/>
  </r>
  <r>
    <n v="402"/>
    <s v="PELIPPER"/>
    <m/>
    <x v="10"/>
    <x v="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n v="1"/>
    <n v="1"/>
    <n v="1"/>
    <m/>
    <m/>
    <n v="1"/>
    <m/>
    <m/>
    <m/>
    <m/>
    <m/>
    <m/>
    <m/>
    <m/>
    <m/>
    <m/>
    <m/>
    <m/>
    <m/>
    <m/>
    <m/>
    <m/>
    <m/>
    <m/>
    <m/>
    <m/>
    <m/>
    <n v="2"/>
    <m/>
    <n v="1"/>
    <m/>
    <m/>
    <m/>
    <x v="181"/>
    <m/>
    <x v="3"/>
  </r>
  <r>
    <n v="403"/>
    <s v="CHARMANDER"/>
    <m/>
    <x v="4"/>
    <x v="17"/>
    <s v="x"/>
    <s v="x"/>
    <m/>
    <s v="x"/>
    <s v="x"/>
    <s v="x"/>
    <s v="n/a"/>
    <s v="x"/>
    <s v="x"/>
    <s v="x"/>
    <s v="n/a"/>
    <s v="n/a"/>
    <s v="n/a"/>
    <s v="n/a"/>
    <s v="n/a"/>
    <s v="n/a"/>
    <s v="n/a"/>
    <s v="n/a"/>
    <s v="Endless"/>
    <m/>
    <m/>
    <m/>
    <m/>
    <m/>
    <n v="1"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85"/>
    <s v="Not fully evolved"/>
    <x v="0"/>
  </r>
  <r>
    <n v="404"/>
    <s v="CHARMELEON"/>
    <m/>
    <x v="4"/>
    <x v="17"/>
    <s v="x"/>
    <s v="x"/>
    <m/>
    <s v="x"/>
    <s v="x"/>
    <s v="x"/>
    <s v="n/a"/>
    <s v="n/a"/>
    <s v="x"/>
    <s v="x"/>
    <s v="n/a"/>
    <s v="n/a"/>
    <s v="n/a"/>
    <s v="n/a"/>
    <s v="n/a"/>
    <s v="n/a"/>
    <s v="n/a"/>
    <s v="n/a"/>
    <s v="Endless"/>
    <m/>
    <m/>
    <m/>
    <m/>
    <m/>
    <n v="1"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85"/>
    <s v="Not fully evolved"/>
    <x v="0"/>
  </r>
  <r>
    <n v="405"/>
    <s v="CHARIZARD"/>
    <m/>
    <x v="4"/>
    <x v="17"/>
    <s v="x"/>
    <s v="x"/>
    <s v="x"/>
    <s v="x"/>
    <s v="x"/>
    <s v="x"/>
    <s v="n/a"/>
    <s v="n/a"/>
    <s v="x"/>
    <s v="x"/>
    <s v="n/a"/>
    <s v="x"/>
    <s v="x"/>
    <s v="x"/>
    <s v="x"/>
    <s v="x"/>
    <s v="x"/>
    <s v="x"/>
    <s v="Endless/Boro (mega)"/>
    <m/>
    <m/>
    <m/>
    <m/>
    <m/>
    <n v="1"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n v="15"/>
    <n v="3"/>
    <m/>
    <m/>
    <m/>
    <m/>
    <x v="185"/>
    <m/>
    <x v="0"/>
  </r>
  <r>
    <n v="406"/>
    <s v="MAGNEMITE"/>
    <m/>
    <x v="3"/>
    <x v="5"/>
    <s v="x"/>
    <s v="x"/>
    <m/>
    <s v="x"/>
    <s v="x"/>
    <s v="x"/>
    <s v="n/a"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186"/>
    <s v="Not fully evolved"/>
    <x v="0"/>
  </r>
  <r>
    <n v="407"/>
    <s v="MAGNETON"/>
    <m/>
    <x v="3"/>
    <x v="5"/>
    <s v="x"/>
    <s v="x"/>
    <m/>
    <s v="x"/>
    <s v="x"/>
    <s v="x"/>
    <s v="n/a"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1"/>
    <m/>
    <m/>
    <m/>
    <m/>
    <m/>
    <x v="186"/>
    <s v="Not fully evolved"/>
    <x v="0"/>
  </r>
  <r>
    <n v="408"/>
    <s v="MAGNEZONE"/>
    <m/>
    <x v="3"/>
    <x v="5"/>
    <s v="x"/>
    <s v="x"/>
    <s v="x"/>
    <s v="x"/>
    <s v="x"/>
    <s v="x"/>
    <s v="n/a"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3"/>
    <n v="1"/>
    <n v="1"/>
    <m/>
    <m/>
    <m/>
    <x v="186"/>
    <m/>
    <x v="0"/>
  </r>
  <r>
    <n v="409"/>
    <s v="REGIROCK"/>
    <m/>
    <x v="18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n v="1"/>
    <m/>
    <m/>
    <m/>
    <m/>
    <m/>
    <m/>
    <n v="1"/>
    <m/>
    <m/>
    <m/>
    <m/>
    <m/>
    <m/>
    <m/>
    <m/>
    <m/>
    <m/>
    <m/>
    <m/>
    <m/>
    <m/>
    <m/>
    <m/>
    <m/>
    <x v="86"/>
    <m/>
    <x v="3"/>
  </r>
  <r>
    <n v="410"/>
    <s v="REGICE"/>
    <m/>
    <x v="9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0"/>
    <m/>
    <x v="3"/>
  </r>
  <r>
    <n v="411"/>
    <s v="REGISTEEL"/>
    <m/>
    <x v="16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87"/>
    <m/>
    <x v="3"/>
  </r>
  <r>
    <n v="412"/>
    <s v="SPEAROW"/>
    <m/>
    <x v="1"/>
    <x v="2"/>
    <s v="x"/>
    <s v="x"/>
    <m/>
    <s v="x"/>
    <s v="x"/>
    <s v="x"/>
    <s v="x"/>
    <s v="x"/>
    <s v="x"/>
    <s v="x"/>
    <s v="110/-15/-5"/>
    <s v="n/a"/>
    <s v="n/a"/>
    <s v="n/a"/>
    <s v="n/a"/>
    <s v="n/a"/>
    <s v="n/a"/>
    <s v="n/a"/>
    <s v="Jos"/>
    <m/>
    <m/>
    <m/>
    <m/>
    <m/>
    <m/>
    <m/>
    <m/>
    <m/>
    <m/>
    <n v="1"/>
    <n v="1"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88"/>
    <s v="Not fully evolved"/>
    <x v="0"/>
  </r>
  <r>
    <n v="413"/>
    <s v="FEAROW"/>
    <m/>
    <x v="1"/>
    <x v="2"/>
    <s v="x"/>
    <s v="x"/>
    <s v="x"/>
    <s v="x"/>
    <s v="x"/>
    <s v="x"/>
    <s v="x"/>
    <s v="n/a"/>
    <s v="x"/>
    <s v="x"/>
    <s v="110/-15/-5"/>
    <s v="Need"/>
    <s v="Need"/>
    <s v="n/a"/>
    <s v="Need"/>
    <s v="Need"/>
    <s v="Need"/>
    <s v="Need"/>
    <s v="Jos"/>
    <m/>
    <m/>
    <m/>
    <m/>
    <m/>
    <m/>
    <m/>
    <m/>
    <m/>
    <m/>
    <n v="1"/>
    <n v="1"/>
    <n v="1"/>
    <m/>
    <m/>
    <m/>
    <m/>
    <m/>
    <m/>
    <m/>
    <n v="1"/>
    <m/>
    <m/>
    <m/>
    <m/>
    <m/>
    <m/>
    <m/>
    <m/>
    <m/>
    <m/>
    <m/>
    <m/>
    <m/>
    <m/>
    <m/>
    <m/>
    <n v="6"/>
    <n v="3"/>
    <n v="2"/>
    <m/>
    <m/>
    <m/>
    <x v="188"/>
    <m/>
    <x v="0"/>
  </r>
  <r>
    <n v="414"/>
    <s v="IGGLYBUFF"/>
    <m/>
    <x v="1"/>
    <x v="20"/>
    <s v="x"/>
    <s v="x"/>
    <m/>
    <s v="x"/>
    <s v="x"/>
    <s v="x"/>
    <s v="x"/>
    <s v="x"/>
    <s v="x"/>
    <s v="x"/>
    <s v="180/35/1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n v="1"/>
    <m/>
    <m/>
    <m/>
    <m/>
    <m/>
    <m/>
    <m/>
    <m/>
    <m/>
    <m/>
    <m/>
    <m/>
    <m/>
    <m/>
    <m/>
    <m/>
    <m/>
    <m/>
    <m/>
    <m/>
    <m/>
    <m/>
    <x v="189"/>
    <s v="Not fully evolved"/>
    <x v="2"/>
  </r>
  <r>
    <n v="415"/>
    <s v="JIGGLYPUFF"/>
    <m/>
    <x v="1"/>
    <x v="20"/>
    <s v="x"/>
    <s v="x"/>
    <m/>
    <s v="x"/>
    <s v="x"/>
    <s v="x"/>
    <m/>
    <s v="n/a"/>
    <s v="x"/>
    <s v="x"/>
    <s v="180/35/1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n v="1"/>
    <m/>
    <m/>
    <m/>
    <m/>
    <m/>
    <m/>
    <m/>
    <m/>
    <m/>
    <m/>
    <m/>
    <m/>
    <m/>
    <m/>
    <m/>
    <m/>
    <m/>
    <m/>
    <m/>
    <m/>
    <m/>
    <m/>
    <x v="189"/>
    <s v="Not fully evolved"/>
    <x v="0"/>
  </r>
  <r>
    <n v="416"/>
    <s v="WIGGLYTUFF"/>
    <m/>
    <x v="1"/>
    <x v="20"/>
    <s v="x"/>
    <s v="x"/>
    <s v="x"/>
    <s v="x"/>
    <s v="x"/>
    <s v="x"/>
    <s v="n/a"/>
    <s v="n/a"/>
    <s v="x"/>
    <s v="x"/>
    <s v="180/35/10"/>
    <s v="x"/>
    <s v="x"/>
    <s v="x"/>
    <s v="x"/>
    <s v="x"/>
    <s v="x"/>
    <s v="x"/>
    <s v="Jos"/>
    <m/>
    <m/>
    <m/>
    <m/>
    <m/>
    <m/>
    <m/>
    <m/>
    <m/>
    <m/>
    <m/>
    <m/>
    <n v="1"/>
    <n v="1"/>
    <n v="1"/>
    <n v="1"/>
    <m/>
    <m/>
    <m/>
    <m/>
    <n v="1"/>
    <m/>
    <m/>
    <m/>
    <m/>
    <m/>
    <m/>
    <m/>
    <m/>
    <m/>
    <m/>
    <m/>
    <m/>
    <m/>
    <m/>
    <m/>
    <m/>
    <n v="3"/>
    <m/>
    <m/>
    <m/>
    <m/>
    <m/>
    <x v="189"/>
    <m/>
    <x v="0"/>
  </r>
  <r>
    <n v="417"/>
    <s v="VULLABY"/>
    <m/>
    <x v="4"/>
    <x v="2"/>
    <s v="x"/>
    <s v="x"/>
    <m/>
    <s v="x"/>
    <s v="x"/>
    <s v="x"/>
    <s v="n/a"/>
    <s v="x"/>
    <s v="x"/>
    <s v="x"/>
    <s v="-75/0/0"/>
    <s v="n/a"/>
    <s v="n/a"/>
    <s v="n/a"/>
    <s v="n/a"/>
    <s v="n/a"/>
    <s v="n/a"/>
    <s v="n/a"/>
    <s v="Jos"/>
    <m/>
    <m/>
    <m/>
    <m/>
    <m/>
    <m/>
    <n v="1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90"/>
    <s v="Not fully evolved"/>
    <x v="1"/>
  </r>
  <r>
    <n v="418"/>
    <s v="MANDIBUZZ"/>
    <m/>
    <x v="4"/>
    <x v="2"/>
    <s v="x"/>
    <s v="x"/>
    <s v="x"/>
    <s v="x"/>
    <s v="x"/>
    <s v="x"/>
    <s v="x"/>
    <s v="n/a"/>
    <s v="x"/>
    <s v="x"/>
    <s v="-75/0/0"/>
    <s v="n/a"/>
    <s v="n/a"/>
    <s v="n/a"/>
    <s v="n/a"/>
    <s v="n/a"/>
    <s v="n/a"/>
    <s v="n/a"/>
    <s v="Jos"/>
    <m/>
    <m/>
    <m/>
    <m/>
    <m/>
    <m/>
    <n v="1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n v="6"/>
    <m/>
    <m/>
    <m/>
    <m/>
    <m/>
    <x v="190"/>
    <m/>
    <x v="1"/>
  </r>
  <r>
    <n v="419"/>
    <s v="SHINX"/>
    <m/>
    <x v="10"/>
    <x v="17"/>
    <s v="x"/>
    <s v="x"/>
    <m/>
    <s v="x"/>
    <s v="x"/>
    <s v="x"/>
    <s v="n/a"/>
    <s v="x"/>
    <s v="x"/>
    <s v="x"/>
    <s v="85/-5/-5"/>
    <s v="n/a"/>
    <s v="n/a"/>
    <s v="n/a"/>
    <s v="n/a"/>
    <s v="n/a"/>
    <s v="n/a"/>
    <s v="n/a"/>
    <s v="Jos"/>
    <m/>
    <m/>
    <m/>
    <n v="1"/>
    <m/>
    <m/>
    <n v="1"/>
    <m/>
    <m/>
    <n v="1"/>
    <m/>
    <m/>
    <m/>
    <m/>
    <m/>
    <m/>
    <m/>
    <n v="1"/>
    <m/>
    <m/>
    <m/>
    <n v="1"/>
    <m/>
    <n v="1"/>
    <m/>
    <n v="1"/>
    <n v="1"/>
    <m/>
    <m/>
    <m/>
    <m/>
    <m/>
    <m/>
    <m/>
    <m/>
    <m/>
    <m/>
    <m/>
    <m/>
    <m/>
    <m/>
    <m/>
    <m/>
    <x v="191"/>
    <s v="Not fully evolved"/>
    <x v="5"/>
  </r>
  <r>
    <n v="420"/>
    <s v="LUXIO"/>
    <m/>
    <x v="10"/>
    <x v="17"/>
    <s v="x"/>
    <s v="x"/>
    <m/>
    <s v="x"/>
    <s v="x"/>
    <s v="x"/>
    <s v="n/a"/>
    <s v="n/a"/>
    <s v="x"/>
    <s v="x"/>
    <s v="85/-5/-5"/>
    <s v="n/a"/>
    <s v="n/a"/>
    <s v="n/a"/>
    <s v="n/a"/>
    <s v="n/a"/>
    <s v="n/a"/>
    <s v="n/a"/>
    <s v="Jos"/>
    <m/>
    <m/>
    <m/>
    <n v="1"/>
    <m/>
    <m/>
    <n v="1"/>
    <m/>
    <m/>
    <n v="1"/>
    <m/>
    <m/>
    <m/>
    <m/>
    <m/>
    <m/>
    <m/>
    <n v="1"/>
    <m/>
    <m/>
    <m/>
    <n v="1"/>
    <m/>
    <n v="1"/>
    <m/>
    <n v="1"/>
    <n v="1"/>
    <m/>
    <m/>
    <m/>
    <m/>
    <m/>
    <m/>
    <m/>
    <m/>
    <m/>
    <m/>
    <m/>
    <m/>
    <m/>
    <m/>
    <m/>
    <m/>
    <x v="191"/>
    <s v="Not fully evolved"/>
    <x v="5"/>
  </r>
  <r>
    <n v="421"/>
    <s v="LUXRAY"/>
    <m/>
    <x v="10"/>
    <x v="17"/>
    <s v="x"/>
    <s v="x"/>
    <s v="x"/>
    <s v="x"/>
    <s v="x"/>
    <s v="x"/>
    <s v="n/a"/>
    <s v="n/a"/>
    <s v="x"/>
    <s v="x"/>
    <s v="85/-5/-5"/>
    <s v="n/a"/>
    <s v="n/a"/>
    <s v="n/a"/>
    <s v="n/a"/>
    <s v="n/a"/>
    <s v="n/a"/>
    <s v="n/a"/>
    <s v="Jos"/>
    <m/>
    <m/>
    <m/>
    <n v="1"/>
    <m/>
    <m/>
    <n v="1"/>
    <m/>
    <m/>
    <n v="1"/>
    <m/>
    <m/>
    <m/>
    <m/>
    <m/>
    <m/>
    <m/>
    <n v="1"/>
    <m/>
    <m/>
    <m/>
    <n v="1"/>
    <m/>
    <n v="1"/>
    <m/>
    <n v="1"/>
    <n v="1"/>
    <m/>
    <m/>
    <m/>
    <m/>
    <m/>
    <m/>
    <m/>
    <m/>
    <m/>
    <m/>
    <n v="5"/>
    <n v="1"/>
    <m/>
    <m/>
    <m/>
    <m/>
    <x v="191"/>
    <m/>
    <x v="5"/>
  </r>
  <r>
    <n v="422"/>
    <s v="ELECTRIKE"/>
    <m/>
    <x v="4"/>
    <x v="18"/>
    <s v="x"/>
    <s v="x"/>
    <m/>
    <s v="x"/>
    <s v="x"/>
    <s v="x"/>
    <s v="n/a"/>
    <s v="x"/>
    <s v="x"/>
    <s v="x"/>
    <s v="55/-10/-5"/>
    <s v="n/a"/>
    <s v="n/a"/>
    <s v="n/a"/>
    <s v="n/a"/>
    <s v="n/a"/>
    <s v="n/a"/>
    <s v="n/a"/>
    <s v="Jos"/>
    <m/>
    <m/>
    <m/>
    <m/>
    <m/>
    <m/>
    <n v="1"/>
    <n v="1"/>
    <n v="1"/>
    <n v="1"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192"/>
    <s v="Not fully evolved"/>
    <x v="3"/>
  </r>
  <r>
    <n v="423"/>
    <s v="MANECTRIC"/>
    <m/>
    <x v="4"/>
    <x v="18"/>
    <s v="x"/>
    <s v="x"/>
    <s v="x"/>
    <s v="x"/>
    <s v="x"/>
    <s v="x"/>
    <s v="n/a"/>
    <s v="n/a"/>
    <s v="x"/>
    <s v="x"/>
    <s v="55/-10/-5"/>
    <s v="x"/>
    <s v="x"/>
    <s v="x"/>
    <s v="x"/>
    <s v="x"/>
    <s v="x"/>
    <s v="x"/>
    <s v="Jos"/>
    <m/>
    <m/>
    <m/>
    <m/>
    <m/>
    <m/>
    <n v="1"/>
    <n v="1"/>
    <n v="1"/>
    <n v="1"/>
    <m/>
    <m/>
    <m/>
    <m/>
    <m/>
    <m/>
    <m/>
    <m/>
    <m/>
    <m/>
    <m/>
    <m/>
    <m/>
    <n v="1"/>
    <m/>
    <n v="1"/>
    <n v="1"/>
    <m/>
    <m/>
    <m/>
    <m/>
    <m/>
    <m/>
    <m/>
    <m/>
    <m/>
    <m/>
    <n v="4"/>
    <n v="3"/>
    <n v="1"/>
    <m/>
    <m/>
    <m/>
    <x v="192"/>
    <m/>
    <x v="3"/>
  </r>
  <r>
    <n v="424"/>
    <s v="FERROSEED"/>
    <m/>
    <x v="9"/>
    <x v="4"/>
    <s v="x"/>
    <s v="x"/>
    <m/>
    <s v="x"/>
    <s v="x"/>
    <s v="x"/>
    <s v="n/a"/>
    <s v="x"/>
    <s v="x"/>
    <s v="x"/>
    <s v="Custom"/>
    <s v="n/a"/>
    <s v="n/a"/>
    <s v="n/a"/>
    <s v="n/a"/>
    <s v="n/a"/>
    <s v="n/a"/>
    <s v="n/a"/>
    <s v="Raffs07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50"/>
    <s v="Not fully evolved"/>
    <x v="1"/>
  </r>
  <r>
    <n v="425"/>
    <s v="FERROTHORN"/>
    <m/>
    <x v="9"/>
    <x v="4"/>
    <s v="x"/>
    <s v="x"/>
    <s v="x"/>
    <s v="x"/>
    <s v="x"/>
    <s v="x"/>
    <s v="n/a"/>
    <s v="n/a"/>
    <s v="x"/>
    <s v="x"/>
    <s v="Custom"/>
    <s v="n/a"/>
    <s v="n/a"/>
    <s v="n/a"/>
    <s v="n/a"/>
    <s v="n/a"/>
    <s v="n/a"/>
    <s v="n/a"/>
    <s v="Raffs07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1"/>
    <m/>
    <m/>
    <m/>
    <m/>
    <x v="150"/>
    <m/>
    <x v="1"/>
  </r>
  <r>
    <n v="426"/>
    <s v="MAREANIE"/>
    <m/>
    <x v="9"/>
    <x v="0"/>
    <s v="x"/>
    <s v="x"/>
    <m/>
    <s v="x"/>
    <s v="x"/>
    <s v="x"/>
    <s v="x"/>
    <s v="x"/>
    <s v="x"/>
    <s v="x"/>
    <s v="100/0/-5"/>
    <s v="n/a"/>
    <s v="n/a"/>
    <s v="n/a"/>
    <s v="n/a"/>
    <s v="n/a"/>
    <s v="n/a"/>
    <s v="n/a"/>
    <s v="Jos"/>
    <m/>
    <m/>
    <m/>
    <m/>
    <m/>
    <m/>
    <n v="1"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m/>
    <x v="16"/>
    <s v="Not fully evolved"/>
    <x v="6"/>
  </r>
  <r>
    <n v="427"/>
    <s v="TOXAPEX"/>
    <m/>
    <x v="9"/>
    <x v="0"/>
    <s v="x"/>
    <s v="x"/>
    <s v="x"/>
    <s v="x"/>
    <s v="x"/>
    <s v="x"/>
    <s v="n/a"/>
    <s v="n/a"/>
    <s v="x"/>
    <s v="x"/>
    <s v="100/0/-5"/>
    <s v="Need"/>
    <s v="Need"/>
    <s v="n/a"/>
    <s v="Need"/>
    <s v="Need"/>
    <s v="Need"/>
    <s v="Need"/>
    <s v="Jos"/>
    <m/>
    <m/>
    <m/>
    <m/>
    <m/>
    <m/>
    <n v="1"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n v="3"/>
    <n v="1"/>
    <m/>
    <m/>
    <m/>
    <m/>
    <x v="16"/>
    <m/>
    <x v="6"/>
  </r>
  <r>
    <n v="428"/>
    <s v="SWINUB"/>
    <m/>
    <x v="7"/>
    <x v="15"/>
    <s v="x"/>
    <s v="x"/>
    <m/>
    <s v="x"/>
    <s v="x"/>
    <s v="x"/>
    <s v="Need"/>
    <s v="x"/>
    <s v="x"/>
    <s v="x"/>
    <s v="n/a"/>
    <s v="n/a"/>
    <s v="n/a"/>
    <s v="n/a"/>
    <s v="n/a"/>
    <s v="n/a"/>
    <s v="n/a"/>
    <s v="n/a"/>
    <s v="Boro / Endless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193"/>
    <s v="Not fully evolved"/>
    <x v="2"/>
  </r>
  <r>
    <n v="429"/>
    <s v="PILOSWINE"/>
    <m/>
    <x v="7"/>
    <x v="15"/>
    <s v="x"/>
    <s v="x"/>
    <s v="x"/>
    <s v="x"/>
    <s v="x"/>
    <s v="x"/>
    <s v="Need"/>
    <s v="n/a"/>
    <s v="x"/>
    <s v="x"/>
    <s v="n/a"/>
    <s v="n/a"/>
    <s v="n/a"/>
    <s v="n/a"/>
    <s v="n/a"/>
    <s v="n/a"/>
    <s v="n/a"/>
    <s v="n/a"/>
    <s v="Boro / Endless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193"/>
    <s v="Not fully evolved"/>
    <x v="2"/>
  </r>
  <r>
    <n v="430"/>
    <s v="MAMOSWINE"/>
    <m/>
    <x v="7"/>
    <x v="15"/>
    <s v="x"/>
    <s v="x"/>
    <s v="x"/>
    <s v="x"/>
    <s v="x"/>
    <s v="x"/>
    <s v="n/a"/>
    <s v="n/a"/>
    <s v="x"/>
    <s v="x"/>
    <s v="n/a"/>
    <s v="x"/>
    <s v="x"/>
    <s v="x"/>
    <s v="x"/>
    <s v="x"/>
    <s v="x"/>
    <s v="x"/>
    <s v="Boro / Endless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n v="10"/>
    <n v="1"/>
    <m/>
    <m/>
    <m/>
    <m/>
    <x v="193"/>
    <m/>
    <x v="5"/>
  </r>
  <r>
    <n v="431"/>
    <s v="TORKOAL"/>
    <m/>
    <x v="7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n v="2"/>
    <m/>
    <m/>
    <m/>
    <m/>
    <m/>
    <x v="194"/>
    <m/>
    <x v="3"/>
  </r>
  <r>
    <n v="432"/>
    <s v="TURTWIG"/>
    <m/>
    <x v="14"/>
    <x v="11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95"/>
    <s v="Not fully evolved"/>
    <x v="5"/>
  </r>
  <r>
    <n v="433"/>
    <s v="GROTLE"/>
    <m/>
    <x v="14"/>
    <x v="11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95"/>
    <s v="Not fully evolved"/>
    <x v="5"/>
  </r>
  <r>
    <n v="434"/>
    <s v="TORTERRA"/>
    <m/>
    <x v="14"/>
    <x v="11"/>
    <s v="x"/>
    <s v="x"/>
    <s v="x"/>
    <s v="x"/>
    <s v="x"/>
    <s v="x"/>
    <m/>
    <s v="n/a"/>
    <s v="x"/>
    <s v="x"/>
    <s v="Custom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n v="8"/>
    <n v="4"/>
    <n v="1"/>
    <m/>
    <m/>
    <m/>
    <x v="195"/>
    <m/>
    <x v="5"/>
  </r>
  <r>
    <n v="435"/>
    <s v="BUNEARY"/>
    <m/>
    <x v="3"/>
    <x v="16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196"/>
    <s v="Not fully evolved"/>
    <x v="5"/>
  </r>
  <r>
    <n v="436"/>
    <s v="LOPUNNY"/>
    <m/>
    <x v="3"/>
    <x v="16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Endless / PDM20 (Mega)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13"/>
    <n v="4"/>
    <n v="1"/>
    <m/>
    <m/>
    <m/>
    <x v="196"/>
    <m/>
    <x v="5"/>
  </r>
  <r>
    <n v="437"/>
    <s v="DITTO"/>
    <m/>
    <x v="3"/>
    <x v="4"/>
    <s v="x"/>
    <s v="x"/>
    <m/>
    <s v="x"/>
    <s v="x"/>
    <s v="x"/>
    <s v="x"/>
    <s v="n/a"/>
    <s v="x"/>
    <s v="x"/>
    <s v="180/30/1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3"/>
    <n v="1"/>
    <m/>
    <m/>
    <m/>
    <m/>
    <x v="119"/>
    <m/>
    <x v="0"/>
  </r>
  <r>
    <n v="438"/>
    <s v="PHIONE2"/>
    <m/>
    <x v="15"/>
    <x v="4"/>
    <s v="x"/>
    <s v="x"/>
    <m/>
    <s v="x"/>
    <s v="x"/>
    <s v="x"/>
    <m/>
    <s v="n/a"/>
    <m/>
    <m/>
    <m/>
    <s v="n/a"/>
    <s v="n/a"/>
    <s v="n/a"/>
    <s v="n/a"/>
    <s v="n/a"/>
    <s v="n/a"/>
    <s v="n/a"/>
    <s v="Hexx_Vixtar"/>
    <m/>
    <m/>
    <m/>
    <m/>
    <m/>
    <m/>
    <m/>
    <m/>
    <m/>
    <m/>
    <m/>
    <m/>
    <m/>
    <n v="1"/>
    <n v="1"/>
    <m/>
    <m/>
    <m/>
    <m/>
    <m/>
    <m/>
    <m/>
    <n v="1"/>
    <m/>
    <m/>
    <m/>
    <m/>
    <m/>
    <m/>
    <m/>
    <m/>
    <m/>
    <m/>
    <m/>
    <m/>
    <m/>
    <m/>
    <m/>
    <n v="4"/>
    <n v="1"/>
    <m/>
    <m/>
    <m/>
    <x v="148"/>
    <m/>
    <x v="5"/>
  </r>
  <r>
    <n v="439"/>
    <s v="MANAPHY2"/>
    <m/>
    <x v="15"/>
    <x v="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m/>
    <m/>
    <m/>
    <n v="1"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x v="148"/>
    <m/>
    <x v="5"/>
  </r>
  <r>
    <n v="440"/>
    <s v="DARKRAI"/>
    <m/>
    <x v="11"/>
    <x v="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20"/>
    <m/>
    <x v="5"/>
  </r>
  <r>
    <n v="441"/>
    <s v="CRESSELIA"/>
    <m/>
    <x v="5"/>
    <x v="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n v="1"/>
    <n v="1"/>
    <n v="1"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x v="7"/>
    <m/>
    <x v="5"/>
  </r>
  <r>
    <n v="442"/>
    <s v="BUIZEL"/>
    <m/>
    <x v="1"/>
    <x v="5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7"/>
    <s v="Not fully evolved"/>
    <x v="5"/>
  </r>
  <r>
    <n v="443"/>
    <s v="FLOATZEL"/>
    <m/>
    <x v="1"/>
    <x v="5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Hexx_Vixtar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n v="10"/>
    <n v="1"/>
    <m/>
    <m/>
    <m/>
    <m/>
    <x v="197"/>
    <m/>
    <x v="5"/>
  </r>
  <r>
    <n v="444"/>
    <s v="BUDEW"/>
    <m/>
    <x v="4"/>
    <x v="1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n v="1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125"/>
    <s v="Not fully evolved"/>
    <x v="5"/>
  </r>
  <r>
    <n v="445"/>
    <s v="ROSELIA"/>
    <m/>
    <x v="4"/>
    <x v="1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m/>
    <n v="1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125"/>
    <s v="Not fully evolved"/>
    <x v="3"/>
  </r>
  <r>
    <n v="446"/>
    <s v="ROSERADE"/>
    <m/>
    <x v="4"/>
    <x v="1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n v="1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17"/>
    <n v="8"/>
    <m/>
    <m/>
    <m/>
    <m/>
    <x v="125"/>
    <m/>
    <x v="5"/>
  </r>
  <r>
    <n v="447"/>
    <s v="KLEFKI"/>
    <m/>
    <x v="6"/>
    <x v="5"/>
    <s v="x"/>
    <s v="x"/>
    <s v="x"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n v="1"/>
    <m/>
    <n v="1"/>
    <m/>
    <m/>
    <m/>
    <m/>
    <m/>
    <m/>
    <m/>
    <m/>
    <m/>
    <m/>
    <m/>
    <m/>
    <m/>
    <m/>
    <m/>
    <n v="1"/>
    <n v="1"/>
    <m/>
    <m/>
    <m/>
    <m/>
    <m/>
    <m/>
    <m/>
    <m/>
    <m/>
    <m/>
    <n v="2"/>
    <m/>
    <m/>
    <m/>
    <m/>
    <m/>
    <x v="198"/>
    <m/>
    <x v="4"/>
  </r>
  <r>
    <n v="448"/>
    <s v="DEWPIDER"/>
    <m/>
    <x v="11"/>
    <x v="7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99"/>
    <s v="Not fully evolved"/>
    <x v="6"/>
  </r>
  <r>
    <n v="449"/>
    <s v="ARAQUANID"/>
    <m/>
    <x v="11"/>
    <x v="7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99"/>
    <m/>
    <x v="6"/>
  </r>
  <r>
    <n v="450"/>
    <s v="GOTHITA2"/>
    <m/>
    <x v="5"/>
    <x v="8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Endless"/>
    <m/>
    <m/>
    <m/>
    <m/>
    <m/>
    <n v="1"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00"/>
    <s v="Not fully evolved"/>
    <x v="1"/>
  </r>
  <r>
    <n v="451"/>
    <s v="GOTHORITA2"/>
    <m/>
    <x v="5"/>
    <x v="8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n v="1"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00"/>
    <s v="Not fully evolved"/>
    <x v="1"/>
  </r>
  <r>
    <n v="452"/>
    <s v="GOTHITELLE2"/>
    <m/>
    <x v="5"/>
    <x v="8"/>
    <s v="x"/>
    <s v="x"/>
    <s v="x"/>
    <s v="x"/>
    <s v="x"/>
    <s v="x"/>
    <s v="x"/>
    <s v="n/a"/>
    <s v="x"/>
    <s v="x"/>
    <s v="n/a"/>
    <s v="x"/>
    <s v="x"/>
    <s v="x"/>
    <s v="x"/>
    <s v="x"/>
    <s v="x"/>
    <s v="x"/>
    <s v="Endless"/>
    <m/>
    <m/>
    <m/>
    <m/>
    <m/>
    <n v="1"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n v="7"/>
    <n v="2"/>
    <m/>
    <m/>
    <m/>
    <m/>
    <x v="200"/>
    <m/>
    <x v="1"/>
  </r>
  <r>
    <n v="453"/>
    <s v="TYRUNT"/>
    <m/>
    <x v="0"/>
    <x v="16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n v="1"/>
    <n v="1"/>
    <n v="1"/>
    <m/>
    <m/>
    <m/>
    <m/>
    <m/>
    <n v="1"/>
    <n v="1"/>
    <m/>
    <m/>
    <m/>
    <m/>
    <m/>
    <m/>
    <m/>
    <m/>
    <m/>
    <m/>
    <m/>
    <m/>
    <m/>
    <m/>
    <m/>
    <m/>
    <x v="201"/>
    <s v="Not fully evolved"/>
    <x v="4"/>
  </r>
  <r>
    <n v="454"/>
    <s v="TYRANTRUM"/>
    <m/>
    <x v="0"/>
    <x v="16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n v="1"/>
    <n v="1"/>
    <n v="1"/>
    <m/>
    <m/>
    <m/>
    <m/>
    <m/>
    <n v="1"/>
    <n v="1"/>
    <m/>
    <m/>
    <m/>
    <m/>
    <m/>
    <m/>
    <m/>
    <m/>
    <m/>
    <m/>
    <n v="10"/>
    <n v="2"/>
    <m/>
    <m/>
    <m/>
    <m/>
    <x v="201"/>
    <m/>
    <x v="4"/>
  </r>
  <r>
    <n v="455"/>
    <s v="CUBONE"/>
    <m/>
    <x v="1"/>
    <x v="3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Boro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02"/>
    <s v="Not fully evolved"/>
    <x v="0"/>
  </r>
  <r>
    <n v="456"/>
    <s v="MAROWAK"/>
    <m/>
    <x v="1"/>
    <x v="3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Boro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6"/>
    <n v="2"/>
    <n v="1"/>
    <m/>
    <m/>
    <m/>
    <x v="202"/>
    <m/>
    <x v="0"/>
  </r>
  <r>
    <n v="457"/>
    <s v="SPRITZEE2"/>
    <m/>
    <x v="15"/>
    <x v="10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Boro"/>
    <m/>
    <m/>
    <m/>
    <m/>
    <m/>
    <n v="1"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03"/>
    <s v="Not fully evolved"/>
    <x v="4"/>
  </r>
  <r>
    <n v="458"/>
    <s v="AROMATISSE2"/>
    <m/>
    <x v="15"/>
    <x v="10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Boro"/>
    <m/>
    <m/>
    <m/>
    <m/>
    <m/>
    <n v="1"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x v="203"/>
    <m/>
    <x v="4"/>
  </r>
  <r>
    <n v="459"/>
    <s v="HORSEA2"/>
    <m/>
    <x v="12"/>
    <x v="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04"/>
    <s v="Not fully evolved"/>
    <x v="0"/>
  </r>
  <r>
    <n v="460"/>
    <s v="SEADRA2"/>
    <m/>
    <x v="12"/>
    <x v="2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04"/>
    <s v="Not fully evolved"/>
    <x v="0"/>
  </r>
  <r>
    <n v="461"/>
    <s v="KINGDRA2"/>
    <m/>
    <x v="12"/>
    <x v="2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Endless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"/>
    <m/>
    <m/>
    <m/>
    <m/>
    <x v="204"/>
    <m/>
    <x v="2"/>
  </r>
  <r>
    <n v="462"/>
    <s v="CUTIEFLY"/>
    <m/>
    <x v="12"/>
    <x v="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n v="1"/>
    <n v="1"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04"/>
    <s v="Not fully evolved"/>
    <x v="6"/>
  </r>
  <r>
    <n v="463"/>
    <s v="RIBOMBEE"/>
    <m/>
    <x v="12"/>
    <x v="2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n v="1"/>
    <n v="1"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3"/>
    <m/>
    <m/>
    <m/>
    <m/>
    <m/>
    <x v="204"/>
    <m/>
    <x v="6"/>
  </r>
  <r>
    <n v="464"/>
    <s v="OMANYTE"/>
    <m/>
    <x v="16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87"/>
    <s v="Not fully evolved"/>
    <x v="0"/>
  </r>
  <r>
    <n v="465"/>
    <s v="OMASTAR"/>
    <m/>
    <x v="16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5"/>
    <n v="1"/>
    <m/>
    <m/>
    <m/>
    <m/>
    <x v="187"/>
    <m/>
    <x v="0"/>
  </r>
  <r>
    <n v="466"/>
    <s v="SKWOVET"/>
    <m/>
    <x v="2"/>
    <x v="20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x v="205"/>
    <s v="Not fully evolved"/>
    <x v="8"/>
  </r>
  <r>
    <n v="467"/>
    <s v="GREEDENT"/>
    <m/>
    <x v="2"/>
    <x v="20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1"/>
    <m/>
    <m/>
    <m/>
    <m/>
    <m/>
    <x v="205"/>
    <m/>
    <x v="8"/>
  </r>
  <r>
    <n v="468"/>
    <s v="GRIMER2"/>
    <m/>
    <x v="0"/>
    <x v="15"/>
    <s v="x"/>
    <s v="x"/>
    <m/>
    <s v="x"/>
    <s v="x"/>
    <s v="x"/>
    <s v="Need"/>
    <s v="x"/>
    <s v="x"/>
    <s v="x"/>
    <s v="65/0/0"/>
    <s v="n/a"/>
    <s v="n/a"/>
    <s v="n/a"/>
    <s v="n/a"/>
    <s v="n/a"/>
    <s v="n/a"/>
    <s v="n/a"/>
    <s v="LuRocha / Jos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x v="206"/>
    <s v="Not fully evolved"/>
    <x v="0"/>
  </r>
  <r>
    <n v="469"/>
    <s v="MUK2"/>
    <m/>
    <x v="0"/>
    <x v="15"/>
    <s v="x"/>
    <s v="x"/>
    <s v="x"/>
    <s v="x"/>
    <s v="x"/>
    <s v="x"/>
    <s v="Need"/>
    <s v="n/a"/>
    <s v="x"/>
    <s v="x"/>
    <s v="65/0/0"/>
    <s v="Need"/>
    <s v="Need"/>
    <s v="n/a"/>
    <s v="Need"/>
    <s v="Need"/>
    <s v="Need"/>
    <s v="Need"/>
    <s v="LuRocha / Jos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n v="1"/>
    <m/>
    <m/>
    <m/>
    <m/>
    <m/>
    <x v="206"/>
    <m/>
    <x v="0"/>
  </r>
  <r>
    <n v="470"/>
    <s v="PHANPY"/>
    <m/>
    <x v="2"/>
    <x v="15"/>
    <s v="x"/>
    <s v="x"/>
    <m/>
    <s v="x"/>
    <s v="x"/>
    <s v="x"/>
    <s v="n/a"/>
    <s v="x"/>
    <s v="x"/>
    <s v="x"/>
    <s v="-180/-5/1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n v="1"/>
    <m/>
    <m/>
    <m/>
    <m/>
    <m/>
    <n v="1"/>
    <m/>
    <m/>
    <m/>
    <m/>
    <m/>
    <m/>
    <m/>
    <m/>
    <m/>
    <m/>
    <m/>
    <m/>
    <m/>
    <m/>
    <m/>
    <m/>
    <m/>
    <x v="184"/>
    <s v="Not fully evolved"/>
    <x v="2"/>
  </r>
  <r>
    <n v="471"/>
    <s v="DONPHAN"/>
    <m/>
    <x v="2"/>
    <x v="15"/>
    <s v="x"/>
    <s v="x"/>
    <s v="x"/>
    <s v="x"/>
    <s v="x"/>
    <s v="x"/>
    <s v="n/a"/>
    <s v="n/a"/>
    <s v="x"/>
    <s v="x"/>
    <s v="-180/-5/10"/>
    <s v="x"/>
    <s v="x"/>
    <s v="x"/>
    <s v="x"/>
    <s v="x"/>
    <s v="x"/>
    <s v="x"/>
    <s v="Jos"/>
    <m/>
    <m/>
    <m/>
    <m/>
    <m/>
    <m/>
    <m/>
    <m/>
    <m/>
    <m/>
    <m/>
    <m/>
    <m/>
    <m/>
    <m/>
    <m/>
    <n v="1"/>
    <n v="1"/>
    <n v="1"/>
    <n v="1"/>
    <m/>
    <m/>
    <m/>
    <m/>
    <m/>
    <n v="1"/>
    <m/>
    <m/>
    <m/>
    <m/>
    <m/>
    <m/>
    <m/>
    <m/>
    <m/>
    <m/>
    <m/>
    <n v="5"/>
    <n v="1"/>
    <m/>
    <m/>
    <m/>
    <m/>
    <x v="184"/>
    <m/>
    <x v="2"/>
  </r>
  <r>
    <n v="472"/>
    <s v="PIKIPEK"/>
    <m/>
    <x v="9"/>
    <x v="2"/>
    <s v="x"/>
    <s v="x"/>
    <m/>
    <s v="x"/>
    <s v="x"/>
    <s v="x"/>
    <s v="x"/>
    <s v="x"/>
    <s v="x"/>
    <s v="x"/>
    <s v="Boro"/>
    <s v="n/a"/>
    <s v="n/a"/>
    <s v="n/a"/>
    <s v="n/a"/>
    <s v="n/a"/>
    <s v="n/a"/>
    <s v="n/a"/>
    <s v="KingPanloco / Jos"/>
    <m/>
    <m/>
    <n v="1"/>
    <n v="1"/>
    <m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207"/>
    <s v="Not fully evolved"/>
    <x v="6"/>
  </r>
  <r>
    <n v="473"/>
    <s v="TRUMBEAK"/>
    <m/>
    <x v="9"/>
    <x v="2"/>
    <s v="x"/>
    <s v="x"/>
    <m/>
    <s v="x"/>
    <s v="x"/>
    <s v="x"/>
    <m/>
    <s v="n/a"/>
    <s v="x"/>
    <s v="x"/>
    <s v="Boro"/>
    <s v="n/a"/>
    <s v="n/a"/>
    <s v="n/a"/>
    <s v="n/a"/>
    <s v="n/a"/>
    <s v="n/a"/>
    <s v="n/a"/>
    <s v="KingPanloco / Jos"/>
    <m/>
    <m/>
    <n v="1"/>
    <n v="1"/>
    <m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207"/>
    <s v="Not fully evolved"/>
    <x v="6"/>
  </r>
  <r>
    <n v="474"/>
    <s v="TOUCANNON"/>
    <m/>
    <x v="9"/>
    <x v="2"/>
    <s v="x"/>
    <s v="x"/>
    <s v="x"/>
    <s v="x"/>
    <s v="x"/>
    <s v="x"/>
    <s v="x"/>
    <s v="n/a"/>
    <s v="x"/>
    <s v="x"/>
    <s v="Boro"/>
    <s v="n/a"/>
    <s v="n/a"/>
    <s v="n/a"/>
    <s v="n/a"/>
    <s v="n/a"/>
    <s v="n/a"/>
    <s v="n/a"/>
    <s v="KingPanloco / Jos"/>
    <m/>
    <m/>
    <n v="1"/>
    <n v="1"/>
    <m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n v="5"/>
    <m/>
    <m/>
    <m/>
    <m/>
    <m/>
    <x v="207"/>
    <m/>
    <x v="6"/>
  </r>
  <r>
    <n v="475"/>
    <s v="PINECO"/>
    <m/>
    <x v="13"/>
    <x v="1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n v="1"/>
    <m/>
    <m/>
    <m/>
    <m/>
    <m/>
    <n v="1"/>
    <n v="1"/>
    <m/>
    <m/>
    <m/>
    <m/>
    <m/>
    <m/>
    <m/>
    <m/>
    <m/>
    <m/>
    <m/>
    <m/>
    <m/>
    <m/>
    <m/>
    <m/>
    <x v="208"/>
    <s v="Not fully evolved"/>
    <x v="2"/>
  </r>
  <r>
    <n v="476"/>
    <s v="FORRETRESS"/>
    <m/>
    <x v="13"/>
    <x v="12"/>
    <s v="x"/>
    <s v="x"/>
    <s v="x"/>
    <s v="x"/>
    <s v="x"/>
    <s v="x"/>
    <s v="x"/>
    <s v="n/a"/>
    <s v="x"/>
    <s v="x"/>
    <s v="n/a"/>
    <s v="Need"/>
    <s v="Need"/>
    <s v="n/a"/>
    <s v="Need"/>
    <s v="Need"/>
    <s v="Need"/>
    <s v="Need"/>
    <s v="Jos"/>
    <m/>
    <m/>
    <m/>
    <m/>
    <m/>
    <n v="1"/>
    <m/>
    <m/>
    <m/>
    <m/>
    <m/>
    <m/>
    <m/>
    <m/>
    <m/>
    <m/>
    <m/>
    <m/>
    <m/>
    <n v="1"/>
    <m/>
    <m/>
    <m/>
    <m/>
    <m/>
    <n v="1"/>
    <n v="1"/>
    <m/>
    <m/>
    <m/>
    <m/>
    <m/>
    <m/>
    <m/>
    <m/>
    <m/>
    <m/>
    <n v="1"/>
    <m/>
    <m/>
    <m/>
    <m/>
    <m/>
    <x v="208"/>
    <m/>
    <x v="2"/>
  </r>
  <r>
    <n v="477"/>
    <s v="HOOTHOOT2"/>
    <m/>
    <x v="2"/>
    <x v="2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NocTurn / Jos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x v="2"/>
    <s v="Not fully evolved"/>
    <x v="2"/>
  </r>
  <r>
    <n v="478"/>
    <s v="NOCTOWL2"/>
    <m/>
    <x v="2"/>
    <x v="2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NocTurn / Jos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2"/>
    <n v="1"/>
    <m/>
    <m/>
    <m/>
    <m/>
    <x v="2"/>
    <m/>
    <x v="2"/>
  </r>
  <r>
    <n v="479"/>
    <s v="STUFFUL"/>
    <m/>
    <x v="6"/>
    <x v="14"/>
    <s v="x"/>
    <s v="x"/>
    <m/>
    <s v="x"/>
    <s v="x"/>
    <s v="x"/>
    <s v="Need"/>
    <s v="x"/>
    <s v="x"/>
    <s v="x"/>
    <s v="n/a"/>
    <s v="n/a"/>
    <s v="n/a"/>
    <s v="n/a"/>
    <s v="n/a"/>
    <s v="n/a"/>
    <s v="n/a"/>
    <s v="n/a"/>
    <s v="Jos"/>
    <m/>
    <m/>
    <m/>
    <m/>
    <m/>
    <n v="1"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58"/>
    <s v="Not fully evolved"/>
    <x v="6"/>
  </r>
  <r>
    <n v="480"/>
    <s v="BEWEAR"/>
    <m/>
    <x v="6"/>
    <x v="14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Jos"/>
    <m/>
    <m/>
    <m/>
    <m/>
    <m/>
    <n v="1"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n v="2"/>
    <m/>
    <m/>
    <m/>
    <m/>
    <m/>
    <x v="58"/>
    <m/>
    <x v="6"/>
  </r>
  <r>
    <n v="481"/>
    <s v="CARBINK"/>
    <m/>
    <x v="11"/>
    <x v="3"/>
    <s v="x"/>
    <s v="x"/>
    <s v="x"/>
    <s v="x"/>
    <s v="x"/>
    <s v="x"/>
    <s v="x"/>
    <s v="x"/>
    <s v="x"/>
    <s v="x"/>
    <s v="-12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n v="1"/>
    <m/>
    <m/>
    <m/>
    <m/>
    <m/>
    <x v="209"/>
    <m/>
    <x v="4"/>
  </r>
  <r>
    <n v="482"/>
    <s v="GIBLE"/>
    <m/>
    <x v="6"/>
    <x v="17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"/>
    <m/>
    <m/>
    <m/>
    <m/>
    <m/>
    <n v="1"/>
    <m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m/>
    <m/>
    <m/>
    <m/>
    <m/>
    <m/>
    <x v="210"/>
    <s v="Not fully evolved"/>
    <x v="5"/>
  </r>
  <r>
    <n v="483"/>
    <s v="GABITE"/>
    <m/>
    <x v="6"/>
    <x v="17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n v="1"/>
    <m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m/>
    <m/>
    <m/>
    <m/>
    <m/>
    <m/>
    <x v="210"/>
    <s v="Not fully evolved"/>
    <x v="5"/>
  </r>
  <r>
    <n v="484"/>
    <s v="GARCHOMP"/>
    <m/>
    <x v="6"/>
    <x v="17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Hexx_Vixtar"/>
    <m/>
    <m/>
    <m/>
    <m/>
    <m/>
    <n v="1"/>
    <m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n v="20"/>
    <n v="6"/>
    <n v="1"/>
    <m/>
    <m/>
    <m/>
    <x v="210"/>
    <m/>
    <x v="5"/>
  </r>
  <r>
    <n v="485"/>
    <s v="VULPIX"/>
    <m/>
    <x v="3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 / Hexx_Vixtar"/>
    <m/>
    <m/>
    <m/>
    <m/>
    <m/>
    <n v="1"/>
    <m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m/>
    <m/>
    <m/>
    <m/>
    <m/>
    <m/>
    <x v="119"/>
    <s v="Not fully evolved"/>
    <x v="0"/>
  </r>
  <r>
    <n v="486"/>
    <s v="NINETALES"/>
    <m/>
    <x v="3"/>
    <x v="4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Jos / Hexx_Vixtar"/>
    <m/>
    <m/>
    <m/>
    <m/>
    <m/>
    <n v="1"/>
    <m/>
    <m/>
    <m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n v="8"/>
    <m/>
    <m/>
    <m/>
    <m/>
    <m/>
    <x v="119"/>
    <m/>
    <x v="0"/>
  </r>
  <r>
    <n v="487"/>
    <s v="BOUNSWEET2"/>
    <m/>
    <x v="5"/>
    <x v="1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KingPanloco / Jos"/>
    <m/>
    <m/>
    <m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x v="211"/>
    <s v="Not fully evolved"/>
    <x v="6"/>
  </r>
  <r>
    <n v="488"/>
    <s v="STEENEE2"/>
    <m/>
    <x v="5"/>
    <x v="14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KingPanloco / Jos"/>
    <m/>
    <m/>
    <m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x v="211"/>
    <s v="Not fully evolved"/>
    <x v="6"/>
  </r>
  <r>
    <n v="489"/>
    <s v="TSAREENA2"/>
    <m/>
    <x v="5"/>
    <x v="14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KingPanloco / Jos"/>
    <m/>
    <m/>
    <m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n v="4"/>
    <n v="1"/>
    <m/>
    <m/>
    <m/>
    <m/>
    <x v="211"/>
    <m/>
    <x v="6"/>
  </r>
  <r>
    <n v="490"/>
    <s v="PURRLOIN"/>
    <m/>
    <x v="11"/>
    <x v="13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m/>
    <m/>
    <m/>
    <m/>
    <m/>
    <m/>
    <x v="212"/>
    <s v="Not fully evolved"/>
    <x v="1"/>
  </r>
  <r>
    <n v="491"/>
    <s v="LIEPARD"/>
    <m/>
    <x v="11"/>
    <x v="13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Jos"/>
    <m/>
    <m/>
    <m/>
    <m/>
    <m/>
    <m/>
    <m/>
    <m/>
    <n v="1"/>
    <m/>
    <m/>
    <m/>
    <m/>
    <m/>
    <m/>
    <m/>
    <m/>
    <m/>
    <m/>
    <m/>
    <m/>
    <m/>
    <n v="1"/>
    <n v="1"/>
    <m/>
    <n v="1"/>
    <n v="1"/>
    <m/>
    <m/>
    <m/>
    <m/>
    <m/>
    <m/>
    <m/>
    <m/>
    <m/>
    <m/>
    <n v="1"/>
    <n v="2"/>
    <m/>
    <m/>
    <m/>
    <m/>
    <x v="212"/>
    <m/>
    <x v="1"/>
  </r>
  <r>
    <n v="492"/>
    <s v="TOXEL"/>
    <m/>
    <x v="9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Boro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50"/>
    <s v="Not fully evolved"/>
    <x v="8"/>
  </r>
  <r>
    <n v="493"/>
    <s v="TOXTRICITY"/>
    <m/>
    <x v="9"/>
    <x v="14"/>
    <s v="x"/>
    <s v="x"/>
    <s v="x"/>
    <s v="x"/>
    <s v="x"/>
    <s v="x"/>
    <m/>
    <s v="n/a"/>
    <s v="x"/>
    <s v="x"/>
    <s v="n/a"/>
    <s v="x"/>
    <s v="x"/>
    <s v="n/a"/>
    <s v="x"/>
    <s v="x"/>
    <s v="x"/>
    <s v="x"/>
    <s v="Boro/Jos (mega)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5"/>
    <m/>
    <m/>
    <m/>
    <m/>
    <m/>
    <x v="213"/>
    <m/>
    <x v="8"/>
  </r>
  <r>
    <n v="494"/>
    <s v="DEWPIDER2"/>
    <m/>
    <x v="12"/>
    <x v="1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Boro"/>
    <m/>
    <n v="1"/>
    <n v="1"/>
    <n v="1"/>
    <n v="1"/>
    <n v="1"/>
    <m/>
    <n v="1"/>
    <n v="1"/>
    <n v="1"/>
    <m/>
    <m/>
    <m/>
    <m/>
    <m/>
    <m/>
    <m/>
    <m/>
    <m/>
    <m/>
    <n v="1"/>
    <n v="1"/>
    <m/>
    <m/>
    <m/>
    <m/>
    <m/>
    <n v="1"/>
    <m/>
    <m/>
    <m/>
    <m/>
    <m/>
    <m/>
    <m/>
    <m/>
    <m/>
    <m/>
    <m/>
    <m/>
    <m/>
    <m/>
    <m/>
    <x v="104"/>
    <s v="Not fully evolved"/>
    <x v="6"/>
  </r>
  <r>
    <n v="495"/>
    <s v="ARAQUANID2"/>
    <m/>
    <x v="12"/>
    <x v="1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Boro"/>
    <m/>
    <n v="1"/>
    <n v="1"/>
    <n v="1"/>
    <n v="1"/>
    <n v="1"/>
    <m/>
    <n v="1"/>
    <n v="1"/>
    <n v="1"/>
    <m/>
    <m/>
    <m/>
    <m/>
    <m/>
    <m/>
    <m/>
    <m/>
    <m/>
    <m/>
    <n v="1"/>
    <n v="1"/>
    <m/>
    <m/>
    <m/>
    <m/>
    <m/>
    <n v="1"/>
    <m/>
    <m/>
    <m/>
    <m/>
    <m/>
    <m/>
    <m/>
    <m/>
    <m/>
    <n v="3"/>
    <m/>
    <m/>
    <m/>
    <m/>
    <m/>
    <x v="104"/>
    <m/>
    <x v="6"/>
  </r>
  <r>
    <n v="496"/>
    <s v="GOOMY"/>
    <m/>
    <x v="15"/>
    <x v="20"/>
    <s v="x"/>
    <s v="x"/>
    <m/>
    <s v="x"/>
    <s v="x"/>
    <s v="x"/>
    <m/>
    <s v="x"/>
    <s v="x"/>
    <s v="x"/>
    <s v="30/0/-5 - Green_x000a_'30/0/-5 - Red_x000a_'30/0/-5 - Blue_x000a_'-15/20/-20 - Yellow_x000a_'-10/15/-20 - Orange_x000a_'30/0/-5 - Purple_x000a_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14"/>
    <s v="Not fully evolved"/>
    <x v="4"/>
  </r>
  <r>
    <n v="497"/>
    <s v="SLIGGOO"/>
    <m/>
    <x v="15"/>
    <x v="20"/>
    <s v="x"/>
    <s v="x"/>
    <m/>
    <s v="x"/>
    <s v="x"/>
    <s v="x"/>
    <m/>
    <s v="n/a"/>
    <s v="x"/>
    <s v="x"/>
    <s v="30/0/-5 - Green_x000a_'30/0/-5 - Red_x000a_'30/0/-5 - Blue_x000a_'-15/20/-20 - Yellow_x000a_'-10/15/-20 - Orange_x000a_'30/0/-5 - Purple_x000a_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14"/>
    <s v="Not fully evolved"/>
    <x v="4"/>
  </r>
  <r>
    <n v="498"/>
    <s v="GOODRA"/>
    <m/>
    <x v="15"/>
    <x v="20"/>
    <s v="x"/>
    <s v="x"/>
    <s v="x"/>
    <s v="x"/>
    <s v="x"/>
    <s v="x"/>
    <m/>
    <s v="n/a"/>
    <s v="x"/>
    <s v="x"/>
    <s v="30/0/-5 - Green_x000a_'30/0/-5 - Red_x000a_'30/0/-5 - Blue_x000a_'-15/20/-20 - Yellow_x000a_'-10/15/-20 - Orange_x000a_'30/0/-5 - Purple_x000a_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5"/>
    <n v="2"/>
    <m/>
    <m/>
    <m/>
    <m/>
    <x v="214"/>
    <m/>
    <x v="4"/>
  </r>
  <r>
    <n v="499"/>
    <s v="MIMEJR"/>
    <m/>
    <x v="20"/>
    <x v="1"/>
    <s v="x"/>
    <s v="x"/>
    <m/>
    <s v="x"/>
    <s v="x"/>
    <s v="x"/>
    <m/>
    <s v="x"/>
    <s v="x"/>
    <s v="x"/>
    <s v="Custom - Ace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15"/>
    <s v="Not fully evolved"/>
    <x v="5"/>
  </r>
  <r>
    <n v="500"/>
    <s v="MRMIME"/>
    <m/>
    <x v="20"/>
    <x v="1"/>
    <s v="x"/>
    <s v="x"/>
    <s v="x"/>
    <s v="x"/>
    <s v="x"/>
    <s v="x"/>
    <s v="x"/>
    <s v="n/a"/>
    <s v="x"/>
    <s v="x"/>
    <s v="Custom - Ace"/>
    <s v="n/a"/>
    <s v="n/a"/>
    <s v="n/a"/>
    <s v="n/a"/>
    <s v="n/a"/>
    <s v="n/a"/>
    <s v="n/a"/>
    <s v="Scotsman33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15"/>
    <s v="Not fully evolved"/>
    <x v="0"/>
  </r>
  <r>
    <n v="501"/>
    <s v="MRRIME"/>
    <m/>
    <x v="20"/>
    <x v="1"/>
    <s v="x"/>
    <s v="x"/>
    <s v="x"/>
    <s v="x"/>
    <s v="x"/>
    <s v="x"/>
    <m/>
    <s v="n/a"/>
    <s v="x"/>
    <s v="x"/>
    <s v="Custom - Ace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n v="5"/>
    <m/>
    <m/>
    <m/>
    <m/>
    <m/>
    <x v="215"/>
    <m/>
    <x v="8"/>
  </r>
  <r>
    <n v="502"/>
    <s v="DIGLETT2"/>
    <m/>
    <x v="2"/>
    <x v="4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Scotsman33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52"/>
    <s v="Not fully evolved"/>
    <x v="0"/>
  </r>
  <r>
    <n v="503"/>
    <s v="DUGTRIO2"/>
    <m/>
    <x v="2"/>
    <x v="4"/>
    <s v="x"/>
    <s v="x"/>
    <s v="x"/>
    <s v="x"/>
    <s v="x"/>
    <s v="x"/>
    <m/>
    <s v="n/a"/>
    <s v="x"/>
    <s v="x"/>
    <s v="180/0/0"/>
    <s v="x"/>
    <s v="x"/>
    <s v="n/a"/>
    <s v="x"/>
    <s v="x"/>
    <s v="x"/>
    <s v="x"/>
    <s v="Scotsman33 / Raffs07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n v="1"/>
    <m/>
    <m/>
    <m/>
    <m/>
    <x v="52"/>
    <m/>
    <x v="0"/>
  </r>
  <r>
    <n v="504"/>
    <s v="LUVDISC"/>
    <m/>
    <x v="1"/>
    <x v="8"/>
    <s v="x"/>
    <s v="x"/>
    <s v="x"/>
    <s v="x"/>
    <s v="x"/>
    <s v="x"/>
    <s v="x"/>
    <s v="x"/>
    <s v="x"/>
    <s v="x"/>
    <s v="Custom - Endless"/>
    <s v="x"/>
    <s v="x"/>
    <s v="x"/>
    <s v="x"/>
    <s v="x"/>
    <s v="x"/>
    <s v="x"/>
    <s v="Scotsman33/Jos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x v="216"/>
    <m/>
    <x v="3"/>
  </r>
  <r>
    <n v="505"/>
    <s v="SMEARGLE"/>
    <m/>
    <x v="10"/>
    <x v="4"/>
    <s v="x"/>
    <s v="x"/>
    <s v="x"/>
    <s v="x"/>
    <s v="x"/>
    <s v="x"/>
    <s v="x"/>
    <s v="x"/>
    <s v="x"/>
    <s v="x"/>
    <s v="140/0/0"/>
    <s v="n/a"/>
    <s v="n/a"/>
    <s v="n/a"/>
    <s v="n/a"/>
    <s v="n/a"/>
    <s v="n/a"/>
    <s v="n/a"/>
    <s v="Scotsman33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x v="217"/>
    <m/>
    <x v="2"/>
  </r>
  <r>
    <n v="506"/>
    <s v="SHIELDON"/>
    <m/>
    <x v="2"/>
    <x v="5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KingPanloco / Endless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218"/>
    <s v="Not fully evolved"/>
    <x v="5"/>
  </r>
  <r>
    <n v="507"/>
    <s v="BASTIODON"/>
    <m/>
    <x v="2"/>
    <x v="5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KingPanloco / Endless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n v="4"/>
    <n v="4"/>
    <m/>
    <m/>
    <m/>
    <m/>
    <x v="218"/>
    <m/>
    <x v="5"/>
  </r>
  <r>
    <n v="508"/>
    <s v="APPLIN"/>
    <m/>
    <x v="8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40"/>
    <s v="Not fully evolved"/>
    <x v="8"/>
  </r>
  <r>
    <n v="509"/>
    <s v="FLAPPLE"/>
    <m/>
    <x v="8"/>
    <x v="1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x v="41"/>
    <m/>
    <x v="8"/>
  </r>
  <r>
    <n v="510"/>
    <s v="APPLETUN"/>
    <m/>
    <x v="8"/>
    <x v="17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73"/>
    <m/>
    <x v="8"/>
  </r>
  <r>
    <n v="511"/>
    <s v="MIMIKYU"/>
    <m/>
    <x v="2"/>
    <x v="18"/>
    <s v="x"/>
    <s v="x"/>
    <s v="x"/>
    <s v="x"/>
    <s v="x"/>
    <s v="x"/>
    <s v="x"/>
    <s v="x"/>
    <s v="x"/>
    <s v="x"/>
    <s v="n/a"/>
    <s v="n/a"/>
    <s v="n/a"/>
    <s v="n/a"/>
    <s v="n/a"/>
    <s v="n/a"/>
    <s v="n/a"/>
    <s v="n/a"/>
    <s v="Jos"/>
    <m/>
    <m/>
    <m/>
    <m/>
    <m/>
    <n v="1"/>
    <m/>
    <m/>
    <m/>
    <n v="1"/>
    <m/>
    <m/>
    <m/>
    <m/>
    <m/>
    <m/>
    <m/>
    <m/>
    <n v="1"/>
    <n v="1"/>
    <m/>
    <m/>
    <m/>
    <m/>
    <m/>
    <m/>
    <m/>
    <m/>
    <m/>
    <m/>
    <m/>
    <m/>
    <m/>
    <m/>
    <m/>
    <m/>
    <m/>
    <n v="3"/>
    <m/>
    <m/>
    <m/>
    <m/>
    <m/>
    <x v="219"/>
    <m/>
    <x v="6"/>
  </r>
  <r>
    <n v="512"/>
    <s v="WOOLOO"/>
    <m/>
    <x v="13"/>
    <x v="20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n v="1"/>
    <m/>
    <m/>
    <m/>
    <m/>
    <m/>
    <m/>
    <m/>
    <m/>
    <m/>
    <m/>
    <m/>
    <m/>
    <m/>
    <m/>
    <m/>
    <n v="1"/>
    <m/>
    <m/>
    <m/>
    <m/>
    <m/>
    <m/>
    <m/>
    <n v="1"/>
    <n v="1"/>
    <m/>
    <m/>
    <m/>
    <m/>
    <m/>
    <m/>
    <m/>
    <m/>
    <m/>
    <m/>
    <m/>
    <m/>
    <m/>
    <m/>
    <m/>
    <m/>
    <x v="220"/>
    <s v="Not fully evolved"/>
    <x v="8"/>
  </r>
  <r>
    <n v="513"/>
    <s v="DUBWOOL"/>
    <m/>
    <x v="13"/>
    <x v="20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n v="1"/>
    <m/>
    <m/>
    <m/>
    <m/>
    <m/>
    <m/>
    <m/>
    <m/>
    <m/>
    <m/>
    <m/>
    <m/>
    <m/>
    <m/>
    <m/>
    <n v="1"/>
    <m/>
    <m/>
    <m/>
    <m/>
    <m/>
    <m/>
    <m/>
    <n v="1"/>
    <n v="1"/>
    <m/>
    <m/>
    <m/>
    <m/>
    <m/>
    <m/>
    <m/>
    <m/>
    <m/>
    <m/>
    <n v="1"/>
    <m/>
    <m/>
    <m/>
    <m/>
    <m/>
    <x v="220"/>
    <m/>
    <x v="8"/>
  </r>
  <r>
    <n v="514"/>
    <s v="ABSOL2"/>
    <m/>
    <x v="16"/>
    <x v="13"/>
    <s v="x"/>
    <s v="x"/>
    <s v="x"/>
    <s v="x"/>
    <s v="x"/>
    <s v="x"/>
    <m/>
    <s v="x"/>
    <s v="x"/>
    <s v="x"/>
    <s v="n/a"/>
    <s v="x"/>
    <s v="x"/>
    <s v="x"/>
    <s v="x"/>
    <s v="x"/>
    <s v="x"/>
    <s v="x"/>
    <s v="Hexx_Vixtar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4"/>
    <n v="1"/>
    <m/>
    <m/>
    <m/>
    <m/>
    <x v="221"/>
    <m/>
    <x v="3"/>
  </r>
  <r>
    <n v="515"/>
    <s v="SNIVY"/>
    <m/>
    <x v="6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Angel"/>
    <m/>
    <m/>
    <m/>
    <m/>
    <m/>
    <m/>
    <m/>
    <m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62"/>
    <s v="Not fully evolved"/>
    <x v="1"/>
  </r>
  <r>
    <n v="516"/>
    <s v="SERVINE"/>
    <m/>
    <x v="6"/>
    <x v="4"/>
    <s v="x"/>
    <s v="x"/>
    <m/>
    <s v="x"/>
    <s v="x"/>
    <s v="x"/>
    <s v="x"/>
    <s v="n/a"/>
    <s v="x"/>
    <s v="x"/>
    <s v="n/a"/>
    <s v="n/a"/>
    <s v="n/a"/>
    <s v="n/a"/>
    <s v="n/a"/>
    <s v="n/a"/>
    <s v="n/a"/>
    <s v="n/a"/>
    <s v="Angel"/>
    <m/>
    <m/>
    <m/>
    <m/>
    <m/>
    <m/>
    <m/>
    <m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62"/>
    <s v="Not fully evolved"/>
    <x v="1"/>
  </r>
  <r>
    <n v="517"/>
    <s v="SERPERIOR"/>
    <m/>
    <x v="6"/>
    <x v="4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Angel / Boro"/>
    <m/>
    <m/>
    <m/>
    <m/>
    <m/>
    <m/>
    <m/>
    <m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n v="3"/>
    <m/>
    <m/>
    <m/>
    <m/>
    <m/>
    <x v="62"/>
    <m/>
    <x v="1"/>
  </r>
  <r>
    <n v="518"/>
    <s v="FENNEKIN"/>
    <m/>
    <x v="1"/>
    <x v="13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 / Velink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2"/>
    <s v="Not fully evolved"/>
    <x v="4"/>
  </r>
  <r>
    <n v="519"/>
    <s v="BRAIXEN"/>
    <m/>
    <x v="1"/>
    <x v="13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2"/>
    <s v="Not fully evolved"/>
    <x v="4"/>
  </r>
  <r>
    <n v="520"/>
    <s v="DELPHOX"/>
    <m/>
    <x v="1"/>
    <x v="13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n v="20"/>
    <n v="7"/>
    <n v="1"/>
    <m/>
    <m/>
    <m/>
    <x v="222"/>
    <m/>
    <x v="4"/>
  </r>
  <r>
    <n v="521"/>
    <s v="VOLTORB2"/>
    <m/>
    <x v="3"/>
    <x v="3"/>
    <s v="x"/>
    <s v="x"/>
    <m/>
    <s v="x"/>
    <s v="x"/>
    <s v="x"/>
    <m/>
    <s v="x"/>
    <s v="x"/>
    <s v="x"/>
    <s v="-180/0/0"/>
    <s v="n/a"/>
    <s v="n/a"/>
    <s v="n/a"/>
    <s v="n/a"/>
    <s v="n/a"/>
    <s v="n/a"/>
    <s v="n/a"/>
    <s v="Jos / Hexx_Vixtar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5"/>
    <s v="Not fully evolved"/>
    <x v="0"/>
  </r>
  <r>
    <n v="522"/>
    <s v="ELECTRODE2"/>
    <m/>
    <x v="3"/>
    <x v="3"/>
    <s v="x"/>
    <s v="x"/>
    <s v="x"/>
    <s v="x"/>
    <s v="x"/>
    <s v="x"/>
    <m/>
    <s v="n/a"/>
    <s v="x"/>
    <s v="x"/>
    <s v="-180/0/0"/>
    <s v="n/a"/>
    <s v="n/a"/>
    <s v="n/a"/>
    <s v="n/a"/>
    <s v="n/a"/>
    <s v="n/a"/>
    <s v="n/a"/>
    <s v="Jos / Hexx_Vixtar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3"/>
    <m/>
    <n v="1"/>
    <m/>
    <m/>
    <m/>
    <x v="5"/>
    <m/>
    <x v="0"/>
  </r>
  <r>
    <n v="523"/>
    <s v="SNOVER"/>
    <m/>
    <x v="9"/>
    <x v="4"/>
    <s v="x"/>
    <s v="x"/>
    <m/>
    <s v="x"/>
    <s v="x"/>
    <s v="x"/>
    <s v="Need"/>
    <s v="x"/>
    <s v="x"/>
    <s v="x"/>
    <s v="-100/0/0"/>
    <s v="n/a"/>
    <s v="n/a"/>
    <s v="n/a"/>
    <s v="n/a"/>
    <s v="n/a"/>
    <s v="n/a"/>
    <s v="n/a"/>
    <s v="PDM20"/>
    <m/>
    <m/>
    <m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0"/>
    <s v="Not fully evolved"/>
    <x v="5"/>
  </r>
  <r>
    <n v="524"/>
    <s v="ABOMASNOW"/>
    <m/>
    <x v="9"/>
    <x v="4"/>
    <s v="x"/>
    <s v="x"/>
    <s v="x"/>
    <s v="x"/>
    <s v="x"/>
    <s v="x"/>
    <m/>
    <s v="n/a"/>
    <s v="x"/>
    <s v="x"/>
    <s v="-100/0/0"/>
    <s v="x"/>
    <s v="x"/>
    <s v="x"/>
    <s v="x"/>
    <s v="x"/>
    <s v="x"/>
    <s v="x"/>
    <s v="Boro/Jos (mega)"/>
    <m/>
    <m/>
    <m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x v="150"/>
    <m/>
    <x v="5"/>
  </r>
  <r>
    <n v="525"/>
    <s v="EXEGGCUTE2"/>
    <m/>
    <x v="0"/>
    <x v="3"/>
    <s v="x"/>
    <s v="x"/>
    <m/>
    <s v="x"/>
    <s v="x"/>
    <s v="x"/>
    <s v="Need"/>
    <s v="x"/>
    <s v="x"/>
    <s v="x"/>
    <s v="60/0/0"/>
    <s v="n/a"/>
    <s v="n/a"/>
    <s v="n/a"/>
    <s v="n/a"/>
    <s v="n/a"/>
    <s v="n/a"/>
    <s v="n/a"/>
    <s v="Scotsman33"/>
    <m/>
    <m/>
    <m/>
    <m/>
    <m/>
    <m/>
    <m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x v="132"/>
    <s v="Not fully evolved"/>
    <x v="0"/>
  </r>
  <r>
    <n v="526"/>
    <s v="EXEGGUTOR2"/>
    <m/>
    <x v="0"/>
    <x v="3"/>
    <s v="x"/>
    <s v="x"/>
    <s v="x"/>
    <s v="x"/>
    <s v="x"/>
    <s v="x"/>
    <m/>
    <s v="n/a"/>
    <s v="x"/>
    <s v="x"/>
    <s v="60/0/0"/>
    <s v="n/a"/>
    <s v="n/a"/>
    <s v="n/a"/>
    <s v="n/a"/>
    <s v="n/a"/>
    <s v="n/a"/>
    <s v="n/a"/>
    <s v="Scotsman33"/>
    <m/>
    <m/>
    <m/>
    <m/>
    <m/>
    <m/>
    <m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n v="5"/>
    <n v="4"/>
    <m/>
    <m/>
    <m/>
    <m/>
    <x v="132"/>
    <m/>
    <x v="0"/>
  </r>
  <r>
    <n v="527"/>
    <s v="SABLEYE2"/>
    <m/>
    <x v="1"/>
    <x v="21"/>
    <s v="x"/>
    <s v="x"/>
    <s v="x"/>
    <s v="x"/>
    <s v="x"/>
    <s v="x"/>
    <s v="n/a"/>
    <s v="x"/>
    <s v="x"/>
    <s v="x"/>
    <s v="Custom - Endless"/>
    <s v="x"/>
    <s v="x"/>
    <s v="x"/>
    <s v="x"/>
    <s v="x"/>
    <s v="x"/>
    <s v="x"/>
    <s v="Jos/Endless (Mega)"/>
    <m/>
    <m/>
    <m/>
    <m/>
    <m/>
    <m/>
    <m/>
    <m/>
    <m/>
    <m/>
    <n v="1"/>
    <m/>
    <m/>
    <n v="1"/>
    <n v="1"/>
    <n v="1"/>
    <m/>
    <m/>
    <m/>
    <n v="1"/>
    <m/>
    <m/>
    <m/>
    <m/>
    <m/>
    <m/>
    <m/>
    <m/>
    <m/>
    <m/>
    <m/>
    <m/>
    <m/>
    <m/>
    <m/>
    <m/>
    <m/>
    <m/>
    <m/>
    <m/>
    <m/>
    <m/>
    <m/>
    <x v="223"/>
    <m/>
    <x v="3"/>
  </r>
  <r>
    <n v="528"/>
    <s v="TRUBBISH"/>
    <m/>
    <x v="7"/>
    <x v="0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m/>
    <n v="1"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66"/>
    <s v="Not fully evolved"/>
    <x v="1"/>
  </r>
  <r>
    <n v="529"/>
    <s v="GARBODOR"/>
    <m/>
    <x v="7"/>
    <x v="0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Jos"/>
    <m/>
    <m/>
    <m/>
    <m/>
    <m/>
    <m/>
    <m/>
    <m/>
    <m/>
    <m/>
    <m/>
    <n v="1"/>
    <m/>
    <m/>
    <m/>
    <m/>
    <m/>
    <m/>
    <m/>
    <m/>
    <n v="1"/>
    <n v="1"/>
    <m/>
    <m/>
    <m/>
    <m/>
    <m/>
    <m/>
    <m/>
    <m/>
    <m/>
    <m/>
    <m/>
    <m/>
    <m/>
    <m/>
    <m/>
    <n v="1"/>
    <m/>
    <n v="1"/>
    <m/>
    <m/>
    <m/>
    <x v="66"/>
    <m/>
    <x v="1"/>
  </r>
  <r>
    <n v="530"/>
    <s v="SWABLU2"/>
    <m/>
    <x v="7"/>
    <x v="2"/>
    <s v="x"/>
    <s v="x"/>
    <m/>
    <s v="x"/>
    <s v="x"/>
    <s v="x"/>
    <s v="x"/>
    <s v="x"/>
    <s v="x"/>
    <s v="x"/>
    <s v="45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0"/>
    <s v="Not fully evolved"/>
    <x v="3"/>
  </r>
  <r>
    <n v="531"/>
    <s v="ALTARIA2"/>
    <m/>
    <x v="7"/>
    <x v="2"/>
    <s v="x"/>
    <s v="x"/>
    <s v="x"/>
    <s v="x"/>
    <s v="x"/>
    <s v="x"/>
    <m/>
    <s v="n/a"/>
    <s v="x"/>
    <s v="x"/>
    <s v="45/0/0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2"/>
    <m/>
    <m/>
    <m/>
    <m/>
    <m/>
    <x v="10"/>
    <m/>
    <x v="3"/>
  </r>
  <r>
    <n v="532"/>
    <s v="SLUGMA2"/>
    <m/>
    <x v="1"/>
    <x v="1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n v="1"/>
    <n v="1"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"/>
    <s v="Not fully evolved"/>
    <x v="2"/>
  </r>
  <r>
    <n v="533"/>
    <s v="MAGCARGO2"/>
    <m/>
    <x v="1"/>
    <x v="1"/>
    <s v="x"/>
    <s v="x"/>
    <s v="x"/>
    <s v="x"/>
    <s v="x"/>
    <s v="x"/>
    <m/>
    <s v="n/a"/>
    <s v="x"/>
    <s v="x"/>
    <s v="n/a"/>
    <s v="x"/>
    <s v="x"/>
    <s v="x"/>
    <s v="x"/>
    <s v="x"/>
    <s v="x"/>
    <s v="x"/>
    <s v="Jos"/>
    <m/>
    <m/>
    <m/>
    <m/>
    <m/>
    <m/>
    <m/>
    <m/>
    <m/>
    <m/>
    <n v="1"/>
    <n v="1"/>
    <m/>
    <n v="1"/>
    <n v="1"/>
    <n v="1"/>
    <m/>
    <m/>
    <m/>
    <m/>
    <m/>
    <m/>
    <m/>
    <m/>
    <m/>
    <m/>
    <m/>
    <m/>
    <m/>
    <m/>
    <m/>
    <m/>
    <m/>
    <m/>
    <m/>
    <m/>
    <m/>
    <n v="2"/>
    <n v="1"/>
    <m/>
    <m/>
    <m/>
    <m/>
    <x v="1"/>
    <m/>
    <x v="2"/>
  </r>
  <r>
    <n v="534"/>
    <s v="MUDKIP2"/>
    <m/>
    <x v="13"/>
    <x v="19"/>
    <s v="x"/>
    <s v="x"/>
    <m/>
    <s v="x"/>
    <s v="x"/>
    <s v="x"/>
    <m/>
    <s v="x"/>
    <s v="x"/>
    <s v="x"/>
    <s v="-125/0/0"/>
    <s v="n/a"/>
    <s v="n/a"/>
    <s v="n/a"/>
    <s v="n/a"/>
    <s v="n/a"/>
    <s v="n/a"/>
    <s v="n/a"/>
    <s v="Boro"/>
    <m/>
    <m/>
    <m/>
    <m/>
    <m/>
    <n v="1"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m/>
    <x v="224"/>
    <s v="Not fully evolved"/>
    <x v="3"/>
  </r>
  <r>
    <n v="535"/>
    <s v="MARSHTOMP2"/>
    <m/>
    <x v="13"/>
    <x v="19"/>
    <s v="x"/>
    <s v="x"/>
    <m/>
    <s v="x"/>
    <s v="x"/>
    <s v="x"/>
    <m/>
    <s v="n/a"/>
    <s v="x"/>
    <s v="x"/>
    <s v="-125/0/0"/>
    <s v="n/a"/>
    <s v="n/a"/>
    <s v="n/a"/>
    <s v="n/a"/>
    <s v="n/a"/>
    <s v="n/a"/>
    <s v="n/a"/>
    <s v="Boro"/>
    <m/>
    <m/>
    <m/>
    <m/>
    <m/>
    <n v="1"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m/>
    <x v="224"/>
    <s v="Not fully evolved"/>
    <x v="3"/>
  </r>
  <r>
    <n v="536"/>
    <s v="SWAMPERT2"/>
    <m/>
    <x v="13"/>
    <x v="19"/>
    <s v="x"/>
    <s v="x"/>
    <s v="x"/>
    <s v="x"/>
    <s v="x"/>
    <s v="x"/>
    <m/>
    <s v="n/a"/>
    <s v="x"/>
    <s v="x"/>
    <s v="-125/0/0"/>
    <s v="x"/>
    <s v="x"/>
    <s v="x"/>
    <s v="x"/>
    <s v="x"/>
    <s v="x"/>
    <s v="x"/>
    <s v="Boro"/>
    <m/>
    <m/>
    <m/>
    <m/>
    <m/>
    <n v="1"/>
    <m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n v="10"/>
    <n v="3"/>
    <n v="1"/>
    <m/>
    <m/>
    <m/>
    <x v="224"/>
    <m/>
    <x v="3"/>
  </r>
  <r>
    <n v="537"/>
    <s v="CHESPIN"/>
    <m/>
    <x v="4"/>
    <x v="19"/>
    <s v="x"/>
    <s v="x"/>
    <m/>
    <s v="x"/>
    <s v="x"/>
    <s v="x"/>
    <m/>
    <s v="x"/>
    <s v="x"/>
    <s v="x"/>
    <s v="Custom - Hexx"/>
    <s v="n/a"/>
    <s v="n/a"/>
    <s v="n/a"/>
    <s v="n/a"/>
    <s v="n/a"/>
    <s v="n/a"/>
    <s v="n/a"/>
    <s v="Hexx_Vixtar / Velink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5"/>
    <s v="Not fully evolved"/>
    <x v="4"/>
  </r>
  <r>
    <n v="538"/>
    <s v="QUILLADIN"/>
    <m/>
    <x v="4"/>
    <x v="19"/>
    <s v="x"/>
    <s v="x"/>
    <m/>
    <s v="x"/>
    <s v="x"/>
    <s v="x"/>
    <m/>
    <s v="n/a"/>
    <s v="x"/>
    <s v="x"/>
    <s v="Custom - Hexx"/>
    <s v="n/a"/>
    <s v="n/a"/>
    <s v="n/a"/>
    <s v="n/a"/>
    <s v="n/a"/>
    <s v="n/a"/>
    <s v="n/a"/>
    <s v="Hexx_Vixtar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5"/>
    <s v="Not fully evolved"/>
    <x v="4"/>
  </r>
  <r>
    <n v="539"/>
    <s v="CHESNAUGHT"/>
    <m/>
    <x v="4"/>
    <x v="19"/>
    <s v="x"/>
    <s v="x"/>
    <s v="x"/>
    <s v="x"/>
    <s v="x"/>
    <s v="x"/>
    <m/>
    <s v="n/a"/>
    <s v="x"/>
    <s v="x"/>
    <s v="Custom - Hexx"/>
    <s v="n/a"/>
    <s v="n/a"/>
    <s v="n/a"/>
    <s v="n/a"/>
    <s v="n/a"/>
    <s v="n/a"/>
    <s v="n/a"/>
    <s v="Hexx_Vixtar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m/>
    <m/>
    <m/>
    <m/>
    <m/>
    <x v="225"/>
    <m/>
    <x v="4"/>
  </r>
  <r>
    <n v="540"/>
    <s v="FROAKIE"/>
    <m/>
    <x v="7"/>
    <x v="18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Hexx_Vixtar / Velink"/>
    <m/>
    <m/>
    <m/>
    <n v="1"/>
    <m/>
    <m/>
    <m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226"/>
    <s v="Not fully evolved"/>
    <x v="4"/>
  </r>
  <r>
    <n v="541"/>
    <s v="FROGADIER"/>
    <m/>
    <x v="7"/>
    <x v="18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Hexx_Vixtar"/>
    <m/>
    <m/>
    <m/>
    <n v="1"/>
    <m/>
    <m/>
    <m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226"/>
    <s v="Not fully evolved"/>
    <x v="4"/>
  </r>
  <r>
    <n v="542"/>
    <s v="GRENINJA"/>
    <m/>
    <x v="7"/>
    <x v="18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Hexx_Vixtar"/>
    <m/>
    <m/>
    <m/>
    <n v="1"/>
    <m/>
    <m/>
    <m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n v="14"/>
    <n v="3"/>
    <m/>
    <m/>
    <m/>
    <m/>
    <x v="226"/>
    <m/>
    <x v="4"/>
  </r>
  <r>
    <n v="543"/>
    <s v="JANGMOO"/>
    <m/>
    <x v="8"/>
    <x v="14"/>
    <s v="x"/>
    <s v="x"/>
    <m/>
    <s v="x"/>
    <s v="x"/>
    <s v="x"/>
    <m/>
    <s v="x"/>
    <s v="x"/>
    <s v="x"/>
    <s v="55/0/0"/>
    <s v="n/a"/>
    <s v="n/a"/>
    <s v="n/a"/>
    <s v="n/a"/>
    <s v="n/a"/>
    <s v="n/a"/>
    <s v="n/a"/>
    <s v="IndianAnimator"/>
    <m/>
    <m/>
    <m/>
    <m/>
    <m/>
    <m/>
    <m/>
    <m/>
    <n v="1"/>
    <m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41"/>
    <s v="Not fully evolved"/>
    <x v="6"/>
  </r>
  <r>
    <n v="544"/>
    <s v="HAKAMOO"/>
    <m/>
    <x v="8"/>
    <x v="14"/>
    <s v="x"/>
    <s v="x"/>
    <m/>
    <s v="x"/>
    <s v="x"/>
    <s v="x"/>
    <m/>
    <s v="n/a"/>
    <s v="x"/>
    <s v="x"/>
    <s v="55/0/0"/>
    <s v="n/a"/>
    <s v="n/a"/>
    <s v="n/a"/>
    <s v="n/a"/>
    <s v="n/a"/>
    <s v="n/a"/>
    <s v="n/a"/>
    <s v="IndianAnimator"/>
    <m/>
    <m/>
    <m/>
    <m/>
    <m/>
    <m/>
    <m/>
    <m/>
    <n v="1"/>
    <m/>
    <m/>
    <m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41"/>
    <s v="Not fully evolved"/>
    <x v="6"/>
  </r>
  <r>
    <n v="545"/>
    <s v="KOMMOO"/>
    <m/>
    <x v="8"/>
    <x v="14"/>
    <s v="x"/>
    <s v="x"/>
    <s v="x"/>
    <s v="x"/>
    <s v="x"/>
    <s v="x"/>
    <m/>
    <s v="n/a"/>
    <s v="x"/>
    <s v="x"/>
    <s v="55/0/0"/>
    <s v="n/a"/>
    <s v="n/a"/>
    <s v="n/a"/>
    <s v="n/a"/>
    <s v="n/a"/>
    <s v="n/a"/>
    <s v="n/a"/>
    <s v="IndianAnimator"/>
    <m/>
    <m/>
    <m/>
    <m/>
    <m/>
    <m/>
    <m/>
    <m/>
    <n v="1"/>
    <m/>
    <m/>
    <m/>
    <m/>
    <m/>
    <m/>
    <m/>
    <m/>
    <m/>
    <m/>
    <m/>
    <m/>
    <m/>
    <m/>
    <n v="1"/>
    <m/>
    <n v="1"/>
    <n v="1"/>
    <m/>
    <m/>
    <m/>
    <m/>
    <m/>
    <m/>
    <m/>
    <m/>
    <m/>
    <m/>
    <n v="29"/>
    <n v="11"/>
    <m/>
    <m/>
    <m/>
    <m/>
    <x v="41"/>
    <m/>
    <x v="6"/>
  </r>
  <r>
    <n v="546"/>
    <s v="SCRAGGY"/>
    <m/>
    <x v="20"/>
    <x v="10"/>
    <s v="x"/>
    <s v="x"/>
    <m/>
    <s v="x"/>
    <s v="x"/>
    <s v="x"/>
    <s v="x"/>
    <s v="x"/>
    <s v="x"/>
    <s v="x"/>
    <s v="-45/0/0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27"/>
    <s v="Not fully evolved"/>
    <x v="1"/>
  </r>
  <r>
    <n v="547"/>
    <s v="SCRAFTY"/>
    <m/>
    <x v="20"/>
    <x v="10"/>
    <s v="x"/>
    <s v="x"/>
    <s v="x"/>
    <s v="x"/>
    <s v="x"/>
    <s v="x"/>
    <s v="x"/>
    <s v="n/a"/>
    <s v="x"/>
    <s v="x"/>
    <s v="-45/0/0"/>
    <s v="n/a"/>
    <s v="n/a"/>
    <s v="n/a"/>
    <s v="n/a"/>
    <s v="n/a"/>
    <s v="n/a"/>
    <s v="n/a"/>
    <s v="Jos"/>
    <m/>
    <m/>
    <m/>
    <m/>
    <m/>
    <m/>
    <m/>
    <m/>
    <n v="1"/>
    <m/>
    <m/>
    <m/>
    <m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x v="227"/>
    <m/>
    <x v="1"/>
  </r>
  <r>
    <n v="548"/>
    <s v="CHIKORITA2"/>
    <m/>
    <x v="7"/>
    <x v="5"/>
    <s v="x"/>
    <s v="x"/>
    <m/>
    <s v="x"/>
    <s v="x"/>
    <s v="x"/>
    <m/>
    <s v="x"/>
    <s v="x"/>
    <s v="x"/>
    <s v="9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28"/>
    <s v="Not fully evolved"/>
    <x v="2"/>
  </r>
  <r>
    <n v="549"/>
    <s v="BAYLEEF2"/>
    <m/>
    <x v="7"/>
    <x v="5"/>
    <s v="x"/>
    <s v="x"/>
    <m/>
    <s v="x"/>
    <s v="x"/>
    <s v="x"/>
    <m/>
    <s v="n/a"/>
    <s v="x"/>
    <s v="x"/>
    <s v="9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28"/>
    <s v="Not fully evolved"/>
    <x v="2"/>
  </r>
  <r>
    <n v="550"/>
    <s v="MEGANIUM2"/>
    <m/>
    <x v="7"/>
    <x v="5"/>
    <s v="x"/>
    <s v="x"/>
    <s v="x"/>
    <s v="x"/>
    <s v="x"/>
    <s v="x"/>
    <m/>
    <s v="n/a"/>
    <s v="x"/>
    <s v="x"/>
    <s v="9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"/>
    <n v="1"/>
    <m/>
    <m/>
    <m/>
    <m/>
    <x v="228"/>
    <m/>
    <x v="2"/>
  </r>
  <r>
    <n v="551"/>
    <s v="CYNDAQUIL2"/>
    <m/>
    <x v="2"/>
    <x v="4"/>
    <s v="x"/>
    <s v="x"/>
    <m/>
    <s v="x"/>
    <s v="x"/>
    <s v="x"/>
    <m/>
    <s v="x"/>
    <s v="x"/>
    <s v="x"/>
    <s v="10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52"/>
    <s v="Not fully evolved"/>
    <x v="2"/>
  </r>
  <r>
    <n v="552"/>
    <s v="QUILAVA2"/>
    <m/>
    <x v="2"/>
    <x v="4"/>
    <s v="x"/>
    <s v="x"/>
    <m/>
    <s v="x"/>
    <s v="x"/>
    <s v="x"/>
    <m/>
    <s v="n/a"/>
    <s v="x"/>
    <s v="x"/>
    <s v="10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52"/>
    <s v="Not fully evolved"/>
    <x v="2"/>
  </r>
  <r>
    <n v="553"/>
    <s v="TYPHLOSION2"/>
    <m/>
    <x v="2"/>
    <x v="4"/>
    <s v="x"/>
    <s v="x"/>
    <s v="x"/>
    <s v="x"/>
    <s v="x"/>
    <s v="x"/>
    <m/>
    <s v="n/a"/>
    <s v="x"/>
    <s v="x"/>
    <s v="10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2"/>
    <n v="1"/>
    <n v="3"/>
    <m/>
    <m/>
    <m/>
    <x v="52"/>
    <m/>
    <x v="2"/>
  </r>
  <r>
    <n v="554"/>
    <s v="TOTODILE2"/>
    <m/>
    <x v="10"/>
    <x v="11"/>
    <s v="x"/>
    <s v="x"/>
    <m/>
    <s v="x"/>
    <s v="x"/>
    <s v="x"/>
    <m/>
    <s v="x"/>
    <s v="x"/>
    <s v="x"/>
    <s v="-60/0/0"/>
    <s v="n/a"/>
    <s v="n/a"/>
    <s v="n/a"/>
    <s v="n/a"/>
    <s v="n/a"/>
    <s v="n/a"/>
    <s v="n/a"/>
    <s v="Badman"/>
    <m/>
    <m/>
    <m/>
    <m/>
    <m/>
    <m/>
    <m/>
    <m/>
    <m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x v="229"/>
    <s v="Not fully evolved"/>
    <x v="2"/>
  </r>
  <r>
    <n v="555"/>
    <s v="CROCONAW2"/>
    <m/>
    <x v="10"/>
    <x v="11"/>
    <s v="x"/>
    <s v="x"/>
    <m/>
    <s v="x"/>
    <s v="x"/>
    <s v="x"/>
    <m/>
    <s v="n/a"/>
    <s v="x"/>
    <s v="x"/>
    <s v="-60/0/0"/>
    <s v="n/a"/>
    <s v="n/a"/>
    <s v="n/a"/>
    <s v="n/a"/>
    <s v="n/a"/>
    <s v="n/a"/>
    <s v="n/a"/>
    <s v="Badman"/>
    <m/>
    <m/>
    <m/>
    <m/>
    <m/>
    <m/>
    <m/>
    <m/>
    <m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x v="229"/>
    <s v="Not fully evolved"/>
    <x v="2"/>
  </r>
  <r>
    <n v="556"/>
    <s v="FERALIGATR2"/>
    <m/>
    <x v="10"/>
    <x v="11"/>
    <s v="x"/>
    <s v="x"/>
    <s v="x"/>
    <s v="x"/>
    <s v="x"/>
    <s v="x"/>
    <m/>
    <s v="n/a"/>
    <s v="x"/>
    <s v="x"/>
    <s v="-60/0/0"/>
    <s v="n/a"/>
    <s v="n/a"/>
    <s v="n/a"/>
    <s v="n/a"/>
    <s v="n/a"/>
    <s v="n/a"/>
    <s v="n/a"/>
    <s v="Badman"/>
    <m/>
    <m/>
    <m/>
    <m/>
    <m/>
    <m/>
    <m/>
    <m/>
    <m/>
    <n v="1"/>
    <m/>
    <m/>
    <m/>
    <m/>
    <m/>
    <m/>
    <m/>
    <m/>
    <m/>
    <m/>
    <m/>
    <m/>
    <m/>
    <n v="1"/>
    <n v="1"/>
    <m/>
    <m/>
    <m/>
    <m/>
    <m/>
    <m/>
    <m/>
    <m/>
    <m/>
    <m/>
    <m/>
    <m/>
    <n v="5"/>
    <n v="3"/>
    <m/>
    <m/>
    <m/>
    <m/>
    <x v="229"/>
    <m/>
    <x v="2"/>
  </r>
  <r>
    <n v="557"/>
    <s v="SURSKIT2"/>
    <m/>
    <x v="9"/>
    <x v="2"/>
    <s v="x"/>
    <s v="x"/>
    <m/>
    <s v="x"/>
    <s v="x"/>
    <s v="x"/>
    <m/>
    <s v="x"/>
    <s v="x"/>
    <s v="x"/>
    <s v="-60/0/0"/>
    <s v="n/a"/>
    <s v="n/a"/>
    <s v="n/a"/>
    <s v="n/a"/>
    <s v="n/a"/>
    <s v="n/a"/>
    <s v="n/a"/>
    <s v="Badman"/>
    <m/>
    <n v="1"/>
    <n v="1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07"/>
    <s v="Not fully evolved"/>
    <x v="3"/>
  </r>
  <r>
    <n v="558"/>
    <s v="MASQUERAIN2"/>
    <m/>
    <x v="9"/>
    <x v="2"/>
    <s v="x"/>
    <s v="x"/>
    <s v="x"/>
    <s v="x"/>
    <s v="x"/>
    <s v="x"/>
    <m/>
    <s v="n/a"/>
    <s v="x"/>
    <s v="x"/>
    <s v="-60/0/0"/>
    <s v="x"/>
    <s v="x"/>
    <s v="x"/>
    <s v="x"/>
    <s v="x"/>
    <s v="x"/>
    <s v="x"/>
    <s v="Badman"/>
    <m/>
    <n v="1"/>
    <n v="1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4"/>
    <n v="1"/>
    <m/>
    <m/>
    <m/>
    <m/>
    <x v="207"/>
    <m/>
    <x v="3"/>
  </r>
  <r>
    <n v="559"/>
    <s v="STANTLER2"/>
    <m/>
    <x v="7"/>
    <x v="4"/>
    <s v="x"/>
    <s v="x"/>
    <s v="x"/>
    <s v="x"/>
    <s v="x"/>
    <s v="x"/>
    <m/>
    <s v="x"/>
    <s v="x"/>
    <s v="x"/>
    <s v="-115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94"/>
    <s v="Not fully evolved"/>
    <x v="2"/>
  </r>
  <r>
    <n v="560"/>
    <s v="CLAMPERL"/>
    <m/>
    <x v="16"/>
    <x v="4"/>
    <s v="x"/>
    <s v="x"/>
    <m/>
    <s v="x"/>
    <s v="x"/>
    <s v="x"/>
    <s v="x"/>
    <s v="x"/>
    <s v="x"/>
    <s v="x"/>
    <s v="Custom - Ace"/>
    <s v="n/a"/>
    <s v="n/a"/>
    <s v="n/a"/>
    <s v="n/a"/>
    <s v="n/a"/>
    <s v="n/a"/>
    <s v="n/a"/>
    <s v="Badman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x v="187"/>
    <s v="Not fully evolved"/>
    <x v="3"/>
  </r>
  <r>
    <n v="561"/>
    <s v="HUNTAIL"/>
    <m/>
    <x v="1"/>
    <x v="10"/>
    <s v="x"/>
    <s v="x"/>
    <s v="x"/>
    <s v="x"/>
    <s v="x"/>
    <s v="x"/>
    <m/>
    <s v="n/a"/>
    <s v="x"/>
    <s v="x"/>
    <s v="Custom - Ace"/>
    <s v="n/a"/>
    <s v="n/a"/>
    <s v="n/a"/>
    <s v="n/a"/>
    <s v="n/a"/>
    <s v="n/a"/>
    <s v="n/a"/>
    <s v="Badman/Endless (icon)"/>
    <m/>
    <m/>
    <m/>
    <m/>
    <m/>
    <m/>
    <m/>
    <m/>
    <m/>
    <m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x v="178"/>
    <m/>
    <x v="3"/>
  </r>
  <r>
    <n v="562"/>
    <s v="GOREBYSS"/>
    <m/>
    <x v="1"/>
    <x v="21"/>
    <s v="x"/>
    <s v="x"/>
    <s v="x"/>
    <s v="x"/>
    <s v="x"/>
    <s v="x"/>
    <m/>
    <s v="n/a"/>
    <s v="x"/>
    <s v="x"/>
    <s v="Custom - Ace"/>
    <s v="n/a"/>
    <s v="n/a"/>
    <s v="n/a"/>
    <s v="n/a"/>
    <s v="n/a"/>
    <s v="n/a"/>
    <s v="n/a"/>
    <s v="Badman/Endless (icon)"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23"/>
    <m/>
    <x v="3"/>
  </r>
  <r>
    <n v="563"/>
    <s v="KLINK"/>
    <m/>
    <x v="8"/>
    <x v="8"/>
    <s v="x"/>
    <s v="x"/>
    <m/>
    <s v="x"/>
    <s v="x"/>
    <s v="x"/>
    <s v="x"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30"/>
    <s v="Not fully evolved"/>
    <x v="1"/>
  </r>
  <r>
    <n v="564"/>
    <s v="KLANG"/>
    <m/>
    <x v="8"/>
    <x v="8"/>
    <s v="x"/>
    <s v="x"/>
    <m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30"/>
    <s v="Not fully evolved"/>
    <x v="1"/>
  </r>
  <r>
    <n v="565"/>
    <s v="KLINKLANG"/>
    <m/>
    <x v="8"/>
    <x v="8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Endless/Boro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n v="3"/>
    <n v="1"/>
    <n v="1"/>
    <m/>
    <m/>
    <m/>
    <x v="230"/>
    <m/>
    <x v="1"/>
  </r>
  <r>
    <n v="566"/>
    <s v="DARUMAKA"/>
    <m/>
    <x v="9"/>
    <x v="8"/>
    <s v="x"/>
    <s v="x"/>
    <m/>
    <s v="x"/>
    <s v="x"/>
    <s v="x"/>
    <s v="x"/>
    <s v="x"/>
    <s v="x"/>
    <s v="x"/>
    <s v="-120/0/0"/>
    <s v="n/a"/>
    <s v="n/a"/>
    <s v="n/a"/>
    <s v="n/a"/>
    <s v="n/a"/>
    <s v="n/a"/>
    <s v="n/a"/>
    <s v="Scotsman33 / 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31"/>
    <s v="Not fully evolved"/>
    <x v="1"/>
  </r>
  <r>
    <n v="567"/>
    <s v="DARMANITAN"/>
    <m/>
    <x v="9"/>
    <x v="8"/>
    <s v="x"/>
    <s v="x"/>
    <s v="x"/>
    <s v="x"/>
    <s v="x"/>
    <s v="x"/>
    <m/>
    <s v="n/a"/>
    <s v="x"/>
    <s v="x"/>
    <s v="-120/0/0"/>
    <s v="n/a"/>
    <s v="n/a"/>
    <s v="n/a"/>
    <s v="n/a"/>
    <s v="n/a"/>
    <s v="n/a"/>
    <s v="n/a"/>
    <s v="Scotsman33 / 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1"/>
    <m/>
    <m/>
    <m/>
    <m/>
    <m/>
    <x v="231"/>
    <m/>
    <x v="1"/>
  </r>
  <r>
    <s v="x"/>
    <s v="DARMANITAN"/>
    <s v="Zen Mode"/>
    <x v="13"/>
    <x v="8"/>
    <s v="x"/>
    <s v="x"/>
    <s v="x"/>
    <s v="x"/>
    <s v="x"/>
    <s v="x"/>
    <m/>
    <s v="n/a"/>
    <s v="x"/>
    <s v="x"/>
    <s v="-30/25/-5"/>
    <s v="n/a"/>
    <s v="n/a"/>
    <s v="n/a"/>
    <s v="n/a"/>
    <s v="n/a"/>
    <s v="n/a"/>
    <s v="n/a"/>
    <s v="Scotsman33 / 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32"/>
    <m/>
    <x v="7"/>
  </r>
  <r>
    <n v="568"/>
    <s v="SKITTY2"/>
    <m/>
    <x v="9"/>
    <x v="19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Mr. Fakemon / 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x v="233"/>
    <s v="Not fully evolved"/>
    <x v="3"/>
  </r>
  <r>
    <n v="569"/>
    <s v="DELCATTY2"/>
    <m/>
    <x v="9"/>
    <x v="19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Mr. Fakemon / 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4"/>
    <m/>
    <m/>
    <m/>
    <m/>
    <x v="233"/>
    <m/>
    <x v="3"/>
  </r>
  <r>
    <n v="570"/>
    <s v="DODUO2"/>
    <m/>
    <x v="1"/>
    <x v="2"/>
    <s v="x"/>
    <s v="x"/>
    <m/>
    <s v="x"/>
    <s v="x"/>
    <s v="x"/>
    <s v="x"/>
    <s v="x"/>
    <s v="x"/>
    <s v="x"/>
    <s v="75/0/0"/>
    <s v="n/a"/>
    <s v="n/a"/>
    <s v="n/a"/>
    <s v="n/a"/>
    <s v="n/a"/>
    <s v="n/a"/>
    <s v="n/a"/>
    <s v="Mr. Fakemon / Jos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8"/>
    <s v="Not fully evolved"/>
    <x v="0"/>
  </r>
  <r>
    <n v="571"/>
    <s v="DODRIO2"/>
    <m/>
    <x v="1"/>
    <x v="2"/>
    <s v="x"/>
    <s v="x"/>
    <s v="x"/>
    <s v="x"/>
    <s v="x"/>
    <s v="x"/>
    <m/>
    <s v="n/a"/>
    <s v="x"/>
    <s v="x"/>
    <s v="75/0/0"/>
    <s v="n/a"/>
    <s v="n/a"/>
    <s v="n/a"/>
    <s v="n/a"/>
    <s v="n/a"/>
    <s v="n/a"/>
    <s v="n/a"/>
    <s v="Mr. Fakemon / Jos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n v="4"/>
    <m/>
    <m/>
    <m/>
    <m/>
    <m/>
    <x v="188"/>
    <m/>
    <x v="0"/>
  </r>
  <r>
    <n v="572"/>
    <s v="NUMEL2"/>
    <m/>
    <x v="2"/>
    <x v="3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Mr. Fakemon / 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6"/>
    <s v="Not fully evolved"/>
    <x v="3"/>
  </r>
  <r>
    <n v="573"/>
    <s v="CAMERUPT2"/>
    <m/>
    <x v="2"/>
    <x v="3"/>
    <s v="x"/>
    <s v="x"/>
    <s v="x"/>
    <s v="x"/>
    <s v="x"/>
    <s v="x"/>
    <m/>
    <s v="n/a"/>
    <s v="x"/>
    <s v="x"/>
    <s v="180/0/0"/>
    <s v="Need"/>
    <s v="Need"/>
    <s v="n/a"/>
    <s v="Need"/>
    <s v="Need"/>
    <s v="Need"/>
    <s v="Need"/>
    <s v="Mr. Fakemon / 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1"/>
    <m/>
    <m/>
    <m/>
    <m/>
    <m/>
    <x v="6"/>
    <m/>
    <x v="3"/>
  </r>
  <r>
    <n v="574"/>
    <s v="BINACLE"/>
    <m/>
    <x v="13"/>
    <x v="1"/>
    <s v="x"/>
    <s v="x"/>
    <m/>
    <s v="x"/>
    <s v="x"/>
    <s v="x"/>
    <m/>
    <s v="x"/>
    <s v="x"/>
    <s v="x"/>
    <s v="100/0/0"/>
    <s v="n/a"/>
    <s v="n/a"/>
    <s v="n/a"/>
    <s v="n/a"/>
    <s v="n/a"/>
    <s v="n/a"/>
    <s v="n/a"/>
    <s v="Jos"/>
    <m/>
    <m/>
    <m/>
    <m/>
    <m/>
    <n v="1"/>
    <m/>
    <m/>
    <n v="1"/>
    <m/>
    <n v="1"/>
    <n v="1"/>
    <m/>
    <m/>
    <n v="1"/>
    <m/>
    <m/>
    <m/>
    <m/>
    <n v="1"/>
    <m/>
    <m/>
    <n v="1"/>
    <m/>
    <m/>
    <m/>
    <m/>
    <m/>
    <m/>
    <m/>
    <m/>
    <m/>
    <m/>
    <m/>
    <m/>
    <m/>
    <m/>
    <m/>
    <m/>
    <m/>
    <m/>
    <m/>
    <m/>
    <x v="234"/>
    <s v="Not fully evolved"/>
    <x v="4"/>
  </r>
  <r>
    <n v="575"/>
    <s v="BARBARACLE"/>
    <m/>
    <x v="13"/>
    <x v="1"/>
    <s v="x"/>
    <s v="x"/>
    <s v="x"/>
    <s v="x"/>
    <s v="x"/>
    <s v="x"/>
    <m/>
    <s v="n/a"/>
    <s v="x"/>
    <s v="x"/>
    <s v="100/0/0"/>
    <s v="x"/>
    <s v="x"/>
    <s v="n/a"/>
    <s v="x"/>
    <s v="x"/>
    <s v="x"/>
    <s v="x"/>
    <s v="Jos / Fakemon Festival Pack"/>
    <m/>
    <m/>
    <m/>
    <m/>
    <m/>
    <n v="1"/>
    <m/>
    <m/>
    <n v="1"/>
    <m/>
    <n v="1"/>
    <n v="1"/>
    <m/>
    <m/>
    <n v="1"/>
    <m/>
    <m/>
    <m/>
    <m/>
    <n v="1"/>
    <m/>
    <m/>
    <n v="1"/>
    <m/>
    <m/>
    <m/>
    <m/>
    <m/>
    <m/>
    <m/>
    <m/>
    <m/>
    <m/>
    <m/>
    <m/>
    <m/>
    <m/>
    <n v="3"/>
    <n v="1"/>
    <m/>
    <m/>
    <m/>
    <m/>
    <x v="234"/>
    <m/>
    <x v="4"/>
  </r>
  <r>
    <n v="576"/>
    <s v="ARROKUDA"/>
    <m/>
    <x v="1"/>
    <x v="18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Jos"/>
    <m/>
    <m/>
    <m/>
    <m/>
    <m/>
    <m/>
    <m/>
    <m/>
    <m/>
    <m/>
    <n v="1"/>
    <m/>
    <n v="1"/>
    <n v="1"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x v="235"/>
    <s v="Not fully evolved"/>
    <x v="8"/>
  </r>
  <r>
    <n v="577"/>
    <s v="BARRASKEWDA"/>
    <m/>
    <x v="1"/>
    <x v="18"/>
    <s v="x"/>
    <s v="x"/>
    <s v="x"/>
    <s v="x"/>
    <s v="x"/>
    <s v="x"/>
    <m/>
    <s v="n/a"/>
    <s v="x"/>
    <s v="x"/>
    <s v="n/a"/>
    <s v="Need"/>
    <s v="Need"/>
    <s v="n/a"/>
    <s v="Need"/>
    <s v="Need"/>
    <s v="Need"/>
    <s v="Need"/>
    <s v="Jos"/>
    <m/>
    <m/>
    <m/>
    <m/>
    <m/>
    <m/>
    <m/>
    <m/>
    <m/>
    <m/>
    <n v="1"/>
    <m/>
    <n v="1"/>
    <n v="1"/>
    <m/>
    <n v="1"/>
    <m/>
    <m/>
    <m/>
    <m/>
    <m/>
    <m/>
    <m/>
    <m/>
    <m/>
    <m/>
    <m/>
    <n v="1"/>
    <m/>
    <m/>
    <m/>
    <m/>
    <m/>
    <m/>
    <m/>
    <m/>
    <m/>
    <n v="5"/>
    <n v="2"/>
    <n v="1"/>
    <m/>
    <m/>
    <m/>
    <x v="235"/>
    <m/>
    <x v="8"/>
  </r>
  <r>
    <n v="578"/>
    <s v="MACHOP2"/>
    <m/>
    <x v="19"/>
    <x v="1"/>
    <s v="x"/>
    <s v="x"/>
    <m/>
    <s v="x"/>
    <s v="x"/>
    <s v="x"/>
    <m/>
    <s v="x"/>
    <s v="x"/>
    <s v="x"/>
    <s v="Custom - Endless"/>
    <s v="n/a"/>
    <s v="n/a"/>
    <s v="n/a"/>
    <s v="n/a"/>
    <s v="n/a"/>
    <s v="n/a"/>
    <s v="n/a"/>
    <s v="Badman"/>
    <m/>
    <m/>
    <m/>
    <m/>
    <n v="1"/>
    <m/>
    <m/>
    <n v="1"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236"/>
    <s v="Not fully evolved"/>
    <x v="0"/>
  </r>
  <r>
    <n v="579"/>
    <s v="MACHOKE2"/>
    <m/>
    <x v="19"/>
    <x v="1"/>
    <s v="x"/>
    <s v="x"/>
    <m/>
    <s v="x"/>
    <s v="x"/>
    <s v="x"/>
    <m/>
    <s v="n/a"/>
    <s v="x"/>
    <s v="x"/>
    <s v="Custom - Endless"/>
    <s v="n/a"/>
    <s v="n/a"/>
    <s v="n/a"/>
    <s v="n/a"/>
    <s v="n/a"/>
    <s v="n/a"/>
    <s v="n/a"/>
    <s v="Badman"/>
    <m/>
    <m/>
    <m/>
    <m/>
    <n v="1"/>
    <m/>
    <m/>
    <n v="1"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236"/>
    <s v="Not fully evolved"/>
    <x v="0"/>
  </r>
  <r>
    <n v="580"/>
    <s v="MACHAMP2"/>
    <m/>
    <x v="19"/>
    <x v="1"/>
    <s v="x"/>
    <s v="x"/>
    <s v="x"/>
    <s v="x"/>
    <s v="x"/>
    <s v="x"/>
    <m/>
    <s v="n/a"/>
    <s v="x"/>
    <s v="x"/>
    <s v="Custom - Endless"/>
    <s v="n/a"/>
    <s v="n/a"/>
    <s v="n/a"/>
    <s v="n/a"/>
    <s v="n/a"/>
    <s v="n/a"/>
    <s v="n/a"/>
    <s v="Badman"/>
    <m/>
    <m/>
    <m/>
    <m/>
    <n v="1"/>
    <m/>
    <m/>
    <n v="1"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n v="10"/>
    <n v="2"/>
    <m/>
    <m/>
    <m/>
    <m/>
    <x v="236"/>
    <m/>
    <x v="0"/>
  </r>
  <r>
    <n v="581"/>
    <s v="FALINKS"/>
    <m/>
    <x v="3"/>
    <x v="4"/>
    <s v="x"/>
    <s v="x"/>
    <s v="x"/>
    <s v="x"/>
    <s v="x"/>
    <s v="x"/>
    <m/>
    <s v="x"/>
    <s v="x"/>
    <s v="x"/>
    <s v="n/a"/>
    <s v="x"/>
    <s v="x"/>
    <s v="x"/>
    <s v="x"/>
    <s v="x"/>
    <s v="x"/>
    <s v="x"/>
    <s v="Endless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2"/>
    <n v="3"/>
    <m/>
    <m/>
    <m/>
    <m/>
    <x v="119"/>
    <m/>
    <x v="8"/>
  </r>
  <r>
    <n v="582"/>
    <s v="SMOOCHUM"/>
    <m/>
    <x v="20"/>
    <x v="16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n v="1"/>
    <n v="1"/>
    <n v="1"/>
    <n v="1"/>
    <m/>
    <m/>
    <m/>
    <m/>
    <m/>
    <n v="1"/>
    <m/>
    <m/>
    <m/>
    <m/>
    <m/>
    <m/>
    <m/>
    <m/>
    <m/>
    <m/>
    <m/>
    <m/>
    <m/>
    <m/>
    <m/>
    <m/>
    <m/>
    <x v="237"/>
    <s v="Not fully evolved"/>
    <x v="2"/>
  </r>
  <r>
    <n v="583"/>
    <s v="JYNX"/>
    <m/>
    <x v="20"/>
    <x v="16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n v="1"/>
    <n v="1"/>
    <n v="1"/>
    <n v="1"/>
    <m/>
    <m/>
    <m/>
    <m/>
    <m/>
    <n v="1"/>
    <m/>
    <m/>
    <m/>
    <m/>
    <m/>
    <m/>
    <m/>
    <m/>
    <m/>
    <m/>
    <m/>
    <n v="4"/>
    <n v="1"/>
    <m/>
    <m/>
    <m/>
    <m/>
    <x v="237"/>
    <m/>
    <x v="0"/>
  </r>
  <r>
    <n v="584"/>
    <s v="ZIGZAGOON"/>
    <m/>
    <x v="4"/>
    <x v="10"/>
    <s v="x"/>
    <s v="x"/>
    <m/>
    <s v="x"/>
    <s v="x"/>
    <s v="x"/>
    <m/>
    <s v="x"/>
    <s v="x"/>
    <s v="x"/>
    <s v="Custom - Ace"/>
    <s v="n/a"/>
    <s v="n/a"/>
    <s v="n/a"/>
    <s v="n/a"/>
    <s v="n/a"/>
    <s v="n/a"/>
    <s v="n/a"/>
    <s v="Mr. Fakemon / Endless / Jos"/>
    <m/>
    <m/>
    <m/>
    <m/>
    <m/>
    <m/>
    <n v="1"/>
    <n v="1"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238"/>
    <s v="Not fully evolved"/>
    <x v="2"/>
  </r>
  <r>
    <n v="585"/>
    <s v="LINOONE"/>
    <m/>
    <x v="4"/>
    <x v="10"/>
    <s v="x"/>
    <s v="x"/>
    <m/>
    <s v="x"/>
    <s v="x"/>
    <s v="x"/>
    <m/>
    <s v="n/a"/>
    <s v="x"/>
    <s v="x"/>
    <s v="Custom - Ace"/>
    <s v="n/a"/>
    <s v="n/a"/>
    <s v="n/a"/>
    <s v="n/a"/>
    <s v="n/a"/>
    <s v="n/a"/>
    <s v="n/a"/>
    <s v="Mr. Fakemon / Endless / Jos"/>
    <m/>
    <m/>
    <m/>
    <m/>
    <m/>
    <m/>
    <n v="1"/>
    <n v="1"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238"/>
    <s v="Not fully evolved"/>
    <x v="2"/>
  </r>
  <r>
    <n v="586"/>
    <s v="OBSTAGOON"/>
    <m/>
    <x v="4"/>
    <x v="10"/>
    <s v="x"/>
    <s v="x"/>
    <s v="x"/>
    <s v="x"/>
    <s v="x"/>
    <s v="x"/>
    <s v="x"/>
    <s v="n/a"/>
    <s v="x"/>
    <s v="x"/>
    <s v="Custom - Ace"/>
    <s v="n/a"/>
    <s v="n/a"/>
    <s v="n/a"/>
    <s v="n/a"/>
    <s v="n/a"/>
    <s v="n/a"/>
    <s v="n/a"/>
    <s v="Mr. Fakemon / Endless / Jos"/>
    <m/>
    <m/>
    <m/>
    <m/>
    <m/>
    <m/>
    <n v="1"/>
    <n v="1"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n v="5"/>
    <n v="1"/>
    <m/>
    <m/>
    <m/>
    <m/>
    <x v="238"/>
    <m/>
    <x v="2"/>
  </r>
  <r>
    <n v="587"/>
    <s v="INDEEDEE"/>
    <m/>
    <x v="5"/>
    <x v="4"/>
    <s v="x"/>
    <s v="x"/>
    <s v="x"/>
    <s v="x"/>
    <s v="x"/>
    <s v="x"/>
    <s v="x"/>
    <s v="x"/>
    <s v="x"/>
    <s v="x"/>
    <s v="-45/-15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x v="7"/>
    <m/>
    <x v="8"/>
  </r>
  <r>
    <n v="588"/>
    <s v="CRANIDOS"/>
    <m/>
    <x v="14"/>
    <x v="4"/>
    <s v="x"/>
    <s v="x"/>
    <m/>
    <s v="x"/>
    <s v="x"/>
    <s v="x"/>
    <m/>
    <s v="x"/>
    <s v="x"/>
    <s v="x"/>
    <s v="n/a"/>
    <s v="n/a"/>
    <s v="n/a"/>
    <s v="n/a"/>
    <s v="n/a"/>
    <s v="n/a"/>
    <s v="n/a"/>
    <s v="n/a"/>
    <s v="Noel#5229, Colin#1356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89"/>
    <s v="Not fully evolved"/>
    <x v="5"/>
  </r>
  <r>
    <n v="589"/>
    <s v="RAMPARDOS"/>
    <m/>
    <x v="14"/>
    <x v="10"/>
    <s v="x"/>
    <s v="x"/>
    <s v="x"/>
    <s v="x"/>
    <s v="x"/>
    <s v="x"/>
    <m/>
    <s v="n/a"/>
    <s v="x"/>
    <s v="x"/>
    <s v="n/a"/>
    <s v="n/a"/>
    <s v="n/a"/>
    <s v="n/a"/>
    <s v="n/a"/>
    <s v="n/a"/>
    <s v="n/a"/>
    <s v="n/a"/>
    <s v="Noel#5229, Colin#1356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6"/>
    <n v="4"/>
    <m/>
    <m/>
    <m/>
    <m/>
    <x v="95"/>
    <m/>
    <x v="5"/>
  </r>
  <r>
    <n v="590"/>
    <s v="GIBLE2"/>
    <m/>
    <x v="1"/>
    <x v="17"/>
    <s v="x"/>
    <s v="x"/>
    <m/>
    <s v="x"/>
    <s v="x"/>
    <s v="x"/>
    <s v="x"/>
    <s v="x"/>
    <s v="x"/>
    <s v="x"/>
    <s v="Custom"/>
    <s v="n/a"/>
    <s v="n/a"/>
    <s v="n/a"/>
    <s v="n/a"/>
    <s v="n/a"/>
    <s v="n/a"/>
    <s v="n/a"/>
    <s v="Jos / Endless"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x v="239"/>
    <s v="Not fully evolved"/>
    <x v="5"/>
  </r>
  <r>
    <n v="591"/>
    <s v="GABITE2"/>
    <m/>
    <x v="1"/>
    <x v="17"/>
    <s v="x"/>
    <s v="x"/>
    <m/>
    <s v="x"/>
    <s v="x"/>
    <s v="x"/>
    <m/>
    <s v="n/a"/>
    <s v="x"/>
    <s v="x"/>
    <s v="Custom"/>
    <s v="n/a"/>
    <s v="n/a"/>
    <s v="n/a"/>
    <s v="n/a"/>
    <s v="n/a"/>
    <s v="n/a"/>
    <s v="n/a"/>
    <s v="Jos / Endless"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x v="239"/>
    <s v="Not fully evolved"/>
    <x v="5"/>
  </r>
  <r>
    <n v="592"/>
    <s v="GARCHOMP2"/>
    <m/>
    <x v="1"/>
    <x v="17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Jos / Endless"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m/>
    <m/>
    <m/>
    <m/>
    <n v="22"/>
    <n v="4"/>
    <m/>
    <m/>
    <m/>
    <m/>
    <x v="239"/>
    <m/>
    <x v="5"/>
  </r>
  <r>
    <n v="593"/>
    <s v="YANMA2"/>
    <m/>
    <x v="20"/>
    <x v="5"/>
    <s v="x"/>
    <s v="x"/>
    <m/>
    <s v="x"/>
    <s v="x"/>
    <s v="x"/>
    <m/>
    <s v="x"/>
    <s v="x"/>
    <s v="x"/>
    <s v="11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175"/>
    <s v="Not fully evolved"/>
    <x v="2"/>
  </r>
  <r>
    <n v="594"/>
    <s v="YANMEGA2"/>
    <m/>
    <x v="20"/>
    <x v="5"/>
    <s v="x"/>
    <s v="x"/>
    <s v="x"/>
    <s v="x"/>
    <s v="x"/>
    <s v="x"/>
    <m/>
    <s v="n/a"/>
    <s v="x"/>
    <s v="x"/>
    <s v="11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n v="5"/>
    <m/>
    <m/>
    <m/>
    <m/>
    <m/>
    <x v="175"/>
    <m/>
    <x v="5"/>
  </r>
  <r>
    <n v="595"/>
    <s v="REMORAID"/>
    <m/>
    <x v="1"/>
    <x v="7"/>
    <s v="x"/>
    <s v="x"/>
    <m/>
    <s v="x"/>
    <s v="x"/>
    <s v="x"/>
    <s v="x"/>
    <s v="x"/>
    <s v="x"/>
    <s v="x"/>
    <s v="80/0/0"/>
    <s v="n/a"/>
    <s v="n/a"/>
    <s v="n/a"/>
    <s v="n/a"/>
    <s v="n/a"/>
    <s v="n/a"/>
    <s v="n/a"/>
    <s v="Jos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67"/>
    <s v="Not fully evolved"/>
    <x v="8"/>
  </r>
  <r>
    <n v="596"/>
    <s v="OCTILLERY"/>
    <m/>
    <x v="1"/>
    <x v="7"/>
    <s v="x"/>
    <s v="x"/>
    <s v="x"/>
    <s v="x"/>
    <s v="x"/>
    <s v="x"/>
    <s v="x"/>
    <s v="n/a"/>
    <s v="x"/>
    <s v="x"/>
    <s v="80/0/0"/>
    <s v="n/a"/>
    <s v="n/a"/>
    <s v="n/a"/>
    <s v="n/a"/>
    <s v="n/a"/>
    <s v="n/a"/>
    <s v="n/a"/>
    <s v="Jos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67"/>
    <m/>
    <x v="8"/>
  </r>
  <r>
    <n v="597"/>
    <s v="MISDREAVUS"/>
    <m/>
    <x v="11"/>
    <x v="8"/>
    <s v="x"/>
    <s v="x"/>
    <m/>
    <s v="x"/>
    <s v="x"/>
    <s v="x"/>
    <s v="x"/>
    <s v="x"/>
    <s v="x"/>
    <s v="x"/>
    <s v="-150/0/0"/>
    <s v="n/a"/>
    <s v="n/a"/>
    <s v="n/a"/>
    <s v="n/a"/>
    <s v="n/a"/>
    <s v="n/a"/>
    <s v="n/a"/>
    <s v="Starry_Knight_Constellations / Jos"/>
    <m/>
    <m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240"/>
    <s v="Not fully evolved"/>
    <x v="5"/>
  </r>
  <r>
    <n v="598"/>
    <s v="MISMAGIUS"/>
    <m/>
    <x v="11"/>
    <x v="8"/>
    <s v="x"/>
    <s v="x"/>
    <s v="x"/>
    <s v="x"/>
    <s v="x"/>
    <s v="x"/>
    <s v="x"/>
    <s v="n/a"/>
    <s v="x"/>
    <s v="x"/>
    <s v="-150/0/0"/>
    <s v="x"/>
    <s v="x"/>
    <s v="x"/>
    <s v="x"/>
    <s v="x"/>
    <s v="x"/>
    <s v="x"/>
    <s v="Starry_Knight_Constellations / Jos"/>
    <m/>
    <m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n v="18"/>
    <n v="4"/>
    <m/>
    <m/>
    <m/>
    <m/>
    <x v="240"/>
    <m/>
    <x v="5"/>
  </r>
  <r>
    <n v="599"/>
    <s v="POLIWAG"/>
    <m/>
    <x v="1"/>
    <x v="15"/>
    <s v="x"/>
    <s v="x"/>
    <m/>
    <s v="x"/>
    <s v="x"/>
    <s v="x"/>
    <s v="x"/>
    <s v="x"/>
    <s v="x"/>
    <s v="x"/>
    <s v="-180/0/0"/>
    <s v="n/a"/>
    <s v="n/a"/>
    <s v="n/a"/>
    <s v="n/a"/>
    <s v="n/a"/>
    <s v="n/a"/>
    <s v="n/a"/>
    <s v="Badman"/>
    <m/>
    <m/>
    <m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37"/>
    <s v="Not fully evolved"/>
    <x v="5"/>
  </r>
  <r>
    <n v="600"/>
    <s v="POLIWHIRL"/>
    <m/>
    <x v="1"/>
    <x v="15"/>
    <s v="x"/>
    <s v="x"/>
    <m/>
    <s v="x"/>
    <s v="x"/>
    <s v="x"/>
    <s v="x"/>
    <s v="n/a"/>
    <s v="x"/>
    <s v="x"/>
    <s v="-180/0/0"/>
    <s v="n/a"/>
    <s v="n/a"/>
    <s v="n/a"/>
    <s v="n/a"/>
    <s v="n/a"/>
    <s v="n/a"/>
    <s v="n/a"/>
    <s v="Badman"/>
    <m/>
    <m/>
    <m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37"/>
    <s v="Not fully evolved"/>
    <x v="5"/>
  </r>
  <r>
    <n v="601"/>
    <s v="POLIWRATH"/>
    <m/>
    <x v="1"/>
    <x v="15"/>
    <s v="x"/>
    <s v="x"/>
    <s v="x"/>
    <s v="x"/>
    <s v="x"/>
    <s v="x"/>
    <m/>
    <s v="n/a"/>
    <s v="x"/>
    <s v="x"/>
    <s v="-180/0/0"/>
    <s v="n/a"/>
    <s v="n/a"/>
    <s v="n/a"/>
    <s v="n/a"/>
    <s v="n/a"/>
    <s v="n/a"/>
    <s v="n/a"/>
    <s v="Badman"/>
    <m/>
    <m/>
    <m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n v="1"/>
    <m/>
    <m/>
    <m/>
    <m/>
    <m/>
    <x v="37"/>
    <m/>
    <x v="5"/>
  </r>
  <r>
    <n v="602"/>
    <s v="POLITOED"/>
    <m/>
    <x v="1"/>
    <x v="14"/>
    <s v="x"/>
    <s v="x"/>
    <s v="x"/>
    <s v="x"/>
    <s v="x"/>
    <s v="x"/>
    <m/>
    <s v="n/a"/>
    <s v="x"/>
    <s v="x"/>
    <s v="-180/0/0"/>
    <s v="n/a"/>
    <s v="n/a"/>
    <s v="n/a"/>
    <s v="n/a"/>
    <s v="n/a"/>
    <s v="n/a"/>
    <s v="n/a"/>
    <s v="Badman"/>
    <m/>
    <m/>
    <m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n v="4"/>
    <m/>
    <m/>
    <m/>
    <m/>
    <m/>
    <x v="241"/>
    <m/>
    <x v="5"/>
  </r>
  <r>
    <n v="603"/>
    <s v="PHANTUMP"/>
    <m/>
    <x v="9"/>
    <x v="11"/>
    <s v="x"/>
    <s v="x"/>
    <m/>
    <s v="x"/>
    <s v="x"/>
    <s v="x"/>
    <s v="n/a"/>
    <s v="x"/>
    <s v="x"/>
    <s v="x"/>
    <s v="Custom - Ace"/>
    <s v="n/a"/>
    <s v="n/a"/>
    <s v="n/a"/>
    <s v="n/a"/>
    <s v="n/a"/>
    <s v="n/a"/>
    <s v="n/a"/>
    <s v="Escav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42"/>
    <s v="Not fully evolved"/>
    <x v="5"/>
  </r>
  <r>
    <n v="604"/>
    <s v="TREVENANT"/>
    <m/>
    <x v="9"/>
    <x v="11"/>
    <s v="x"/>
    <s v="x"/>
    <s v="x"/>
    <s v="x"/>
    <s v="x"/>
    <s v="x"/>
    <s v="n/a"/>
    <s v="n/a"/>
    <s v="x"/>
    <s v="x"/>
    <s v="Custom - Ace"/>
    <s v="n/a"/>
    <s v="n/a"/>
    <s v="n/a"/>
    <s v="n/a"/>
    <s v="n/a"/>
    <s v="n/a"/>
    <s v="n/a"/>
    <s v="Escav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"/>
    <n v="1"/>
    <m/>
    <m/>
    <m/>
    <x v="242"/>
    <m/>
    <x v="5"/>
  </r>
  <r>
    <n v="605"/>
    <s v="TYROGUE"/>
    <m/>
    <x v="17"/>
    <x v="14"/>
    <s v="x"/>
    <s v="x"/>
    <m/>
    <s v="x"/>
    <s v="x"/>
    <s v="x"/>
    <s v="x"/>
    <s v="x"/>
    <s v="x"/>
    <s v="x"/>
    <s v="-5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43"/>
    <s v="Not fully evolved"/>
    <x v="5"/>
  </r>
  <r>
    <n v="606"/>
    <s v="HITMONLEE"/>
    <m/>
    <x v="16"/>
    <x v="2"/>
    <s v="x"/>
    <s v="x"/>
    <s v="x"/>
    <s v="x"/>
    <s v="x"/>
    <s v="x"/>
    <s v="n/a"/>
    <s v="n/a"/>
    <s v="x"/>
    <s v="x"/>
    <s v="-160/0/0"/>
    <s v="n/a"/>
    <s v="n/a"/>
    <s v="n/a"/>
    <s v="n/a"/>
    <s v="n/a"/>
    <s v="n/a"/>
    <s v="n/a"/>
    <s v="Badman/Boro/Endless (icon)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2"/>
    <n v="1"/>
    <m/>
    <m/>
    <m/>
    <m/>
    <x v="244"/>
    <m/>
    <x v="5"/>
  </r>
  <r>
    <n v="607"/>
    <s v="HITMONCHAN"/>
    <m/>
    <x v="0"/>
    <x v="14"/>
    <s v="x"/>
    <s v="x"/>
    <s v="x"/>
    <s v="x"/>
    <s v="x"/>
    <s v="x"/>
    <s v="n/a"/>
    <s v="n/a"/>
    <s v="x"/>
    <s v="x"/>
    <s v="180/0/0"/>
    <s v="n/a"/>
    <s v="n/a"/>
    <s v="n/a"/>
    <s v="n/a"/>
    <s v="n/a"/>
    <s v="n/a"/>
    <s v="n/a"/>
    <s v="Badman/Boro/Endless (icon)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"/>
    <n v="1"/>
    <m/>
    <m/>
    <m/>
    <m/>
    <x v="245"/>
    <m/>
    <x v="5"/>
  </r>
  <r>
    <n v="608"/>
    <s v="HITMONTOP"/>
    <m/>
    <x v="7"/>
    <x v="10"/>
    <s v="x"/>
    <s v="x"/>
    <s v="x"/>
    <s v="x"/>
    <s v="x"/>
    <s v="x"/>
    <s v="n/a"/>
    <s v="n/a"/>
    <s v="x"/>
    <s v="x"/>
    <s v="45/0/0"/>
    <s v="n/a"/>
    <s v="n/a"/>
    <s v="n/a"/>
    <s v="n/a"/>
    <s v="n/a"/>
    <s v="n/a"/>
    <s v="n/a"/>
    <s v="Badman/Boro/Endless (icon)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6"/>
    <m/>
    <x v="5"/>
  </r>
  <r>
    <n v="609"/>
    <s v="PINCURCHIN"/>
    <m/>
    <x v="20"/>
    <x v="20"/>
    <s v="x"/>
    <s v="x"/>
    <s v="x"/>
    <s v="x"/>
    <s v="x"/>
    <s v="x"/>
    <m/>
    <s v="x"/>
    <s v="x"/>
    <s v="x"/>
    <s v="-115/0/0"/>
    <s v="n/a"/>
    <s v="n/a"/>
    <s v="n/a"/>
    <s v="n/a"/>
    <s v="n/a"/>
    <s v="n/a"/>
    <s v="n/a"/>
    <s v="Badman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x v="246"/>
    <m/>
    <x v="5"/>
  </r>
  <r>
    <n v="610"/>
    <s v="SCYTHER"/>
    <m/>
    <x v="11"/>
    <x v="10"/>
    <s v="x"/>
    <s v="x"/>
    <s v="x"/>
    <s v="x"/>
    <s v="x"/>
    <s v="x"/>
    <m/>
    <s v="x"/>
    <s v="x"/>
    <s v="x"/>
    <s v="6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5"/>
    <n v="3"/>
    <m/>
    <m/>
    <m/>
    <m/>
    <x v="122"/>
    <s v="Not fully evolved"/>
    <x v="5"/>
  </r>
  <r>
    <n v="611"/>
    <s v="SCIZOR"/>
    <m/>
    <x v="11"/>
    <x v="5"/>
    <s v="x"/>
    <s v="x"/>
    <s v="x"/>
    <s v="x"/>
    <s v="x"/>
    <s v="x"/>
    <m/>
    <s v="n/a"/>
    <s v="x"/>
    <s v="x"/>
    <s v="60/0/0"/>
    <s v="x"/>
    <s v="x"/>
    <s v="x"/>
    <s v="x"/>
    <s v="x"/>
    <s v="x"/>
    <s v="x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8"/>
    <n v="1"/>
    <n v="1"/>
    <m/>
    <m/>
    <m/>
    <x v="247"/>
    <m/>
    <x v="5"/>
  </r>
  <r>
    <n v="612"/>
    <s v="PINSIR"/>
    <m/>
    <x v="7"/>
    <x v="3"/>
    <s v="x"/>
    <s v="x"/>
    <s v="x"/>
    <s v="x"/>
    <s v="x"/>
    <s v="x"/>
    <m/>
    <s v="x"/>
    <s v="x"/>
    <s v="x"/>
    <s v="50/0/0"/>
    <s v="n/a"/>
    <s v="n/a"/>
    <s v="n/a"/>
    <s v="n/a"/>
    <s v="n/a"/>
    <s v="n/a"/>
    <s v="n/a"/>
    <s v="Badman/Boro"/>
    <m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2"/>
    <m/>
    <m/>
    <m/>
    <m/>
    <m/>
    <x v="248"/>
    <m/>
    <x v="5"/>
  </r>
  <r>
    <n v="613"/>
    <s v="ROLYCOLY"/>
    <m/>
    <x v="13"/>
    <x v="15"/>
    <s v="x"/>
    <s v="x"/>
    <m/>
    <s v="x"/>
    <s v="x"/>
    <s v="x"/>
    <s v="x"/>
    <s v="x"/>
    <s v="x"/>
    <s v="x"/>
    <s v="-11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249"/>
    <s v="Not fully evolved"/>
    <x v="5"/>
  </r>
  <r>
    <n v="614"/>
    <s v="CARKOL"/>
    <m/>
    <x v="13"/>
    <x v="15"/>
    <s v="x"/>
    <s v="x"/>
    <m/>
    <s v="x"/>
    <s v="x"/>
    <s v="x"/>
    <s v="x"/>
    <s v="n/a"/>
    <s v="x"/>
    <s v="x"/>
    <s v="-11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249"/>
    <s v="Not fully evolved"/>
    <x v="5"/>
  </r>
  <r>
    <n v="615"/>
    <s v="COALOSSAL"/>
    <m/>
    <x v="13"/>
    <x v="15"/>
    <s v="x"/>
    <s v="x"/>
    <s v="x"/>
    <s v="x"/>
    <s v="x"/>
    <s v="x"/>
    <s v="x"/>
    <s v="n/a"/>
    <s v="x"/>
    <s v="x"/>
    <s v="-110/0/0"/>
    <s v="x"/>
    <s v="x"/>
    <s v="x"/>
    <s v="x"/>
    <s v="x"/>
    <s v="x"/>
    <s v="x"/>
    <s v="Jos"/>
    <m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4"/>
    <m/>
    <n v="1"/>
    <m/>
    <m/>
    <m/>
    <x v="249"/>
    <m/>
    <x v="5"/>
  </r>
  <r>
    <n v="616"/>
    <s v="RIOLU"/>
    <m/>
    <x v="16"/>
    <x v="4"/>
    <s v="x"/>
    <s v="x"/>
    <m/>
    <s v="x"/>
    <s v="x"/>
    <s v="x"/>
    <m/>
    <s v="x"/>
    <s v="x"/>
    <s v="x"/>
    <s v="-180/0/0"/>
    <s v="n/a"/>
    <s v="n/a"/>
    <s v="n/a"/>
    <s v="n/a"/>
    <s v="n/a"/>
    <s v="n/a"/>
    <s v="n/a"/>
    <s v="Badman"/>
    <m/>
    <m/>
    <n v="1"/>
    <m/>
    <n v="1"/>
    <m/>
    <m/>
    <n v="1"/>
    <n v="1"/>
    <n v="1"/>
    <m/>
    <m/>
    <m/>
    <m/>
    <m/>
    <m/>
    <n v="1"/>
    <m/>
    <m/>
    <n v="1"/>
    <m/>
    <m/>
    <n v="1"/>
    <m/>
    <m/>
    <m/>
    <n v="1"/>
    <m/>
    <m/>
    <m/>
    <m/>
    <m/>
    <m/>
    <m/>
    <m/>
    <m/>
    <m/>
    <m/>
    <m/>
    <m/>
    <m/>
    <m/>
    <m/>
    <x v="187"/>
    <s v="Not fully evolved"/>
    <x v="5"/>
  </r>
  <r>
    <n v="617"/>
    <s v="LUCARIO"/>
    <m/>
    <x v="16"/>
    <x v="10"/>
    <s v="x"/>
    <s v="x"/>
    <s v="x"/>
    <s v="x"/>
    <s v="x"/>
    <s v="x"/>
    <m/>
    <s v="n/a"/>
    <s v="x"/>
    <s v="x"/>
    <s v="115/0/0"/>
    <s v="n/a"/>
    <s v="n/a"/>
    <s v="n/a"/>
    <s v="n/a"/>
    <s v="n/a"/>
    <s v="n/a"/>
    <s v="n/a"/>
    <s v="Badman"/>
    <m/>
    <m/>
    <n v="1"/>
    <m/>
    <n v="1"/>
    <m/>
    <m/>
    <n v="1"/>
    <m/>
    <n v="1"/>
    <m/>
    <m/>
    <m/>
    <m/>
    <m/>
    <m/>
    <n v="1"/>
    <m/>
    <m/>
    <n v="1"/>
    <m/>
    <m/>
    <n v="1"/>
    <m/>
    <m/>
    <m/>
    <n v="1"/>
    <m/>
    <m/>
    <m/>
    <m/>
    <m/>
    <m/>
    <m/>
    <m/>
    <m/>
    <m/>
    <n v="15"/>
    <n v="4"/>
    <n v="1"/>
    <m/>
    <m/>
    <m/>
    <x v="250"/>
    <m/>
    <x v="5"/>
  </r>
  <r>
    <n v="618"/>
    <s v="TRAPINCH"/>
    <m/>
    <x v="2"/>
    <x v="4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m/>
    <m/>
    <m/>
    <m/>
    <m/>
    <m/>
    <x v="52"/>
    <s v="Not fully evolved"/>
    <x v="5"/>
  </r>
  <r>
    <n v="619"/>
    <s v="VIBRAVA"/>
    <m/>
    <x v="2"/>
    <x v="17"/>
    <s v="x"/>
    <s v="x"/>
    <m/>
    <s v="x"/>
    <s v="x"/>
    <s v="x"/>
    <m/>
    <s v="n/a"/>
    <s v="x"/>
    <s v="x"/>
    <s v="18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m/>
    <m/>
    <m/>
    <m/>
    <m/>
    <m/>
    <x v="251"/>
    <s v="Not fully evolved"/>
    <x v="5"/>
  </r>
  <r>
    <n v="620"/>
    <s v="FLYGON"/>
    <m/>
    <x v="2"/>
    <x v="17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m/>
    <n v="6"/>
    <m/>
    <n v="1"/>
    <m/>
    <m/>
    <m/>
    <x v="251"/>
    <m/>
    <x v="5"/>
  </r>
  <r>
    <n v="621"/>
    <s v="DHELMISE"/>
    <m/>
    <x v="12"/>
    <x v="13"/>
    <s v="x"/>
    <s v="x"/>
    <s v="x"/>
    <s v="x"/>
    <s v="x"/>
    <s v="x"/>
    <s v="n/a"/>
    <s v="x"/>
    <s v="x"/>
    <s v="x"/>
    <s v="Custom - Aceblade"/>
    <s v="n/a"/>
    <s v="n/a"/>
    <s v="n/a"/>
    <s v="n/a"/>
    <s v="n/a"/>
    <s v="n/a"/>
    <s v="n/a"/>
    <s v="Boro / Icon by Endless"/>
    <m/>
    <m/>
    <m/>
    <m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n v="4"/>
    <m/>
    <m/>
    <m/>
    <m/>
    <m/>
    <x v="79"/>
    <m/>
    <x v="5"/>
  </r>
  <r>
    <n v="622"/>
    <s v="GEODUDE2"/>
    <m/>
    <x v="6"/>
    <x v="3"/>
    <s v="x"/>
    <s v="x"/>
    <m/>
    <s v="x"/>
    <s v="x"/>
    <s v="x"/>
    <m/>
    <s v="x"/>
    <s v="x"/>
    <s v="x"/>
    <s v="180/20/0"/>
    <s v="n/a"/>
    <s v="n/a"/>
    <s v="n/a"/>
    <s v="n/a"/>
    <s v="n/a"/>
    <s v="n/a"/>
    <s v="n/a"/>
    <s v="Jos"/>
    <m/>
    <m/>
    <m/>
    <m/>
    <m/>
    <n v="1"/>
    <n v="1"/>
    <n v="1"/>
    <m/>
    <n v="1"/>
    <m/>
    <m/>
    <m/>
    <m/>
    <n v="1"/>
    <m/>
    <m/>
    <n v="1"/>
    <n v="1"/>
    <n v="1"/>
    <m/>
    <m/>
    <m/>
    <m/>
    <m/>
    <n v="1"/>
    <n v="1"/>
    <m/>
    <m/>
    <m/>
    <m/>
    <m/>
    <m/>
    <m/>
    <m/>
    <m/>
    <m/>
    <m/>
    <m/>
    <m/>
    <m/>
    <m/>
    <m/>
    <x v="252"/>
    <s v="Not fully evolved"/>
    <x v="0"/>
  </r>
  <r>
    <n v="623"/>
    <s v="GRAVELER2"/>
    <m/>
    <x v="6"/>
    <x v="3"/>
    <s v="x"/>
    <s v="x"/>
    <m/>
    <s v="x"/>
    <s v="x"/>
    <s v="x"/>
    <m/>
    <s v="n/a"/>
    <s v="x"/>
    <s v="x"/>
    <s v="180/20/0"/>
    <s v="n/a"/>
    <s v="n/a"/>
    <s v="n/a"/>
    <s v="n/a"/>
    <s v="n/a"/>
    <s v="n/a"/>
    <s v="n/a"/>
    <s v="Jos"/>
    <m/>
    <m/>
    <m/>
    <m/>
    <m/>
    <n v="1"/>
    <n v="1"/>
    <n v="1"/>
    <m/>
    <n v="1"/>
    <m/>
    <m/>
    <m/>
    <m/>
    <n v="1"/>
    <m/>
    <m/>
    <n v="1"/>
    <n v="1"/>
    <n v="1"/>
    <m/>
    <m/>
    <m/>
    <m/>
    <m/>
    <n v="1"/>
    <n v="1"/>
    <m/>
    <m/>
    <m/>
    <m/>
    <m/>
    <m/>
    <m/>
    <m/>
    <m/>
    <m/>
    <n v="1"/>
    <m/>
    <m/>
    <m/>
    <m/>
    <m/>
    <x v="252"/>
    <s v="Not fully evolved"/>
    <x v="0"/>
  </r>
  <r>
    <n v="624"/>
    <s v="GOLEM2"/>
    <m/>
    <x v="6"/>
    <x v="3"/>
    <s v="x"/>
    <s v="x"/>
    <s v="x"/>
    <s v="x"/>
    <s v="x"/>
    <s v="x"/>
    <m/>
    <s v="n/a"/>
    <s v="x"/>
    <s v="x"/>
    <s v="180/20/0"/>
    <s v="n/a"/>
    <s v="n/a"/>
    <s v="n/a"/>
    <s v="n/a"/>
    <s v="n/a"/>
    <s v="n/a"/>
    <s v="n/a"/>
    <s v="Jos"/>
    <m/>
    <m/>
    <m/>
    <m/>
    <m/>
    <n v="1"/>
    <n v="1"/>
    <n v="1"/>
    <m/>
    <n v="1"/>
    <m/>
    <m/>
    <m/>
    <m/>
    <n v="1"/>
    <m/>
    <m/>
    <n v="1"/>
    <n v="1"/>
    <n v="1"/>
    <m/>
    <m/>
    <m/>
    <m/>
    <m/>
    <n v="1"/>
    <n v="1"/>
    <m/>
    <m/>
    <m/>
    <m/>
    <m/>
    <m/>
    <m/>
    <m/>
    <m/>
    <m/>
    <n v="4"/>
    <n v="1"/>
    <m/>
    <m/>
    <m/>
    <m/>
    <x v="252"/>
    <m/>
    <x v="1"/>
  </r>
  <r>
    <n v="625"/>
    <s v="ROGGENROLA2"/>
    <m/>
    <x v="13"/>
    <x v="7"/>
    <s v="x"/>
    <s v="x"/>
    <m/>
    <s v="x"/>
    <s v="x"/>
    <s v="x"/>
    <s v="x"/>
    <s v="x"/>
    <s v="x"/>
    <s v="x"/>
    <s v="-70/0/0"/>
    <s v="n/a"/>
    <s v="n/a"/>
    <s v="n/a"/>
    <s v="n/a"/>
    <s v="n/a"/>
    <s v="n/a"/>
    <s v="n/a"/>
    <s v="Jos"/>
    <m/>
    <m/>
    <m/>
    <m/>
    <n v="1"/>
    <n v="1"/>
    <m/>
    <m/>
    <m/>
    <n v="1"/>
    <m/>
    <m/>
    <m/>
    <m/>
    <m/>
    <m/>
    <n v="1"/>
    <m/>
    <m/>
    <n v="1"/>
    <m/>
    <m/>
    <m/>
    <n v="1"/>
    <m/>
    <n v="1"/>
    <n v="1"/>
    <m/>
    <m/>
    <m/>
    <m/>
    <m/>
    <m/>
    <m/>
    <m/>
    <m/>
    <m/>
    <m/>
    <m/>
    <m/>
    <m/>
    <m/>
    <m/>
    <x v="253"/>
    <s v="Not fully evolved"/>
    <x v="1"/>
  </r>
  <r>
    <n v="626"/>
    <s v="BOLDORE2"/>
    <m/>
    <x v="13"/>
    <x v="7"/>
    <s v="x"/>
    <s v="x"/>
    <m/>
    <s v="x"/>
    <s v="x"/>
    <s v="x"/>
    <m/>
    <s v="n/a"/>
    <s v="x"/>
    <s v="x"/>
    <s v="-70/0/0"/>
    <s v="n/a"/>
    <s v="n/a"/>
    <s v="n/a"/>
    <s v="n/a"/>
    <s v="n/a"/>
    <s v="n/a"/>
    <s v="n/a"/>
    <s v="Jos"/>
    <m/>
    <m/>
    <m/>
    <m/>
    <n v="1"/>
    <n v="1"/>
    <m/>
    <m/>
    <m/>
    <n v="1"/>
    <m/>
    <m/>
    <m/>
    <m/>
    <m/>
    <m/>
    <n v="1"/>
    <m/>
    <m/>
    <n v="1"/>
    <m/>
    <m/>
    <m/>
    <n v="1"/>
    <m/>
    <n v="1"/>
    <n v="1"/>
    <m/>
    <m/>
    <m/>
    <m/>
    <m/>
    <m/>
    <m/>
    <m/>
    <m/>
    <m/>
    <m/>
    <m/>
    <m/>
    <m/>
    <m/>
    <m/>
    <x v="253"/>
    <s v="Not fully evolved"/>
    <x v="1"/>
  </r>
  <r>
    <n v="627"/>
    <s v="GIGALITH2"/>
    <m/>
    <x v="13"/>
    <x v="7"/>
    <s v="x"/>
    <s v="x"/>
    <s v="x"/>
    <s v="x"/>
    <s v="x"/>
    <s v="x"/>
    <m/>
    <s v="n/a"/>
    <s v="x"/>
    <s v="x"/>
    <s v="-70/0/0"/>
    <s v="x"/>
    <s v="x"/>
    <s v="x"/>
    <s v="x"/>
    <s v="x"/>
    <s v="x"/>
    <s v="x"/>
    <s v="Jos"/>
    <m/>
    <m/>
    <m/>
    <m/>
    <n v="1"/>
    <n v="1"/>
    <m/>
    <m/>
    <m/>
    <n v="1"/>
    <m/>
    <m/>
    <m/>
    <m/>
    <m/>
    <m/>
    <n v="1"/>
    <m/>
    <m/>
    <n v="1"/>
    <m/>
    <m/>
    <m/>
    <n v="1"/>
    <m/>
    <n v="1"/>
    <n v="1"/>
    <m/>
    <m/>
    <m/>
    <m/>
    <m/>
    <m/>
    <m/>
    <m/>
    <m/>
    <m/>
    <n v="4"/>
    <n v="2"/>
    <m/>
    <m/>
    <m/>
    <m/>
    <x v="253"/>
    <m/>
    <x v="1"/>
  </r>
  <r>
    <n v="628"/>
    <s v="VANILLITE2"/>
    <m/>
    <x v="0"/>
    <x v="3"/>
    <s v="x"/>
    <s v="x"/>
    <m/>
    <s v="x"/>
    <s v="x"/>
    <s v="x"/>
    <m/>
    <s v="x"/>
    <s v="x"/>
    <s v="x"/>
    <s v="Custom - Julius Caesar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x v="132"/>
    <s v="Not fully evolved"/>
    <x v="1"/>
  </r>
  <r>
    <n v="629"/>
    <s v="VANILLISH2"/>
    <m/>
    <x v="0"/>
    <x v="3"/>
    <s v="x"/>
    <s v="x"/>
    <m/>
    <s v="x"/>
    <s v="x"/>
    <s v="x"/>
    <m/>
    <s v="n/a"/>
    <s v="x"/>
    <s v="x"/>
    <s v="Custom - Julius Caesar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m/>
    <m/>
    <m/>
    <m/>
    <m/>
    <m/>
    <x v="132"/>
    <s v="Not fully evolved"/>
    <x v="1"/>
  </r>
  <r>
    <n v="630"/>
    <s v="VANILLUXE2"/>
    <m/>
    <x v="0"/>
    <x v="3"/>
    <s v="x"/>
    <s v="x"/>
    <s v="x"/>
    <s v="x"/>
    <s v="x"/>
    <s v="x"/>
    <m/>
    <s v="n/a"/>
    <s v="x"/>
    <s v="x"/>
    <s v="Custom - Julius Caesar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n v="1"/>
    <n v="1"/>
    <m/>
    <n v="1"/>
    <m/>
    <m/>
    <m/>
    <m/>
    <m/>
    <m/>
    <m/>
    <m/>
    <m/>
    <m/>
    <n v="2"/>
    <n v="3"/>
    <m/>
    <m/>
    <m/>
    <m/>
    <x v="132"/>
    <m/>
    <x v="1"/>
  </r>
  <r>
    <n v="631"/>
    <s v="DRATINI"/>
    <m/>
    <x v="11"/>
    <x v="17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 / Boro"/>
    <m/>
    <n v="1"/>
    <n v="1"/>
    <m/>
    <m/>
    <m/>
    <m/>
    <m/>
    <m/>
    <m/>
    <m/>
    <m/>
    <n v="1"/>
    <m/>
    <m/>
    <n v="1"/>
    <m/>
    <m/>
    <n v="1"/>
    <m/>
    <m/>
    <m/>
    <m/>
    <m/>
    <m/>
    <n v="1"/>
    <m/>
    <m/>
    <m/>
    <m/>
    <m/>
    <m/>
    <m/>
    <m/>
    <m/>
    <m/>
    <m/>
    <m/>
    <m/>
    <m/>
    <m/>
    <m/>
    <m/>
    <x v="254"/>
    <s v="Not fully evolved"/>
    <x v="0"/>
  </r>
  <r>
    <n v="632"/>
    <s v="DRAGONAIR"/>
    <m/>
    <x v="11"/>
    <x v="17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Jos / Boro"/>
    <m/>
    <n v="1"/>
    <n v="1"/>
    <m/>
    <m/>
    <m/>
    <m/>
    <m/>
    <m/>
    <m/>
    <m/>
    <m/>
    <n v="1"/>
    <m/>
    <m/>
    <n v="1"/>
    <m/>
    <m/>
    <n v="1"/>
    <m/>
    <m/>
    <m/>
    <m/>
    <m/>
    <m/>
    <n v="1"/>
    <m/>
    <m/>
    <m/>
    <m/>
    <m/>
    <m/>
    <m/>
    <m/>
    <m/>
    <m/>
    <m/>
    <m/>
    <m/>
    <m/>
    <m/>
    <m/>
    <m/>
    <x v="254"/>
    <s v="Not fully evolved"/>
    <x v="0"/>
  </r>
  <r>
    <n v="633"/>
    <s v="DRAGONITE"/>
    <m/>
    <x v="11"/>
    <x v="17"/>
    <s v="x"/>
    <s v="x"/>
    <s v="x"/>
    <s v="x"/>
    <s v="x"/>
    <s v="x"/>
    <s v="n/a"/>
    <s v="n/a"/>
    <s v="x"/>
    <s v="x"/>
    <s v="Custom - Zeta"/>
    <s v="x"/>
    <s v="x"/>
    <s v="x"/>
    <s v="x"/>
    <s v="x"/>
    <s v="x"/>
    <s v="x"/>
    <s v="Jos / Boro / Badman"/>
    <m/>
    <n v="1"/>
    <n v="1"/>
    <m/>
    <m/>
    <m/>
    <m/>
    <m/>
    <m/>
    <m/>
    <m/>
    <m/>
    <n v="1"/>
    <m/>
    <m/>
    <n v="1"/>
    <m/>
    <m/>
    <n v="1"/>
    <m/>
    <m/>
    <m/>
    <m/>
    <m/>
    <m/>
    <n v="1"/>
    <m/>
    <m/>
    <m/>
    <m/>
    <m/>
    <m/>
    <m/>
    <m/>
    <m/>
    <m/>
    <m/>
    <n v="27"/>
    <n v="15"/>
    <n v="2"/>
    <m/>
    <m/>
    <m/>
    <x v="254"/>
    <m/>
    <x v="0"/>
  </r>
  <r>
    <n v="634"/>
    <s v="MURKROW2"/>
    <m/>
    <x v="16"/>
    <x v="2"/>
    <s v="x"/>
    <s v="x"/>
    <m/>
    <s v="x"/>
    <s v="x"/>
    <s v="x"/>
    <s v="x"/>
    <s v="x"/>
    <s v="x"/>
    <s v="x"/>
    <s v="30/0/0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n v="1"/>
    <m/>
    <n v="1"/>
    <m/>
    <n v="1"/>
    <m/>
    <m/>
    <n v="1"/>
    <m/>
    <m/>
    <m/>
    <m/>
    <m/>
    <m/>
    <m/>
    <m/>
    <m/>
    <m/>
    <m/>
    <m/>
    <m/>
    <m/>
    <m/>
    <m/>
    <m/>
    <x v="244"/>
    <s v="Not fully evolved"/>
    <x v="2"/>
  </r>
  <r>
    <n v="635"/>
    <s v="HONCHKROW2"/>
    <m/>
    <x v="16"/>
    <x v="2"/>
    <s v="x"/>
    <s v="x"/>
    <s v="x"/>
    <s v="x"/>
    <s v="x"/>
    <s v="x"/>
    <s v="x"/>
    <s v="n/a"/>
    <s v="x"/>
    <s v="x"/>
    <s v="30/0/0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n v="1"/>
    <m/>
    <n v="1"/>
    <m/>
    <n v="1"/>
    <m/>
    <m/>
    <n v="1"/>
    <m/>
    <m/>
    <m/>
    <m/>
    <m/>
    <m/>
    <m/>
    <m/>
    <m/>
    <m/>
    <m/>
    <n v="2"/>
    <n v="1"/>
    <m/>
    <m/>
    <m/>
    <m/>
    <x v="244"/>
    <m/>
    <x v="5"/>
  </r>
  <r>
    <n v="636"/>
    <s v="CLEFFA"/>
    <m/>
    <x v="3"/>
    <x v="12"/>
    <s v="x"/>
    <s v="x"/>
    <m/>
    <s v="x"/>
    <s v="x"/>
    <s v="x"/>
    <m/>
    <s v="x"/>
    <s v="x"/>
    <s v="x"/>
    <s v="120/0/0"/>
    <s v="n/a"/>
    <s v="n/a"/>
    <s v="n/a"/>
    <s v="n/a"/>
    <s v="n/a"/>
    <s v="n/a"/>
    <s v="n/a"/>
    <s v="Raffs07"/>
    <m/>
    <m/>
    <m/>
    <m/>
    <m/>
    <n v="1"/>
    <m/>
    <m/>
    <n v="1"/>
    <n v="1"/>
    <m/>
    <m/>
    <m/>
    <m/>
    <m/>
    <m/>
    <n v="1"/>
    <m/>
    <m/>
    <n v="1"/>
    <m/>
    <m/>
    <n v="1"/>
    <m/>
    <m/>
    <m/>
    <m/>
    <m/>
    <m/>
    <m/>
    <m/>
    <m/>
    <m/>
    <m/>
    <m/>
    <m/>
    <m/>
    <m/>
    <m/>
    <m/>
    <m/>
    <m/>
    <m/>
    <x v="255"/>
    <s v="Not fully evolved"/>
    <x v="2"/>
  </r>
  <r>
    <n v="637"/>
    <s v="CLEFAIRY"/>
    <m/>
    <x v="3"/>
    <x v="12"/>
    <s v="x"/>
    <s v="x"/>
    <m/>
    <s v="x"/>
    <s v="x"/>
    <s v="x"/>
    <m/>
    <s v="x"/>
    <s v="x"/>
    <s v="x"/>
    <s v="120/0/0"/>
    <s v="n/a"/>
    <s v="n/a"/>
    <s v="n/a"/>
    <s v="n/a"/>
    <s v="n/a"/>
    <s v="n/a"/>
    <s v="n/a"/>
    <s v="Raffs07"/>
    <m/>
    <m/>
    <m/>
    <m/>
    <m/>
    <n v="1"/>
    <m/>
    <m/>
    <n v="1"/>
    <n v="1"/>
    <m/>
    <m/>
    <m/>
    <m/>
    <m/>
    <m/>
    <n v="1"/>
    <m/>
    <m/>
    <n v="1"/>
    <m/>
    <m/>
    <n v="1"/>
    <m/>
    <m/>
    <m/>
    <m/>
    <m/>
    <m/>
    <m/>
    <m/>
    <m/>
    <m/>
    <m/>
    <m/>
    <m/>
    <m/>
    <m/>
    <m/>
    <m/>
    <m/>
    <m/>
    <m/>
    <x v="255"/>
    <s v="Not fully evolved"/>
    <x v="0"/>
  </r>
  <r>
    <n v="638"/>
    <s v="CLEFABLE"/>
    <m/>
    <x v="3"/>
    <x v="12"/>
    <s v="x"/>
    <s v="x"/>
    <s v="x"/>
    <s v="x"/>
    <s v="x"/>
    <s v="x"/>
    <m/>
    <s v="n/a"/>
    <s v="x"/>
    <s v="x"/>
    <s v="120/0/0"/>
    <s v="n/a"/>
    <s v="n/a"/>
    <s v="n/a"/>
    <s v="n/a"/>
    <s v="n/a"/>
    <s v="n/a"/>
    <s v="n/a"/>
    <s v="Raffs07"/>
    <m/>
    <m/>
    <m/>
    <m/>
    <m/>
    <n v="1"/>
    <m/>
    <m/>
    <n v="1"/>
    <n v="1"/>
    <m/>
    <m/>
    <m/>
    <m/>
    <m/>
    <m/>
    <n v="1"/>
    <m/>
    <m/>
    <n v="1"/>
    <m/>
    <m/>
    <n v="1"/>
    <m/>
    <m/>
    <m/>
    <m/>
    <m/>
    <m/>
    <m/>
    <m/>
    <m/>
    <m/>
    <m/>
    <m/>
    <m/>
    <m/>
    <n v="3"/>
    <m/>
    <m/>
    <m/>
    <m/>
    <m/>
    <x v="255"/>
    <m/>
    <x v="0"/>
  </r>
  <r>
    <n v="639"/>
    <s v="KABUTO2"/>
    <m/>
    <x v="7"/>
    <x v="13"/>
    <s v="x"/>
    <s v="x"/>
    <m/>
    <s v="x"/>
    <s v="x"/>
    <s v="x"/>
    <m/>
    <s v="x"/>
    <s v="x"/>
    <s v="x"/>
    <s v="60/0/0"/>
    <s v="n/a"/>
    <s v="n/a"/>
    <s v="n/a"/>
    <s v="n/a"/>
    <s v="n/a"/>
    <s v="n/a"/>
    <s v="n/a"/>
    <s v="Badman / Shiny (currlor)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256"/>
    <s v="Not fully evolved"/>
    <x v="0"/>
  </r>
  <r>
    <n v="640"/>
    <s v="KABUTOPS2"/>
    <m/>
    <x v="7"/>
    <x v="13"/>
    <s v="x"/>
    <s v="x"/>
    <s v="x"/>
    <s v="x"/>
    <s v="x"/>
    <s v="x"/>
    <m/>
    <s v="n/a"/>
    <s v="x"/>
    <s v="x"/>
    <s v="60/0/0"/>
    <s v="n/a"/>
    <s v="n/a"/>
    <s v="n/a"/>
    <s v="n/a"/>
    <s v="n/a"/>
    <s v="n/a"/>
    <s v="n/a"/>
    <s v="Badman / Shiny (currlor)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9"/>
    <n v="3"/>
    <n v="1"/>
    <m/>
    <m/>
    <m/>
    <x v="256"/>
    <m/>
    <x v="0"/>
  </r>
  <r>
    <n v="641"/>
    <s v="ARCHEN"/>
    <m/>
    <x v="7"/>
    <x v="17"/>
    <s v="x"/>
    <s v="x"/>
    <m/>
    <s v="x"/>
    <s v="x"/>
    <s v="x"/>
    <m/>
    <s v="x"/>
    <s v="x"/>
    <s v="x"/>
    <s v="90/0/0"/>
    <s v="n/a"/>
    <s v="n/a"/>
    <s v="n/a"/>
    <s v="n/a"/>
    <s v="n/a"/>
    <s v="n/a"/>
    <s v="n/a"/>
    <s v="Badman"/>
    <m/>
    <m/>
    <m/>
    <n v="1"/>
    <m/>
    <m/>
    <m/>
    <m/>
    <m/>
    <m/>
    <m/>
    <m/>
    <m/>
    <m/>
    <m/>
    <m/>
    <m/>
    <m/>
    <n v="1"/>
    <m/>
    <m/>
    <m/>
    <m/>
    <m/>
    <m/>
    <n v="1"/>
    <n v="1"/>
    <m/>
    <m/>
    <m/>
    <m/>
    <m/>
    <m/>
    <m/>
    <m/>
    <m/>
    <m/>
    <m/>
    <m/>
    <m/>
    <m/>
    <m/>
    <m/>
    <x v="257"/>
    <s v="Not fully evolved"/>
    <x v="1"/>
  </r>
  <r>
    <n v="642"/>
    <s v="ARCHEOPS"/>
    <m/>
    <x v="7"/>
    <x v="17"/>
    <s v="x"/>
    <s v="x"/>
    <s v="x"/>
    <s v="x"/>
    <s v="x"/>
    <s v="x"/>
    <m/>
    <s v="n/a"/>
    <s v="x"/>
    <s v="x"/>
    <s v="90/0/0"/>
    <s v="n/a"/>
    <s v="n/a"/>
    <s v="n/a"/>
    <s v="n/a"/>
    <s v="n/a"/>
    <s v="n/a"/>
    <s v="n/a"/>
    <s v="Badman"/>
    <m/>
    <m/>
    <m/>
    <n v="1"/>
    <m/>
    <m/>
    <m/>
    <m/>
    <m/>
    <m/>
    <m/>
    <m/>
    <m/>
    <m/>
    <m/>
    <m/>
    <m/>
    <m/>
    <n v="1"/>
    <m/>
    <m/>
    <m/>
    <m/>
    <m/>
    <m/>
    <n v="1"/>
    <n v="1"/>
    <m/>
    <m/>
    <m/>
    <m/>
    <m/>
    <m/>
    <m/>
    <m/>
    <m/>
    <m/>
    <n v="14"/>
    <m/>
    <m/>
    <m/>
    <m/>
    <m/>
    <x v="257"/>
    <m/>
    <x v="1"/>
  </r>
  <r>
    <n v="643"/>
    <s v="TIRTOUGA"/>
    <m/>
    <x v="8"/>
    <x v="15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Badman"/>
    <m/>
    <m/>
    <m/>
    <m/>
    <m/>
    <n v="1"/>
    <m/>
    <m/>
    <m/>
    <m/>
    <m/>
    <m/>
    <m/>
    <m/>
    <m/>
    <m/>
    <m/>
    <n v="1"/>
    <m/>
    <n v="1"/>
    <m/>
    <m/>
    <m/>
    <n v="1"/>
    <m/>
    <n v="1"/>
    <n v="1"/>
    <m/>
    <m/>
    <m/>
    <m/>
    <m/>
    <m/>
    <m/>
    <m/>
    <m/>
    <m/>
    <m/>
    <m/>
    <m/>
    <m/>
    <m/>
    <m/>
    <x v="258"/>
    <s v="Not fully evolved"/>
    <x v="1"/>
  </r>
  <r>
    <n v="644"/>
    <s v="CARRACOSTA"/>
    <m/>
    <x v="8"/>
    <x v="15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Badman"/>
    <m/>
    <m/>
    <m/>
    <m/>
    <m/>
    <n v="1"/>
    <m/>
    <m/>
    <m/>
    <m/>
    <m/>
    <m/>
    <m/>
    <m/>
    <m/>
    <m/>
    <m/>
    <n v="1"/>
    <m/>
    <n v="1"/>
    <m/>
    <m/>
    <m/>
    <n v="1"/>
    <m/>
    <n v="1"/>
    <n v="1"/>
    <m/>
    <m/>
    <m/>
    <m/>
    <m/>
    <m/>
    <m/>
    <m/>
    <m/>
    <m/>
    <n v="3"/>
    <m/>
    <m/>
    <m/>
    <m/>
    <m/>
    <x v="258"/>
    <m/>
    <x v="1"/>
  </r>
  <r>
    <n v="645"/>
    <s v="DREEPY"/>
    <m/>
    <x v="8"/>
    <x v="2"/>
    <s v="x"/>
    <s v="x"/>
    <m/>
    <s v="x"/>
    <s v="x"/>
    <s v="x"/>
    <m/>
    <s v="x"/>
    <s v="x"/>
    <s v="x"/>
    <s v="Custom - Ochako"/>
    <s v="n/a"/>
    <s v="n/a"/>
    <s v="n/a"/>
    <s v="n/a"/>
    <s v="n/a"/>
    <s v="n/a"/>
    <s v="n/a"/>
    <s v="Badman"/>
    <m/>
    <n v="1"/>
    <m/>
    <m/>
    <m/>
    <m/>
    <m/>
    <m/>
    <m/>
    <m/>
    <m/>
    <m/>
    <m/>
    <m/>
    <m/>
    <m/>
    <m/>
    <m/>
    <n v="1"/>
    <m/>
    <m/>
    <m/>
    <m/>
    <m/>
    <m/>
    <n v="1"/>
    <m/>
    <m/>
    <m/>
    <m/>
    <m/>
    <m/>
    <m/>
    <m/>
    <m/>
    <m/>
    <m/>
    <m/>
    <m/>
    <m/>
    <m/>
    <m/>
    <m/>
    <x v="57"/>
    <s v="Not fully evolved"/>
    <x v="8"/>
  </r>
  <r>
    <n v="646"/>
    <s v="DRAKLOAK"/>
    <m/>
    <x v="8"/>
    <x v="2"/>
    <s v="x"/>
    <s v="x"/>
    <m/>
    <s v="x"/>
    <s v="x"/>
    <s v="x"/>
    <m/>
    <s v="n/a"/>
    <s v="x"/>
    <s v="x"/>
    <s v="Custom - Ochako"/>
    <s v="n/a"/>
    <s v="n/a"/>
    <s v="n/a"/>
    <s v="n/a"/>
    <s v="n/a"/>
    <s v="n/a"/>
    <s v="n/a"/>
    <s v="Badman"/>
    <m/>
    <n v="1"/>
    <m/>
    <m/>
    <m/>
    <m/>
    <m/>
    <m/>
    <m/>
    <m/>
    <m/>
    <m/>
    <m/>
    <m/>
    <m/>
    <m/>
    <m/>
    <m/>
    <n v="1"/>
    <m/>
    <m/>
    <m/>
    <m/>
    <m/>
    <m/>
    <n v="1"/>
    <m/>
    <m/>
    <m/>
    <m/>
    <m/>
    <m/>
    <m/>
    <m/>
    <m/>
    <m/>
    <m/>
    <m/>
    <m/>
    <m/>
    <m/>
    <m/>
    <m/>
    <x v="57"/>
    <s v="Not fully evolved"/>
    <x v="8"/>
  </r>
  <r>
    <n v="647"/>
    <s v="DRAGAPULT"/>
    <m/>
    <x v="8"/>
    <x v="2"/>
    <s v="x"/>
    <s v="x"/>
    <s v="x"/>
    <s v="x"/>
    <s v="x"/>
    <s v="x"/>
    <m/>
    <s v="n/a"/>
    <s v="x"/>
    <s v="x"/>
    <s v="Custom - Ochako"/>
    <s v="x"/>
    <s v="x"/>
    <s v="x"/>
    <s v="x"/>
    <s v="x"/>
    <s v="x"/>
    <s v="x"/>
    <s v="Badman"/>
    <m/>
    <n v="1"/>
    <m/>
    <m/>
    <m/>
    <m/>
    <m/>
    <m/>
    <m/>
    <m/>
    <m/>
    <m/>
    <m/>
    <m/>
    <m/>
    <m/>
    <m/>
    <m/>
    <n v="1"/>
    <m/>
    <m/>
    <m/>
    <m/>
    <m/>
    <m/>
    <n v="1"/>
    <m/>
    <m/>
    <m/>
    <m/>
    <m/>
    <m/>
    <m/>
    <m/>
    <m/>
    <m/>
    <m/>
    <n v="35"/>
    <n v="9"/>
    <m/>
    <m/>
    <m/>
    <m/>
    <x v="57"/>
    <m/>
    <x v="8"/>
  </r>
  <r>
    <n v="648"/>
    <s v="WIMPOD"/>
    <m/>
    <x v="12"/>
    <x v="0"/>
    <s v="x"/>
    <s v="x"/>
    <m/>
    <s v="x"/>
    <s v="x"/>
    <s v="x"/>
    <m/>
    <s v="x"/>
    <s v="x"/>
    <s v="x"/>
    <s v="30/0/0"/>
    <s v="n/a"/>
    <s v="n/a"/>
    <s v="n/a"/>
    <s v="n/a"/>
    <s v="n/a"/>
    <s v="n/a"/>
    <s v="n/a"/>
    <s v="Badman"/>
    <m/>
    <m/>
    <n v="1"/>
    <n v="1"/>
    <m/>
    <n v="1"/>
    <m/>
    <n v="1"/>
    <m/>
    <m/>
    <m/>
    <m/>
    <m/>
    <m/>
    <m/>
    <m/>
    <m/>
    <m/>
    <m/>
    <m/>
    <n v="1"/>
    <n v="1"/>
    <m/>
    <m/>
    <m/>
    <m/>
    <m/>
    <n v="1"/>
    <m/>
    <m/>
    <m/>
    <m/>
    <m/>
    <m/>
    <m/>
    <m/>
    <m/>
    <m/>
    <m/>
    <m/>
    <m/>
    <m/>
    <m/>
    <x v="156"/>
    <s v="Not fully evolved"/>
    <x v="6"/>
  </r>
  <r>
    <n v="649"/>
    <s v="GOLISOPOD"/>
    <m/>
    <x v="12"/>
    <x v="0"/>
    <s v="x"/>
    <s v="x"/>
    <s v="x"/>
    <s v="x"/>
    <s v="x"/>
    <s v="x"/>
    <m/>
    <s v="n/a"/>
    <s v="x"/>
    <s v="x"/>
    <s v="30/0/0"/>
    <m/>
    <m/>
    <m/>
    <m/>
    <m/>
    <m/>
    <m/>
    <s v="Badman"/>
    <m/>
    <m/>
    <n v="1"/>
    <n v="1"/>
    <m/>
    <n v="1"/>
    <m/>
    <n v="1"/>
    <m/>
    <m/>
    <m/>
    <m/>
    <m/>
    <m/>
    <m/>
    <m/>
    <m/>
    <m/>
    <m/>
    <m/>
    <n v="1"/>
    <n v="1"/>
    <m/>
    <m/>
    <m/>
    <m/>
    <m/>
    <n v="1"/>
    <m/>
    <m/>
    <m/>
    <m/>
    <m/>
    <m/>
    <m/>
    <m/>
    <m/>
    <n v="8"/>
    <n v="1"/>
    <m/>
    <m/>
    <m/>
    <m/>
    <x v="156"/>
    <m/>
    <x v="6"/>
  </r>
  <r>
    <n v="650"/>
    <s v="MUNNA"/>
    <m/>
    <x v="7"/>
    <x v="4"/>
    <s v="x"/>
    <s v="x"/>
    <m/>
    <s v="x"/>
    <s v="x"/>
    <s v="x"/>
    <m/>
    <s v="x"/>
    <s v="x"/>
    <s v="x"/>
    <s v="Custom - Ace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94"/>
    <s v="Not fully evolved"/>
    <x v="1"/>
  </r>
  <r>
    <n v="651"/>
    <s v="MUSHARNA"/>
    <m/>
    <x v="7"/>
    <x v="21"/>
    <s v="x"/>
    <s v="x"/>
    <s v="x"/>
    <s v="x"/>
    <s v="x"/>
    <s v="x"/>
    <m/>
    <s v="n/a"/>
    <s v="x"/>
    <s v="x"/>
    <s v="Custom - Ace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7"/>
    <n v="3"/>
    <m/>
    <m/>
    <m/>
    <m/>
    <x v="259"/>
    <m/>
    <x v="1"/>
  </r>
  <r>
    <n v="652"/>
    <s v="SHUPPET"/>
    <m/>
    <x v="15"/>
    <x v="10"/>
    <s v="x"/>
    <s v="x"/>
    <m/>
    <s v="x"/>
    <s v="x"/>
    <s v="x"/>
    <m/>
    <s v="x"/>
    <s v="x"/>
    <s v="x"/>
    <s v="Custom - AmokomA"/>
    <s v="n/a"/>
    <s v="n/a"/>
    <s v="n/a"/>
    <s v="n/a"/>
    <s v="n/a"/>
    <s v="n/a"/>
    <s v="n/a"/>
    <s v="Badman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03"/>
    <s v="Not fully evolved"/>
    <x v="3"/>
  </r>
  <r>
    <n v="653"/>
    <s v="BANETTE"/>
    <m/>
    <x v="15"/>
    <x v="10"/>
    <s v="x"/>
    <s v="x"/>
    <s v="x"/>
    <s v="x"/>
    <s v="x"/>
    <s v="x"/>
    <m/>
    <s v="n/a"/>
    <s v="x"/>
    <s v="x"/>
    <s v="Custom - AmokomA"/>
    <s v="x"/>
    <s v="x"/>
    <s v="x"/>
    <s v="x"/>
    <s v="x"/>
    <s v="x"/>
    <s v="x"/>
    <s v="Badman/Zeta"/>
    <m/>
    <m/>
    <m/>
    <m/>
    <m/>
    <m/>
    <m/>
    <m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n v="7"/>
    <n v="3"/>
    <m/>
    <m/>
    <m/>
    <m/>
    <x v="203"/>
    <m/>
    <x v="3"/>
  </r>
  <r>
    <n v="654"/>
    <s v="STONJOURNER"/>
    <m/>
    <x v="7"/>
    <x v="8"/>
    <s v="x"/>
    <s v="x"/>
    <s v="x"/>
    <s v="x"/>
    <s v="x"/>
    <s v="x"/>
    <m/>
    <s v="x"/>
    <s v="x"/>
    <s v="x"/>
    <s v="Custom - Boro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2"/>
    <m/>
    <m/>
    <m/>
    <m/>
    <m/>
    <x v="260"/>
    <m/>
    <x v="8"/>
  </r>
  <r>
    <n v="655"/>
    <s v="LAPRAS2"/>
    <m/>
    <x v="4"/>
    <x v="17"/>
    <s v="x"/>
    <s v="x"/>
    <s v="x"/>
    <s v="x"/>
    <s v="x"/>
    <s v="x"/>
    <s v="n/a"/>
    <s v="x"/>
    <s v="x"/>
    <s v="x"/>
    <s v="Custom - Ace"/>
    <s v="n/a"/>
    <s v="n/a"/>
    <s v="n/a"/>
    <s v="n/a"/>
    <s v="n/a"/>
    <s v="n/a"/>
    <s v="n/a"/>
    <s v="Badman"/>
    <m/>
    <m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2"/>
    <n v="2"/>
    <m/>
    <m/>
    <m/>
    <m/>
    <x v="185"/>
    <m/>
    <x v="0"/>
  </r>
  <r>
    <n v="656"/>
    <s v="WOOLOO2"/>
    <m/>
    <x v="9"/>
    <x v="4"/>
    <s v="x"/>
    <s v="x"/>
    <m/>
    <s v="x"/>
    <s v="x"/>
    <s v="x"/>
    <s v="x"/>
    <s v="x"/>
    <s v="x"/>
    <s v="x"/>
    <s v="Ace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0"/>
    <s v="Not fully evolved"/>
    <x v="8"/>
  </r>
  <r>
    <n v="657"/>
    <s v="DUBWOOL2"/>
    <m/>
    <x v="9"/>
    <x v="4"/>
    <s v="x"/>
    <s v="x"/>
    <s v="x"/>
    <s v="x"/>
    <s v="x"/>
    <s v="x"/>
    <s v="x"/>
    <s v="n/a"/>
    <s v="x"/>
    <s v="x"/>
    <s v="Ace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x v="150"/>
    <m/>
    <x v="8"/>
  </r>
  <r>
    <n v="658"/>
    <s v="BIDOOF"/>
    <m/>
    <x v="1"/>
    <x v="20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Jos"/>
    <m/>
    <m/>
    <n v="1"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89"/>
    <s v="Not fully evolved"/>
    <x v="5"/>
  </r>
  <r>
    <n v="659"/>
    <s v="BIBAREL"/>
    <m/>
    <x v="1"/>
    <x v="15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Jos"/>
    <m/>
    <m/>
    <n v="1"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m/>
    <m/>
    <m/>
    <m/>
    <n v="2"/>
    <n v="1"/>
    <m/>
    <m/>
    <m/>
    <m/>
    <x v="37"/>
    <m/>
    <x v="5"/>
  </r>
  <r>
    <n v="660"/>
    <s v="DRILBUR"/>
    <m/>
    <x v="20"/>
    <x v="15"/>
    <s v="x"/>
    <s v="x"/>
    <m/>
    <s v="x"/>
    <s v="x"/>
    <s v="x"/>
    <m/>
    <s v="x"/>
    <s v="x"/>
    <s v="x"/>
    <s v="Badman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61"/>
    <s v="Not fully evolved"/>
    <x v="1"/>
  </r>
  <r>
    <n v="661"/>
    <s v="EXCADRILL"/>
    <m/>
    <x v="20"/>
    <x v="15"/>
    <s v="x"/>
    <s v="x"/>
    <s v="x"/>
    <s v="x"/>
    <s v="x"/>
    <s v="x"/>
    <m/>
    <s v="n/a"/>
    <s v="x"/>
    <s v="x"/>
    <s v="Badman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9"/>
    <n v="4"/>
    <n v="1"/>
    <m/>
    <m/>
    <m/>
    <x v="261"/>
    <m/>
    <x v="1"/>
  </r>
  <r>
    <n v="662"/>
    <s v="DRILBUR2"/>
    <m/>
    <x v="2"/>
    <x v="19"/>
    <s v="x"/>
    <s v="x"/>
    <m/>
    <s v="x"/>
    <s v="x"/>
    <s v="x"/>
    <m/>
    <s v="x"/>
    <s v="x"/>
    <s v="x"/>
    <s v="Custom - Aceblade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262"/>
    <s v="Not fully evolved"/>
    <x v="1"/>
  </r>
  <r>
    <n v="663"/>
    <s v="EXCADRILL2"/>
    <m/>
    <x v="2"/>
    <x v="19"/>
    <s v="x"/>
    <s v="x"/>
    <s v="x"/>
    <s v="x"/>
    <s v="x"/>
    <s v="x"/>
    <m/>
    <s v="n/a"/>
    <s v="x"/>
    <s v="x"/>
    <s v="Custom - Aceblade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n v="7"/>
    <n v="1"/>
    <m/>
    <m/>
    <m/>
    <m/>
    <x v="262"/>
    <m/>
    <x v="1"/>
  </r>
  <r>
    <n v="664"/>
    <s v="SNOM"/>
    <m/>
    <x v="13"/>
    <x v="4"/>
    <s v="x"/>
    <s v="x"/>
    <m/>
    <s v="x"/>
    <s v="x"/>
    <s v="x"/>
    <s v="Need"/>
    <s v="x"/>
    <s v="x"/>
    <s v="x"/>
    <s v="Otter"/>
    <s v="n/a"/>
    <s v="n/a"/>
    <s v="n/a"/>
    <s v="n/a"/>
    <s v="n/a"/>
    <s v="n/a"/>
    <s v="n/a"/>
    <s v="Jos"/>
    <m/>
    <m/>
    <m/>
    <m/>
    <n v="1"/>
    <n v="1"/>
    <m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7"/>
    <s v="Not fully evolved"/>
    <x v="8"/>
  </r>
  <r>
    <n v="665"/>
    <s v="FROSMOTH"/>
    <m/>
    <x v="13"/>
    <x v="2"/>
    <s v="x"/>
    <s v="x"/>
    <s v="x"/>
    <s v="x"/>
    <s v="x"/>
    <s v="x"/>
    <m/>
    <s v="n/a"/>
    <s v="x"/>
    <s v="x"/>
    <s v="Otter"/>
    <s v="n/a"/>
    <s v="n/a"/>
    <s v="n/a"/>
    <s v="n/a"/>
    <s v="n/a"/>
    <s v="n/a"/>
    <s v="n/a"/>
    <s v="Jos"/>
    <m/>
    <m/>
    <m/>
    <m/>
    <n v="1"/>
    <n v="1"/>
    <m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n v="1"/>
    <m/>
    <m/>
    <m/>
    <m/>
    <m/>
    <x v="263"/>
    <m/>
    <x v="8"/>
  </r>
  <r>
    <n v="666"/>
    <s v="HOUNDOUR"/>
    <m/>
    <x v="0"/>
    <x v="19"/>
    <s v="x"/>
    <s v="x"/>
    <m/>
    <s v="x"/>
    <s v="x"/>
    <s v="x"/>
    <s v="x"/>
    <s v="x"/>
    <s v="x"/>
    <s v="x"/>
    <s v="Otter"/>
    <s v="n/a"/>
    <s v="n/a"/>
    <s v="n/a"/>
    <s v="n/a"/>
    <s v="n/a"/>
    <s v="n/a"/>
    <s v="n/a"/>
    <s v="Jos"/>
    <m/>
    <n v="1"/>
    <m/>
    <m/>
    <m/>
    <m/>
    <m/>
    <m/>
    <n v="1"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m/>
    <m/>
    <x v="264"/>
    <s v="Not fully evolved"/>
    <x v="2"/>
  </r>
  <r>
    <n v="667"/>
    <s v="HOUNDOOM"/>
    <m/>
    <x v="0"/>
    <x v="19"/>
    <s v="x"/>
    <s v="x"/>
    <s v="x"/>
    <s v="x"/>
    <s v="x"/>
    <s v="x"/>
    <m/>
    <s v="n/a"/>
    <s v="x"/>
    <s v="x"/>
    <s v="Otter"/>
    <s v="x"/>
    <s v="x"/>
    <s v="x"/>
    <s v="x"/>
    <s v="x"/>
    <s v="x"/>
    <s v="x"/>
    <s v="Jos"/>
    <m/>
    <n v="1"/>
    <m/>
    <m/>
    <m/>
    <m/>
    <m/>
    <m/>
    <n v="1"/>
    <m/>
    <m/>
    <m/>
    <m/>
    <m/>
    <m/>
    <m/>
    <m/>
    <m/>
    <m/>
    <m/>
    <m/>
    <m/>
    <n v="1"/>
    <m/>
    <m/>
    <n v="1"/>
    <m/>
    <m/>
    <m/>
    <m/>
    <m/>
    <m/>
    <m/>
    <m/>
    <m/>
    <m/>
    <m/>
    <n v="10"/>
    <n v="1"/>
    <m/>
    <m/>
    <m/>
    <m/>
    <x v="264"/>
    <m/>
    <x v="2"/>
  </r>
  <r>
    <n v="668"/>
    <s v="PIPLUP"/>
    <m/>
    <x v="1"/>
    <x v="16"/>
    <s v="x"/>
    <s v="x"/>
    <m/>
    <s v="x"/>
    <s v="x"/>
    <s v="x"/>
    <s v="x"/>
    <s v="x"/>
    <s v="x"/>
    <s v="x"/>
    <s v="160/0/0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65"/>
    <s v="Not fully evolved"/>
    <x v="2"/>
  </r>
  <r>
    <n v="669"/>
    <s v="PRINPLUP"/>
    <m/>
    <x v="1"/>
    <x v="16"/>
    <s v="x"/>
    <s v="x"/>
    <m/>
    <s v="x"/>
    <s v="x"/>
    <s v="x"/>
    <s v="x"/>
    <s v="n/a"/>
    <s v="x"/>
    <s v="x"/>
    <s v="160/0/0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65"/>
    <s v="Not fully evolved"/>
    <x v="2"/>
  </r>
  <r>
    <n v="670"/>
    <s v="EMPOLEON"/>
    <m/>
    <x v="1"/>
    <x v="16"/>
    <s v="x"/>
    <s v="x"/>
    <s v="x"/>
    <s v="x"/>
    <s v="x"/>
    <s v="x"/>
    <m/>
    <s v="n/a"/>
    <s v="x"/>
    <s v="x"/>
    <s v="160/0/0"/>
    <s v="x"/>
    <s v="x"/>
    <s v="x"/>
    <s v="x"/>
    <s v="x"/>
    <s v="x"/>
    <s v="x"/>
    <s v="Jos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n v="1"/>
    <n v="1"/>
    <m/>
    <m/>
    <m/>
    <m/>
    <x v="65"/>
    <m/>
    <x v="2"/>
  </r>
  <r>
    <n v="671"/>
    <s v="SOLOSIS2"/>
    <m/>
    <x v="3"/>
    <x v="0"/>
    <s v="x"/>
    <s v="x"/>
    <m/>
    <s v="x"/>
    <s v="x"/>
    <s v="x"/>
    <s v="Need"/>
    <s v="x"/>
    <s v="x"/>
    <s v="x"/>
    <s v="alba"/>
    <s v="n/a"/>
    <s v="n/a"/>
    <s v="n/a"/>
    <s v="n/a"/>
    <s v="n/a"/>
    <s v="n/a"/>
    <s v="n/a"/>
    <s v="Jos"/>
    <m/>
    <m/>
    <m/>
    <m/>
    <m/>
    <m/>
    <m/>
    <m/>
    <m/>
    <n v="1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x v="265"/>
    <s v="Not fully evolved"/>
    <x v="2"/>
  </r>
  <r>
    <n v="672"/>
    <s v="DUOSION2"/>
    <m/>
    <x v="3"/>
    <x v="0"/>
    <s v="x"/>
    <s v="x"/>
    <m/>
    <s v="x"/>
    <s v="x"/>
    <s v="x"/>
    <s v="Need"/>
    <s v="n/a"/>
    <s v="x"/>
    <s v="x"/>
    <s v="alba"/>
    <s v="n/a"/>
    <s v="n/a"/>
    <s v="n/a"/>
    <s v="n/a"/>
    <s v="n/a"/>
    <s v="n/a"/>
    <s v="n/a"/>
    <s v="Jos"/>
    <m/>
    <m/>
    <m/>
    <m/>
    <m/>
    <m/>
    <m/>
    <m/>
    <m/>
    <n v="1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x v="265"/>
    <s v="Not fully evolved"/>
    <x v="2"/>
  </r>
  <r>
    <n v="673"/>
    <s v="REUNICLUS2"/>
    <m/>
    <x v="3"/>
    <x v="0"/>
    <s v="x"/>
    <s v="x"/>
    <s v="x"/>
    <s v="x"/>
    <s v="x"/>
    <s v="x"/>
    <m/>
    <s v="n/a"/>
    <s v="x"/>
    <s v="x"/>
    <s v="alba"/>
    <s v="n/a"/>
    <s v="n/a"/>
    <s v="n/a"/>
    <s v="n/a"/>
    <s v="n/a"/>
    <s v="n/a"/>
    <s v="n/a"/>
    <s v="Jos"/>
    <m/>
    <m/>
    <m/>
    <m/>
    <m/>
    <m/>
    <m/>
    <m/>
    <m/>
    <n v="1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x v="265"/>
    <m/>
    <x v="2"/>
  </r>
  <r>
    <n v="674"/>
    <s v="MUDBRAY"/>
    <m/>
    <x v="17"/>
    <x v="4"/>
    <s v="x"/>
    <s v="x"/>
    <m/>
    <s v="x"/>
    <s v="x"/>
    <s v="x"/>
    <s v="Need"/>
    <s v="x"/>
    <s v="x"/>
    <s v="x"/>
    <s v="-100/-25/5"/>
    <s v="n/a"/>
    <s v="n/a"/>
    <s v="n/a"/>
    <s v="n/a"/>
    <s v="n/a"/>
    <s v="n/a"/>
    <s v="n/a"/>
    <s v="Jos"/>
    <m/>
    <n v="1"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71"/>
    <s v="Not fully evolved"/>
    <x v="2"/>
  </r>
  <r>
    <n v="675"/>
    <s v="MUDSDALE"/>
    <m/>
    <x v="17"/>
    <x v="4"/>
    <s v="x"/>
    <s v="x"/>
    <s v="x"/>
    <s v="x"/>
    <s v="x"/>
    <s v="x"/>
    <m/>
    <s v="n/a"/>
    <s v="x"/>
    <s v="x"/>
    <s v="-100/-25/5"/>
    <s v="n/a"/>
    <s v="n/a"/>
    <s v="n/a"/>
    <s v="n/a"/>
    <s v="n/a"/>
    <s v="n/a"/>
    <s v="n/a"/>
    <s v="Jos"/>
    <m/>
    <n v="1"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1"/>
    <m/>
    <m/>
    <m/>
    <m/>
    <m/>
    <x v="71"/>
    <m/>
    <x v="2"/>
  </r>
  <r>
    <n v="676"/>
    <s v="CRAMORANT"/>
    <m/>
    <x v="17"/>
    <x v="2"/>
    <s v="x"/>
    <s v="x"/>
    <s v="x"/>
    <s v="x"/>
    <s v="x"/>
    <s v="x"/>
    <m/>
    <s v="x"/>
    <s v="x"/>
    <s v="x"/>
    <s v="-180/0/0"/>
    <s v="n/a"/>
    <s v="n/a"/>
    <s v="n/a"/>
    <s v="n/a"/>
    <s v="n/a"/>
    <s v="n/a"/>
    <s v="n/a"/>
    <s v="Jos"/>
    <m/>
    <n v="1"/>
    <n v="1"/>
    <m/>
    <m/>
    <m/>
    <m/>
    <m/>
    <m/>
    <m/>
    <n v="1"/>
    <m/>
    <m/>
    <m/>
    <m/>
    <m/>
    <n v="1"/>
    <n v="1"/>
    <m/>
    <m/>
    <m/>
    <m/>
    <m/>
    <m/>
    <m/>
    <n v="1"/>
    <n v="1"/>
    <m/>
    <m/>
    <m/>
    <m/>
    <m/>
    <m/>
    <m/>
    <m/>
    <m/>
    <m/>
    <m/>
    <m/>
    <m/>
    <m/>
    <m/>
    <m/>
    <x v="168"/>
    <m/>
    <x v="2"/>
  </r>
  <r>
    <n v="677"/>
    <s v="HOPPIP2"/>
    <m/>
    <x v="12"/>
    <x v="19"/>
    <s v="x"/>
    <s v="x"/>
    <m/>
    <s v="x"/>
    <s v="x"/>
    <s v="x"/>
    <m/>
    <s v="x"/>
    <s v="x"/>
    <s v="x"/>
    <s v="Otter"/>
    <s v="n/a"/>
    <s v="n/a"/>
    <s v="n/a"/>
    <s v="n/a"/>
    <s v="n/a"/>
    <s v="n/a"/>
    <s v="n/a"/>
    <s v="Jos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66"/>
    <s v="Not fully evolved"/>
    <x v="2"/>
  </r>
  <r>
    <n v="678"/>
    <s v="SKIPLOOM2"/>
    <m/>
    <x v="12"/>
    <x v="19"/>
    <s v="x"/>
    <s v="x"/>
    <m/>
    <s v="x"/>
    <s v="x"/>
    <s v="x"/>
    <m/>
    <s v="n/a"/>
    <s v="x"/>
    <s v="x"/>
    <s v="Otter"/>
    <s v="n/a"/>
    <s v="n/a"/>
    <s v="n/a"/>
    <s v="n/a"/>
    <s v="n/a"/>
    <s v="n/a"/>
    <s v="n/a"/>
    <s v="Jos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66"/>
    <s v="Not fully evolved"/>
    <x v="2"/>
  </r>
  <r>
    <n v="679"/>
    <s v="JUMPLUFF2"/>
    <m/>
    <x v="12"/>
    <x v="19"/>
    <s v="x"/>
    <s v="x"/>
    <s v="x"/>
    <s v="x"/>
    <s v="x"/>
    <s v="x"/>
    <m/>
    <s v="n/a"/>
    <s v="x"/>
    <s v="x"/>
    <s v="Otter"/>
    <s v="x"/>
    <s v="x"/>
    <s v="x"/>
    <s v="x"/>
    <s v="x"/>
    <s v="x"/>
    <s v="x"/>
    <s v="Jos/Boro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3"/>
    <m/>
    <m/>
    <m/>
    <m/>
    <m/>
    <x v="266"/>
    <m/>
    <x v="2"/>
  </r>
  <r>
    <n v="680"/>
    <s v="SEWADDLE"/>
    <m/>
    <x v="8"/>
    <x v="10"/>
    <s v="x"/>
    <s v="x"/>
    <m/>
    <s v="x"/>
    <s v="x"/>
    <s v="x"/>
    <m/>
    <s v="x"/>
    <s v="x"/>
    <s v="x"/>
    <s v="12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x v="267"/>
    <s v="Not fully evolved"/>
    <x v="2"/>
  </r>
  <r>
    <n v="681"/>
    <s v="SWADLOON"/>
    <m/>
    <x v="8"/>
    <x v="10"/>
    <s v="x"/>
    <s v="x"/>
    <s v="x"/>
    <s v="x"/>
    <s v="x"/>
    <s v="x"/>
    <s v="x"/>
    <s v="n/a"/>
    <s v="x"/>
    <s v="x"/>
    <s v="12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n v="1"/>
    <m/>
    <m/>
    <m/>
    <m/>
    <m/>
    <x v="267"/>
    <s v="Not fully evolved"/>
    <x v="2"/>
  </r>
  <r>
    <n v="682"/>
    <s v="LEAVANNY"/>
    <m/>
    <x v="8"/>
    <x v="10"/>
    <s v="x"/>
    <s v="x"/>
    <s v="x"/>
    <s v="x"/>
    <s v="x"/>
    <s v="x"/>
    <m/>
    <s v="n/a"/>
    <s v="x"/>
    <s v="x"/>
    <s v="12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n v="9"/>
    <m/>
    <m/>
    <m/>
    <m/>
    <m/>
    <x v="267"/>
    <m/>
    <x v="2"/>
  </r>
  <r>
    <n v="683"/>
    <s v="WHISMUR"/>
    <m/>
    <x v="20"/>
    <x v="7"/>
    <s v="x"/>
    <s v="x"/>
    <m/>
    <s v="x"/>
    <s v="x"/>
    <s v="x"/>
    <s v="x"/>
    <s v="x"/>
    <s v="x"/>
    <s v="x"/>
    <s v="-7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68"/>
    <s v="Not fully evolved"/>
    <x v="2"/>
  </r>
  <r>
    <n v="684"/>
    <s v="LOUDRED"/>
    <m/>
    <x v="20"/>
    <x v="7"/>
    <s v="x"/>
    <s v="x"/>
    <m/>
    <s v="x"/>
    <s v="x"/>
    <s v="x"/>
    <m/>
    <s v="n/a"/>
    <s v="x"/>
    <s v="x"/>
    <s v="-7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68"/>
    <s v="Not fully evolved"/>
    <x v="2"/>
  </r>
  <r>
    <n v="685"/>
    <s v="EXPLOUD"/>
    <m/>
    <x v="20"/>
    <x v="7"/>
    <s v="x"/>
    <s v="x"/>
    <s v="x"/>
    <s v="x"/>
    <s v="x"/>
    <s v="x"/>
    <m/>
    <s v="n/a"/>
    <s v="x"/>
    <s v="x"/>
    <s v="-70/0/0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3"/>
    <m/>
    <m/>
    <m/>
    <m/>
    <m/>
    <x v="268"/>
    <m/>
    <x v="2"/>
  </r>
  <r>
    <n v="686"/>
    <s v="SIZZLIPEDE"/>
    <m/>
    <x v="12"/>
    <x v="0"/>
    <s v="x"/>
    <s v="x"/>
    <m/>
    <s v="x"/>
    <s v="x"/>
    <s v="x"/>
    <s v="x"/>
    <s v="x"/>
    <s v="x"/>
    <s v="x"/>
    <s v="-50/0/0"/>
    <s v="n/a"/>
    <s v="n/a"/>
    <s v="n/a"/>
    <s v="n/a"/>
    <s v="n/a"/>
    <s v="n/a"/>
    <s v="n/a"/>
    <s v="Jos"/>
    <m/>
    <n v="1"/>
    <n v="1"/>
    <n v="1"/>
    <n v="1"/>
    <n v="1"/>
    <m/>
    <n v="1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56"/>
    <s v="Not fully evolved"/>
    <x v="2"/>
  </r>
  <r>
    <n v="687"/>
    <s v="CENTISKORCH"/>
    <m/>
    <x v="12"/>
    <x v="0"/>
    <s v="x"/>
    <s v="x"/>
    <s v="x"/>
    <s v="x"/>
    <s v="x"/>
    <s v="x"/>
    <m/>
    <s v="n/a"/>
    <s v="x"/>
    <s v="x"/>
    <s v="-50/0/0"/>
    <s v="x"/>
    <s v="x"/>
    <s v="x"/>
    <s v="x"/>
    <s v="x"/>
    <s v="x"/>
    <s v="x"/>
    <s v="Jos"/>
    <m/>
    <n v="1"/>
    <n v="1"/>
    <n v="1"/>
    <n v="1"/>
    <n v="1"/>
    <m/>
    <n v="1"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6"/>
    <n v="1"/>
    <m/>
    <m/>
    <m/>
    <m/>
    <x v="156"/>
    <m/>
    <x v="2"/>
  </r>
  <r>
    <n v="688"/>
    <s v="SOBBLE"/>
    <m/>
    <x v="1"/>
    <x v="8"/>
    <s v="x"/>
    <s v="x"/>
    <m/>
    <s v="x"/>
    <s v="x"/>
    <s v="x"/>
    <m/>
    <s v="x"/>
    <s v="x"/>
    <s v="x"/>
    <s v="-150/0/0"/>
    <s v="n/a"/>
    <s v="n/a"/>
    <s v="n/a"/>
    <s v="n/a"/>
    <s v="n/a"/>
    <s v="n/a"/>
    <s v="n/a"/>
    <s v="Jos"/>
    <m/>
    <n v="1"/>
    <n v="1"/>
    <m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16"/>
    <s v="Not fully evolved"/>
    <x v="2"/>
  </r>
  <r>
    <n v="689"/>
    <s v="DRIZZILE"/>
    <m/>
    <x v="1"/>
    <x v="8"/>
    <s v="x"/>
    <s v="x"/>
    <m/>
    <s v="x"/>
    <s v="x"/>
    <s v="x"/>
    <m/>
    <s v="n/a"/>
    <s v="x"/>
    <s v="x"/>
    <s v="-150/0/0"/>
    <s v="n/a"/>
    <s v="n/a"/>
    <s v="n/a"/>
    <s v="n/a"/>
    <s v="n/a"/>
    <s v="n/a"/>
    <s v="n/a"/>
    <s v="Jos"/>
    <m/>
    <n v="1"/>
    <n v="1"/>
    <m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16"/>
    <s v="Not fully evolved"/>
    <x v="2"/>
  </r>
  <r>
    <n v="690"/>
    <s v="INTELEON"/>
    <m/>
    <x v="1"/>
    <x v="8"/>
    <s v="x"/>
    <s v="x"/>
    <s v="x"/>
    <s v="x"/>
    <s v="x"/>
    <s v="x"/>
    <s v="x"/>
    <s v="n/a"/>
    <s v="x"/>
    <s v="x"/>
    <s v="-150/0/0"/>
    <s v="n/a"/>
    <s v="n/a"/>
    <s v="n/a"/>
    <s v="n/a"/>
    <s v="n/a"/>
    <s v="n/a"/>
    <s v="n/a"/>
    <s v="Jos"/>
    <m/>
    <n v="1"/>
    <n v="1"/>
    <m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n v="16"/>
    <n v="11"/>
    <n v="1"/>
    <m/>
    <m/>
    <m/>
    <x v="216"/>
    <m/>
    <x v="2"/>
  </r>
  <r>
    <n v="691"/>
    <s v="TIMBURR2"/>
    <m/>
    <x v="9"/>
    <x v="14"/>
    <s v="x"/>
    <s v="x"/>
    <m/>
    <s v="x"/>
    <s v="x"/>
    <s v="x"/>
    <s v="x"/>
    <s v="x"/>
    <s v="x"/>
    <s v="x"/>
    <s v="Custom - Anarlaurendil"/>
    <s v="n/a"/>
    <s v="n/a"/>
    <s v="n/a"/>
    <s v="n/a"/>
    <s v="n/a"/>
    <s v="n/a"/>
    <s v="n/a"/>
    <s v="Eysselia, Cataclyptic, Anarlaurendil, Dracoyan, Amras Anarion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13"/>
    <s v="Not fully evolved"/>
    <x v="2"/>
  </r>
  <r>
    <n v="692"/>
    <s v="GURDURR2"/>
    <m/>
    <x v="9"/>
    <x v="14"/>
    <s v="x"/>
    <s v="x"/>
    <m/>
    <s v="x"/>
    <s v="x"/>
    <s v="x"/>
    <s v="x"/>
    <s v="n/a"/>
    <s v="x"/>
    <s v="x"/>
    <s v="Custom - Anarlaurendil"/>
    <s v="n/a"/>
    <s v="n/a"/>
    <s v="n/a"/>
    <s v="n/a"/>
    <s v="n/a"/>
    <s v="n/a"/>
    <s v="n/a"/>
    <s v="Eysselia, Cataclyptic, Anarlaurendil, Dracoyan, Amras Anarion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13"/>
    <s v="Not fully evolved"/>
    <x v="2"/>
  </r>
  <r>
    <n v="693"/>
    <s v="CONKELDURR2"/>
    <m/>
    <x v="9"/>
    <x v="14"/>
    <s v="x"/>
    <s v="x"/>
    <s v="x"/>
    <s v="x"/>
    <s v="x"/>
    <s v="x"/>
    <s v="x"/>
    <s v="n/a"/>
    <s v="x"/>
    <s v="x"/>
    <s v="Custom - Anarlaurendil"/>
    <s v="n/a"/>
    <s v="n/a"/>
    <s v="n/a"/>
    <s v="n/a"/>
    <s v="n/a"/>
    <s v="n/a"/>
    <s v="n/a"/>
    <s v="Eysselia, Cataclyptic, Anarlaurendil, Dracoyan, Amras Anarion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1"/>
    <m/>
    <m/>
    <m/>
    <m/>
    <x v="213"/>
    <m/>
    <x v="2"/>
  </r>
  <r>
    <n v="694"/>
    <s v="CORPHISH"/>
    <m/>
    <x v="13"/>
    <x v="10"/>
    <s v="x"/>
    <s v="x"/>
    <m/>
    <s v="x"/>
    <s v="x"/>
    <s v="x"/>
    <s v="Need"/>
    <s v="x"/>
    <s v="x"/>
    <s v="x"/>
    <s v="Don't remember hue shift"/>
    <s v="n/a"/>
    <s v="n/a"/>
    <s v="n/a"/>
    <s v="n/a"/>
    <s v="n/a"/>
    <s v="n/a"/>
    <s v="n/a"/>
    <s v="Jos"/>
    <m/>
    <m/>
    <m/>
    <m/>
    <m/>
    <n v="1"/>
    <n v="1"/>
    <n v="1"/>
    <m/>
    <m/>
    <n v="1"/>
    <n v="1"/>
    <m/>
    <m/>
    <m/>
    <m/>
    <m/>
    <m/>
    <m/>
    <m/>
    <m/>
    <n v="1"/>
    <m/>
    <m/>
    <m/>
    <n v="1"/>
    <n v="1"/>
    <m/>
    <m/>
    <m/>
    <m/>
    <m/>
    <m/>
    <m/>
    <m/>
    <m/>
    <m/>
    <m/>
    <m/>
    <m/>
    <m/>
    <m/>
    <m/>
    <x v="269"/>
    <s v="Not fully evolved"/>
    <x v="2"/>
  </r>
  <r>
    <n v="695"/>
    <s v="CRAWDAUNT"/>
    <m/>
    <x v="13"/>
    <x v="10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m/>
    <m/>
    <m/>
    <m/>
    <n v="1"/>
    <n v="1"/>
    <n v="1"/>
    <m/>
    <m/>
    <n v="1"/>
    <n v="1"/>
    <m/>
    <m/>
    <m/>
    <m/>
    <m/>
    <m/>
    <m/>
    <m/>
    <m/>
    <n v="1"/>
    <m/>
    <m/>
    <m/>
    <n v="1"/>
    <n v="1"/>
    <m/>
    <m/>
    <m/>
    <m/>
    <m/>
    <m/>
    <m/>
    <m/>
    <m/>
    <m/>
    <m/>
    <m/>
    <m/>
    <m/>
    <m/>
    <m/>
    <x v="269"/>
    <m/>
    <x v="2"/>
  </r>
  <r>
    <n v="696"/>
    <s v="CARNIVINE"/>
    <m/>
    <x v="9"/>
    <x v="21"/>
    <s v="x"/>
    <s v="x"/>
    <s v="x"/>
    <s v="x"/>
    <s v="x"/>
    <s v="x"/>
    <s v="x"/>
    <s v="x"/>
    <s v="x"/>
    <s v="x"/>
    <s v="n/a"/>
    <s v="n/a"/>
    <s v="n/a"/>
    <s v="n/a"/>
    <s v="n/a"/>
    <s v="n/a"/>
    <s v="n/a"/>
    <s v="n/a"/>
    <s v="Plates of Arceus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1"/>
    <m/>
    <m/>
    <m/>
    <m/>
    <m/>
    <x v="270"/>
    <m/>
    <x v="5"/>
  </r>
  <r>
    <n v="697"/>
    <s v="ANORITH"/>
    <m/>
    <x v="5"/>
    <x v="3"/>
    <s v="x"/>
    <s v="x"/>
    <m/>
    <s v="x"/>
    <s v="x"/>
    <s v="x"/>
    <m/>
    <s v="x"/>
    <s v="x"/>
    <s v="x"/>
    <s v="-60/0/0"/>
    <s v="n/a"/>
    <s v="n/a"/>
    <s v="n/a"/>
    <s v="n/a"/>
    <s v="n/a"/>
    <s v="n/a"/>
    <s v="n/a"/>
    <s v="Jos"/>
    <m/>
    <m/>
    <m/>
    <n v="1"/>
    <n v="1"/>
    <n v="1"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x v="271"/>
    <s v="Not fully evolved"/>
    <x v="3"/>
  </r>
  <r>
    <n v="698"/>
    <s v="ARMALDO"/>
    <m/>
    <x v="5"/>
    <x v="3"/>
    <s v="x"/>
    <s v="x"/>
    <s v="x"/>
    <s v="x"/>
    <s v="x"/>
    <s v="x"/>
    <m/>
    <s v="n/a"/>
    <s v="x"/>
    <s v="x"/>
    <s v="-60/0/0"/>
    <s v="n/a"/>
    <s v="n/a"/>
    <s v="n/a"/>
    <s v="n/a"/>
    <s v="n/a"/>
    <s v="n/a"/>
    <s v="n/a"/>
    <s v="Jos"/>
    <m/>
    <m/>
    <m/>
    <n v="1"/>
    <n v="1"/>
    <n v="1"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n v="2"/>
    <m/>
    <m/>
    <m/>
    <m/>
    <m/>
    <x v="271"/>
    <m/>
    <x v="3"/>
  </r>
  <r>
    <n v="699"/>
    <s v="BAGON"/>
    <m/>
    <x v="0"/>
    <x v="0"/>
    <s v="x"/>
    <s v="x"/>
    <m/>
    <s v="x"/>
    <s v="x"/>
    <s v="x"/>
    <m/>
    <s v="x"/>
    <s v="x"/>
    <s v="x"/>
    <s v="-85/0/0"/>
    <s v="n/a"/>
    <s v="n/a"/>
    <s v="n/a"/>
    <s v="n/a"/>
    <s v="n/a"/>
    <s v="n/a"/>
    <s v="n/a"/>
    <s v="A11/Jos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x v="0"/>
    <s v="Not fully evolved"/>
    <x v="3"/>
  </r>
  <r>
    <n v="700"/>
    <s v="SHELGON"/>
    <m/>
    <x v="0"/>
    <x v="0"/>
    <s v="x"/>
    <s v="x"/>
    <m/>
    <s v="x"/>
    <s v="x"/>
    <s v="x"/>
    <m/>
    <s v="n/a"/>
    <s v="x"/>
    <s v="x"/>
    <s v="-85/0/0"/>
    <s v="n/a"/>
    <s v="n/a"/>
    <s v="n/a"/>
    <s v="n/a"/>
    <s v="n/a"/>
    <s v="n/a"/>
    <s v="n/a"/>
    <s v="A11/Jos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x v="0"/>
    <s v="Not fully evolved"/>
    <x v="3"/>
  </r>
  <r>
    <n v="701"/>
    <s v="SALAMENCE"/>
    <m/>
    <x v="0"/>
    <x v="0"/>
    <s v="x"/>
    <s v="x"/>
    <s v="x"/>
    <s v="x"/>
    <s v="x"/>
    <s v="x"/>
    <m/>
    <s v="n/a"/>
    <s v="x"/>
    <s v="x"/>
    <s v="-85/0/0"/>
    <s v="x"/>
    <s v="x"/>
    <s v="x"/>
    <s v="x"/>
    <s v="x"/>
    <s v="x"/>
    <s v="x"/>
    <s v="A11/Jos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n v="28"/>
    <n v="7"/>
    <n v="1"/>
    <m/>
    <m/>
    <m/>
    <x v="0"/>
    <m/>
    <x v="3"/>
  </r>
  <r>
    <n v="702"/>
    <s v="MUNCHLAX"/>
    <m/>
    <x v="2"/>
    <x v="1"/>
    <s v="x"/>
    <s v="x"/>
    <m/>
    <s v="x"/>
    <s v="x"/>
    <s v="x"/>
    <s v="x"/>
    <s v="x"/>
    <s v="x"/>
    <s v="x"/>
    <s v="180/0/0"/>
    <s v="n/a"/>
    <s v="n/a"/>
    <s v="n/a"/>
    <s v="n/a"/>
    <s v="n/a"/>
    <s v="n/a"/>
    <s v="n/a"/>
    <s v="Scotsman33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272"/>
    <s v="Not fully evolved"/>
    <x v="2"/>
  </r>
  <r>
    <n v="703"/>
    <s v="SNORLAX"/>
    <m/>
    <x v="2"/>
    <x v="1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Scotsman33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11"/>
    <m/>
    <m/>
    <m/>
    <m/>
    <m/>
    <x v="272"/>
    <m/>
    <x v="0"/>
  </r>
  <r>
    <n v="704"/>
    <s v="LARVESTA2"/>
    <m/>
    <x v="3"/>
    <x v="21"/>
    <s v="x"/>
    <s v="x"/>
    <m/>
    <s v="x"/>
    <s v="x"/>
    <s v="x"/>
    <s v="x"/>
    <s v="x"/>
    <s v="x"/>
    <s v="x"/>
    <s v="Custom - Ace"/>
    <s v="n/a"/>
    <s v="n/a"/>
    <s v="n/a"/>
    <s v="n/a"/>
    <s v="n/a"/>
    <s v="n/a"/>
    <s v="n/a"/>
    <s v="Badman / RedEmber513 (Icon)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273"/>
    <s v="Not fully evolved"/>
    <x v="1"/>
  </r>
  <r>
    <n v="705"/>
    <s v="VOLCARONA2"/>
    <m/>
    <x v="3"/>
    <x v="21"/>
    <s v="x"/>
    <s v="x"/>
    <s v="x"/>
    <s v="x"/>
    <s v="x"/>
    <s v="x"/>
    <m/>
    <s v="n/a"/>
    <s v="x"/>
    <s v="x"/>
    <s v="Custom - Ace"/>
    <s v="n/a"/>
    <s v="n/a"/>
    <s v="n/a"/>
    <s v="n/a"/>
    <s v="n/a"/>
    <s v="n/a"/>
    <s v="n/a"/>
    <s v="Badman / RedEmber513 (Icon)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25"/>
    <n v="4"/>
    <m/>
    <m/>
    <m/>
    <m/>
    <x v="273"/>
    <m/>
    <x v="1"/>
  </r>
  <r>
    <n v="706"/>
    <s v="TEPIG"/>
    <m/>
    <x v="4"/>
    <x v="3"/>
    <s v="x"/>
    <s v="x"/>
    <m/>
    <s v="x"/>
    <s v="x"/>
    <s v="x"/>
    <s v="Need"/>
    <s v="x"/>
    <s v="x"/>
    <s v="x"/>
    <s v="Custom - Zeta"/>
    <s v="n/a"/>
    <s v="n/a"/>
    <s v="n/a"/>
    <s v="n/a"/>
    <s v="n/a"/>
    <s v="n/a"/>
    <s v="n/a"/>
    <s v="Plates of Arceus/Zeta"/>
    <m/>
    <m/>
    <m/>
    <m/>
    <m/>
    <n v="1"/>
    <m/>
    <m/>
    <m/>
    <m/>
    <m/>
    <m/>
    <m/>
    <m/>
    <m/>
    <m/>
    <m/>
    <n v="1"/>
    <m/>
    <m/>
    <m/>
    <m/>
    <m/>
    <n v="1"/>
    <m/>
    <n v="1"/>
    <n v="1"/>
    <n v="1"/>
    <m/>
    <m/>
    <m/>
    <m/>
    <m/>
    <m/>
    <m/>
    <m/>
    <m/>
    <m/>
    <m/>
    <m/>
    <m/>
    <m/>
    <m/>
    <x v="50"/>
    <s v="Not fully evolved"/>
    <x v="3"/>
  </r>
  <r>
    <n v="707"/>
    <s v="PIGNITE"/>
    <m/>
    <x v="4"/>
    <x v="3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Plates of Arceus/Zeta"/>
    <m/>
    <m/>
    <m/>
    <m/>
    <m/>
    <n v="1"/>
    <m/>
    <m/>
    <m/>
    <m/>
    <m/>
    <m/>
    <m/>
    <m/>
    <m/>
    <m/>
    <m/>
    <n v="1"/>
    <m/>
    <m/>
    <m/>
    <m/>
    <m/>
    <n v="1"/>
    <m/>
    <n v="1"/>
    <n v="1"/>
    <n v="1"/>
    <m/>
    <m/>
    <m/>
    <m/>
    <m/>
    <m/>
    <m/>
    <m/>
    <m/>
    <m/>
    <m/>
    <m/>
    <m/>
    <m/>
    <m/>
    <x v="50"/>
    <s v="Not fully evolved"/>
    <x v="3"/>
  </r>
  <r>
    <n v="708"/>
    <s v="EMBOAR"/>
    <m/>
    <x v="4"/>
    <x v="3"/>
    <s v="x"/>
    <s v="x"/>
    <s v="x"/>
    <s v="x"/>
    <s v="x"/>
    <s v="x"/>
    <m/>
    <s v="n/a"/>
    <s v="x"/>
    <s v="x"/>
    <s v="Custom - Zeta"/>
    <s v="Need"/>
    <s v="Need"/>
    <s v="n/a"/>
    <s v="Need"/>
    <s v="Need"/>
    <s v="Need"/>
    <s v="Need"/>
    <s v="Plates of Arceus/Zeta"/>
    <m/>
    <m/>
    <m/>
    <m/>
    <m/>
    <n v="1"/>
    <m/>
    <m/>
    <m/>
    <m/>
    <m/>
    <m/>
    <m/>
    <m/>
    <m/>
    <m/>
    <m/>
    <n v="1"/>
    <m/>
    <m/>
    <m/>
    <m/>
    <m/>
    <n v="1"/>
    <m/>
    <n v="1"/>
    <n v="1"/>
    <n v="1"/>
    <m/>
    <m/>
    <m/>
    <m/>
    <m/>
    <m/>
    <m/>
    <m/>
    <m/>
    <n v="3"/>
    <n v="1"/>
    <n v="1"/>
    <m/>
    <m/>
    <m/>
    <x v="50"/>
    <m/>
    <x v="3"/>
  </r>
  <r>
    <n v="709"/>
    <s v="SNEASEL"/>
    <m/>
    <x v="10"/>
    <x v="9"/>
    <s v="x"/>
    <s v="x"/>
    <m/>
    <s v="x"/>
    <s v="x"/>
    <s v="x"/>
    <s v="x"/>
    <s v="x"/>
    <s v="x"/>
    <s v="x"/>
    <s v="-55/0/0"/>
    <s v="n/a"/>
    <s v="n/a"/>
    <s v="n/a"/>
    <s v="n/a"/>
    <s v="n/a"/>
    <s v="n/a"/>
    <s v="n/a"/>
    <s v="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63"/>
    <s v="Not fully evolved"/>
    <x v="1"/>
  </r>
  <r>
    <n v="710"/>
    <s v="WEAVILE"/>
    <m/>
    <x v="10"/>
    <x v="9"/>
    <s v="x"/>
    <s v="x"/>
    <s v="x"/>
    <s v="x"/>
    <s v="x"/>
    <s v="x"/>
    <m/>
    <s v="n/a"/>
    <s v="x"/>
    <s v="x"/>
    <s v="-55/0/0"/>
    <s v="n/a"/>
    <s v="n/a"/>
    <s v="n/a"/>
    <s v="n/a"/>
    <s v="n/a"/>
    <s v="n/a"/>
    <s v="n/a"/>
    <s v="RBRNNova / Eeveelution Reborn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11"/>
    <m/>
    <m/>
    <m/>
    <m/>
    <m/>
    <x v="163"/>
    <m/>
    <x v="1"/>
  </r>
  <r>
    <n v="711"/>
    <s v="MILCERY"/>
    <m/>
    <x v="5"/>
    <x v="3"/>
    <s v="x"/>
    <s v="x"/>
    <m/>
    <s v="x"/>
    <s v="x"/>
    <s v="x"/>
    <m/>
    <s v="x"/>
    <s v="x"/>
    <s v="x"/>
    <s v="45/10/-5"/>
    <s v="n/a"/>
    <s v="n/a"/>
    <s v="n/a"/>
    <s v="n/a"/>
    <s v="n/a"/>
    <s v="n/a"/>
    <s v="n/a"/>
    <s v="Jos"/>
    <m/>
    <m/>
    <m/>
    <m/>
    <m/>
    <m/>
    <m/>
    <m/>
    <m/>
    <m/>
    <n v="1"/>
    <m/>
    <m/>
    <m/>
    <m/>
    <m/>
    <m/>
    <m/>
    <m/>
    <m/>
    <m/>
    <n v="1"/>
    <m/>
    <n v="1"/>
    <n v="1"/>
    <m/>
    <n v="1"/>
    <n v="1"/>
    <m/>
    <m/>
    <m/>
    <m/>
    <m/>
    <m/>
    <m/>
    <m/>
    <m/>
    <m/>
    <m/>
    <m/>
    <m/>
    <m/>
    <m/>
    <x v="271"/>
    <s v="Not fully evolved"/>
    <x v="1"/>
  </r>
  <r>
    <n v="712"/>
    <s v="ALCREMIE"/>
    <m/>
    <x v="5"/>
    <x v="3"/>
    <s v="x"/>
    <s v="x"/>
    <s v="x"/>
    <s v="x"/>
    <s v="x"/>
    <s v="x"/>
    <s v="x"/>
    <s v="n/a"/>
    <s v="x"/>
    <s v="x"/>
    <s v="45/10/-5"/>
    <s v="n/a"/>
    <s v="n/a"/>
    <s v="n/a"/>
    <s v="n/a"/>
    <s v="n/a"/>
    <s v="n/a"/>
    <s v="n/a"/>
    <s v="Jos"/>
    <m/>
    <m/>
    <m/>
    <m/>
    <m/>
    <m/>
    <m/>
    <m/>
    <m/>
    <m/>
    <n v="1"/>
    <m/>
    <m/>
    <m/>
    <m/>
    <m/>
    <m/>
    <m/>
    <m/>
    <m/>
    <m/>
    <n v="1"/>
    <m/>
    <n v="1"/>
    <n v="1"/>
    <m/>
    <n v="1"/>
    <n v="1"/>
    <m/>
    <m/>
    <m/>
    <m/>
    <m/>
    <m/>
    <m/>
    <m/>
    <m/>
    <n v="8"/>
    <n v="3"/>
    <m/>
    <m/>
    <m/>
    <m/>
    <x v="271"/>
    <m/>
    <x v="1"/>
  </r>
  <r>
    <n v="713"/>
    <s v="FRILLISH"/>
    <m/>
    <x v="9"/>
    <x v="0"/>
    <s v="x"/>
    <s v="x"/>
    <m/>
    <s v="x"/>
    <s v="x"/>
    <s v="x"/>
    <m/>
    <s v="x"/>
    <s v="x"/>
    <s v="x"/>
    <s v="70/0/0"/>
    <s v="n/a"/>
    <s v="n/a"/>
    <s v="n/a"/>
    <s v="n/a"/>
    <s v="n/a"/>
    <s v="n/a"/>
    <s v="n/a"/>
    <s v="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16"/>
    <s v="Not fully evolved"/>
    <x v="1"/>
  </r>
  <r>
    <n v="714"/>
    <s v="JELLICENT"/>
    <m/>
    <x v="9"/>
    <x v="0"/>
    <s v="x"/>
    <s v="x"/>
    <s v="x"/>
    <s v="x"/>
    <s v="x"/>
    <s v="x"/>
    <m/>
    <s v="n/a"/>
    <s v="x"/>
    <s v="x"/>
    <s v="70/0/0"/>
    <s v="n/a"/>
    <s v="n/a"/>
    <s v="n/a"/>
    <s v="n/a"/>
    <s v="n/a"/>
    <s v="n/a"/>
    <s v="n/a"/>
    <s v="Jos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6"/>
    <n v="1"/>
    <m/>
    <m/>
    <m/>
    <m/>
    <x v="16"/>
    <m/>
    <x v="1"/>
  </r>
  <r>
    <n v="715"/>
    <s v="CLOBBOPUS"/>
    <m/>
    <x v="1"/>
    <x v="14"/>
    <s v="x"/>
    <s v="x"/>
    <m/>
    <s v="x"/>
    <s v="x"/>
    <s v="x"/>
    <s v="x"/>
    <s v="x"/>
    <s v="x"/>
    <s v="x"/>
    <s v="120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41"/>
    <s v="Not fully evolved"/>
    <x v="1"/>
  </r>
  <r>
    <n v="716"/>
    <s v="GRAPPLOCT"/>
    <m/>
    <x v="1"/>
    <x v="14"/>
    <s v="x"/>
    <s v="x"/>
    <s v="x"/>
    <s v="x"/>
    <s v="x"/>
    <s v="x"/>
    <s v="x"/>
    <s v="n/a"/>
    <s v="x"/>
    <s v="x"/>
    <s v="120/0/0"/>
    <s v="x"/>
    <s v="x"/>
    <s v="x"/>
    <s v="x"/>
    <s v="x"/>
    <s v="x"/>
    <s v="x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3"/>
    <n v="1"/>
    <m/>
    <m/>
    <m/>
    <m/>
    <x v="241"/>
    <m/>
    <x v="1"/>
  </r>
  <r>
    <n v="717"/>
    <s v="NOSEPASS2"/>
    <m/>
    <x v="7"/>
    <x v="4"/>
    <s v="x"/>
    <s v="x"/>
    <m/>
    <s v="x"/>
    <s v="x"/>
    <s v="x"/>
    <m/>
    <s v="x"/>
    <s v="x"/>
    <s v="x"/>
    <s v="-18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194"/>
    <s v="Not fully evolved"/>
    <x v="1"/>
  </r>
  <r>
    <n v="718"/>
    <s v="PROBOPASS2"/>
    <m/>
    <x v="7"/>
    <x v="4"/>
    <s v="x"/>
    <s v="x"/>
    <s v="x"/>
    <s v="x"/>
    <s v="x"/>
    <s v="x"/>
    <m/>
    <s v="n/a"/>
    <s v="x"/>
    <s v="x"/>
    <s v="-18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194"/>
    <m/>
    <x v="1"/>
  </r>
  <r>
    <n v="719"/>
    <s v="CUFANT"/>
    <m/>
    <x v="4"/>
    <x v="1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 / RBRNNova"/>
    <m/>
    <m/>
    <m/>
    <n v="1"/>
    <n v="1"/>
    <m/>
    <n v="1"/>
    <m/>
    <m/>
    <m/>
    <n v="1"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x v="83"/>
    <s v="Not fully evolved"/>
    <x v="1"/>
  </r>
  <r>
    <n v="720"/>
    <s v="COPPERAJAH"/>
    <m/>
    <x v="4"/>
    <x v="1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 / RBRNNova"/>
    <m/>
    <m/>
    <m/>
    <n v="1"/>
    <n v="1"/>
    <m/>
    <n v="1"/>
    <m/>
    <m/>
    <m/>
    <n v="1"/>
    <m/>
    <m/>
    <m/>
    <m/>
    <m/>
    <m/>
    <m/>
    <m/>
    <m/>
    <m/>
    <m/>
    <m/>
    <m/>
    <m/>
    <n v="1"/>
    <n v="1"/>
    <n v="1"/>
    <m/>
    <m/>
    <m/>
    <m/>
    <m/>
    <m/>
    <m/>
    <m/>
    <m/>
    <n v="4"/>
    <m/>
    <n v="1"/>
    <m/>
    <m/>
    <m/>
    <x v="83"/>
    <m/>
    <x v="1"/>
  </r>
  <r>
    <n v="721"/>
    <s v="BLITZLE"/>
    <m/>
    <x v="15"/>
    <x v="19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Jos"/>
    <m/>
    <n v="1"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74"/>
    <s v="Not fully evolved"/>
    <x v="1"/>
  </r>
  <r>
    <n v="722"/>
    <s v="ZEBSTRIKA"/>
    <m/>
    <x v="15"/>
    <x v="19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Jos"/>
    <m/>
    <n v="1"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n v="2"/>
    <n v="2"/>
    <m/>
    <m/>
    <m/>
    <m/>
    <x v="274"/>
    <m/>
    <x v="1"/>
  </r>
  <r>
    <n v="723"/>
    <s v="SLAKOTH"/>
    <m/>
    <x v="2"/>
    <x v="20"/>
    <s v="x"/>
    <s v="x"/>
    <m/>
    <s v="x"/>
    <s v="x"/>
    <s v="x"/>
    <s v="Need"/>
    <s v="x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205"/>
    <s v="Not fully evolved"/>
    <x v="1"/>
  </r>
  <r>
    <n v="724"/>
    <s v="VIGOROTH"/>
    <m/>
    <x v="2"/>
    <x v="14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3"/>
    <m/>
    <m/>
    <m/>
    <m/>
    <m/>
    <x v="169"/>
    <s v="Not fully evolved"/>
    <x v="1"/>
  </r>
  <r>
    <n v="725"/>
    <s v="SLAKING"/>
    <m/>
    <x v="2"/>
    <x v="20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n v="5"/>
    <m/>
    <m/>
    <m/>
    <m/>
    <m/>
    <x v="205"/>
    <m/>
    <x v="1"/>
  </r>
  <r>
    <n v="726"/>
    <s v="MILTANK"/>
    <m/>
    <x v="17"/>
    <x v="9"/>
    <s v="x"/>
    <s v="x"/>
    <s v="x"/>
    <s v="x"/>
    <s v="x"/>
    <s v="x"/>
    <m/>
    <s v="x"/>
    <s v="x"/>
    <s v="x"/>
    <s v="-60/0/0"/>
    <s v="n/a"/>
    <s v="n/a"/>
    <s v="n/a"/>
    <s v="n/a"/>
    <s v="n/a"/>
    <s v="n/a"/>
    <s v="n/a"/>
    <s v="Jos"/>
    <m/>
    <n v="1"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n v="1"/>
    <n v="2"/>
    <m/>
    <m/>
    <m/>
    <m/>
    <x v="275"/>
    <m/>
    <x v="1"/>
  </r>
  <r>
    <n v="727"/>
    <s v="HELIOPTILE"/>
    <m/>
    <x v="14"/>
    <x v="3"/>
    <s v="x"/>
    <s v="x"/>
    <m/>
    <s v="x"/>
    <s v="x"/>
    <s v="x"/>
    <s v="n/a"/>
    <s v="x"/>
    <s v="x"/>
    <s v="x"/>
    <s v="Custom"/>
    <s v="n/a"/>
    <s v="n/a"/>
    <s v="n/a"/>
    <s v="n/a"/>
    <s v="n/a"/>
    <s v="n/a"/>
    <s v="n/a"/>
    <s v="Badman/Endless (icon)"/>
    <m/>
    <m/>
    <m/>
    <n v="1"/>
    <n v="1"/>
    <n v="1"/>
    <n v="1"/>
    <n v="1"/>
    <n v="1"/>
    <m/>
    <m/>
    <m/>
    <m/>
    <m/>
    <m/>
    <m/>
    <m/>
    <m/>
    <m/>
    <m/>
    <m/>
    <m/>
    <n v="1"/>
    <m/>
    <m/>
    <n v="1"/>
    <n v="1"/>
    <n v="1"/>
    <m/>
    <m/>
    <m/>
    <m/>
    <m/>
    <m/>
    <m/>
    <m/>
    <m/>
    <m/>
    <m/>
    <m/>
    <m/>
    <m/>
    <m/>
    <x v="101"/>
    <s v="Not fully evolved"/>
    <x v="1"/>
  </r>
  <r>
    <n v="728"/>
    <s v="HELIOLISK"/>
    <m/>
    <x v="14"/>
    <x v="3"/>
    <s v="x"/>
    <s v="x"/>
    <s v="x"/>
    <s v="x"/>
    <s v="x"/>
    <s v="x"/>
    <s v="n/a"/>
    <s v="n/a"/>
    <s v="x"/>
    <s v="x"/>
    <s v="Custom"/>
    <s v="n/a"/>
    <s v="n/a"/>
    <s v="n/a"/>
    <s v="n/a"/>
    <s v="n/a"/>
    <s v="n/a"/>
    <s v="n/a"/>
    <s v="Badman/Endless (icon)"/>
    <m/>
    <m/>
    <m/>
    <n v="1"/>
    <n v="1"/>
    <n v="1"/>
    <n v="1"/>
    <n v="1"/>
    <n v="1"/>
    <m/>
    <m/>
    <m/>
    <m/>
    <m/>
    <m/>
    <m/>
    <m/>
    <m/>
    <m/>
    <m/>
    <m/>
    <m/>
    <n v="1"/>
    <m/>
    <m/>
    <n v="1"/>
    <n v="1"/>
    <n v="1"/>
    <m/>
    <m/>
    <m/>
    <m/>
    <m/>
    <m/>
    <m/>
    <m/>
    <m/>
    <n v="3"/>
    <n v="1"/>
    <m/>
    <m/>
    <m/>
    <m/>
    <x v="101"/>
    <m/>
    <x v="1"/>
  </r>
  <r>
    <n v="729"/>
    <s v="HATENNA"/>
    <m/>
    <x v="16"/>
    <x v="18"/>
    <s v="x"/>
    <s v="x"/>
    <m/>
    <s v="x"/>
    <s v="x"/>
    <s v="x"/>
    <m/>
    <s v="x"/>
    <s v="x"/>
    <s v="x"/>
    <s v="-35/0/0"/>
    <s v="n/a"/>
    <s v="n/a"/>
    <s v="n/a"/>
    <s v="n/a"/>
    <s v="n/a"/>
    <s v="n/a"/>
    <s v="n/a"/>
    <s v="Jos"/>
    <m/>
    <m/>
    <m/>
    <n v="1"/>
    <m/>
    <n v="1"/>
    <m/>
    <n v="1"/>
    <n v="1"/>
    <n v="1"/>
    <m/>
    <m/>
    <m/>
    <m/>
    <m/>
    <m/>
    <m/>
    <m/>
    <m/>
    <m/>
    <m/>
    <m/>
    <n v="1"/>
    <m/>
    <m/>
    <m/>
    <n v="1"/>
    <n v="1"/>
    <m/>
    <m/>
    <m/>
    <m/>
    <m/>
    <m/>
    <m/>
    <m/>
    <m/>
    <m/>
    <m/>
    <m/>
    <m/>
    <m/>
    <m/>
    <x v="164"/>
    <s v="Not fully evolved"/>
    <x v="1"/>
  </r>
  <r>
    <n v="730"/>
    <s v="HATTREM"/>
    <m/>
    <x v="16"/>
    <x v="18"/>
    <s v="x"/>
    <s v="x"/>
    <m/>
    <s v="x"/>
    <s v="x"/>
    <s v="x"/>
    <m/>
    <s v="n/a"/>
    <s v="x"/>
    <s v="x"/>
    <s v="-35/0/0"/>
    <s v="n/a"/>
    <s v="n/a"/>
    <s v="n/a"/>
    <s v="n/a"/>
    <s v="n/a"/>
    <s v="n/a"/>
    <s v="n/a"/>
    <s v="Jos"/>
    <m/>
    <m/>
    <m/>
    <n v="1"/>
    <m/>
    <n v="1"/>
    <m/>
    <n v="1"/>
    <n v="1"/>
    <n v="1"/>
    <m/>
    <m/>
    <m/>
    <m/>
    <m/>
    <m/>
    <m/>
    <m/>
    <m/>
    <m/>
    <m/>
    <m/>
    <n v="1"/>
    <m/>
    <m/>
    <m/>
    <n v="1"/>
    <n v="1"/>
    <m/>
    <m/>
    <m/>
    <m/>
    <m/>
    <m/>
    <m/>
    <m/>
    <m/>
    <m/>
    <m/>
    <m/>
    <m/>
    <m/>
    <m/>
    <x v="164"/>
    <s v="Not fully evolved"/>
    <x v="1"/>
  </r>
  <r>
    <n v="731"/>
    <s v="HATTERENE"/>
    <m/>
    <x v="16"/>
    <x v="18"/>
    <s v="x"/>
    <s v="x"/>
    <s v="x"/>
    <s v="x"/>
    <s v="x"/>
    <s v="x"/>
    <m/>
    <s v="n/a"/>
    <s v="x"/>
    <s v="x"/>
    <s v="-35/0/0"/>
    <s v="x"/>
    <s v="x"/>
    <s v="x"/>
    <s v="x"/>
    <s v="x"/>
    <s v="x"/>
    <s v="x"/>
    <s v="Jos"/>
    <m/>
    <m/>
    <m/>
    <n v="1"/>
    <m/>
    <n v="1"/>
    <m/>
    <n v="1"/>
    <n v="1"/>
    <n v="1"/>
    <m/>
    <m/>
    <m/>
    <m/>
    <m/>
    <m/>
    <m/>
    <m/>
    <m/>
    <m/>
    <m/>
    <m/>
    <n v="1"/>
    <m/>
    <m/>
    <m/>
    <n v="1"/>
    <n v="1"/>
    <m/>
    <m/>
    <m/>
    <m/>
    <m/>
    <m/>
    <m/>
    <m/>
    <m/>
    <n v="1"/>
    <n v="1"/>
    <m/>
    <m/>
    <m/>
    <m/>
    <x v="164"/>
    <m/>
    <x v="1"/>
  </r>
  <r>
    <n v="732"/>
    <s v="SWINUB2"/>
    <m/>
    <x v="9"/>
    <x v="15"/>
    <s v="x"/>
    <s v="x"/>
    <m/>
    <s v="x"/>
    <s v="x"/>
    <s v="x"/>
    <m/>
    <s v="x"/>
    <s v="x"/>
    <s v="x"/>
    <s v="-75/0/0"/>
    <s v="n/a"/>
    <s v="n/a"/>
    <s v="n/a"/>
    <s v="n/a"/>
    <s v="n/a"/>
    <s v="n/a"/>
    <s v="n/a"/>
    <s v="kfweagz / Jos"/>
    <m/>
    <m/>
    <m/>
    <n v="1"/>
    <n v="1"/>
    <n v="1"/>
    <m/>
    <m/>
    <m/>
    <m/>
    <m/>
    <n v="1"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68"/>
    <s v="Not fully evolved"/>
    <x v="1"/>
  </r>
  <r>
    <n v="733"/>
    <s v="PILOSWINE2"/>
    <m/>
    <x v="9"/>
    <x v="15"/>
    <s v="x"/>
    <s v="x"/>
    <m/>
    <s v="x"/>
    <s v="x"/>
    <s v="x"/>
    <m/>
    <s v="n/a"/>
    <s v="x"/>
    <s v="x"/>
    <s v="-75/0/0"/>
    <s v="n/a"/>
    <s v="n/a"/>
    <s v="n/a"/>
    <s v="n/a"/>
    <s v="n/a"/>
    <s v="n/a"/>
    <s v="n/a"/>
    <s v="kfweagz / Jos"/>
    <m/>
    <m/>
    <m/>
    <n v="1"/>
    <n v="1"/>
    <n v="1"/>
    <m/>
    <m/>
    <m/>
    <m/>
    <m/>
    <n v="1"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68"/>
    <s v="Not fully evolved"/>
    <x v="1"/>
  </r>
  <r>
    <n v="734"/>
    <s v="MAMOSWINE2"/>
    <m/>
    <x v="9"/>
    <x v="15"/>
    <s v="x"/>
    <s v="x"/>
    <s v="x"/>
    <s v="x"/>
    <s v="x"/>
    <s v="x"/>
    <m/>
    <s v="x"/>
    <s v="x"/>
    <s v="x"/>
    <s v="-75/0/0"/>
    <s v="n/a"/>
    <s v="n/a"/>
    <s v="n/a"/>
    <s v="n/a"/>
    <s v="n/a"/>
    <s v="n/a"/>
    <s v="n/a"/>
    <s v="kfweagz / Jos"/>
    <m/>
    <m/>
    <m/>
    <n v="1"/>
    <n v="1"/>
    <n v="1"/>
    <m/>
    <m/>
    <m/>
    <m/>
    <m/>
    <n v="1"/>
    <m/>
    <m/>
    <m/>
    <m/>
    <m/>
    <m/>
    <m/>
    <m/>
    <m/>
    <m/>
    <m/>
    <m/>
    <m/>
    <m/>
    <m/>
    <n v="1"/>
    <m/>
    <m/>
    <m/>
    <m/>
    <m/>
    <m/>
    <m/>
    <m/>
    <m/>
    <n v="4"/>
    <n v="2"/>
    <m/>
    <m/>
    <m/>
    <m/>
    <x v="68"/>
    <m/>
    <x v="1"/>
  </r>
  <r>
    <n v="735"/>
    <s v="CHINGLING"/>
    <m/>
    <x v="7"/>
    <x v="5"/>
    <s v="x"/>
    <s v="x"/>
    <m/>
    <s v="x"/>
    <s v="x"/>
    <s v="x"/>
    <m/>
    <s v="x"/>
    <s v="x"/>
    <s v="x"/>
    <s v="-85/15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28"/>
    <s v="Not fully evolved"/>
    <x v="1"/>
  </r>
  <r>
    <n v="736"/>
    <s v="CHIMECHO"/>
    <m/>
    <x v="7"/>
    <x v="5"/>
    <s v="x"/>
    <s v="x"/>
    <s v="x"/>
    <s v="x"/>
    <s v="x"/>
    <s v="x"/>
    <s v="Need"/>
    <s v="n/a"/>
    <s v="x"/>
    <s v="x"/>
    <s v="-85/15/0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3"/>
    <m/>
    <m/>
    <m/>
    <m/>
    <m/>
    <x v="228"/>
    <m/>
    <x v="1"/>
  </r>
  <r>
    <n v="737"/>
    <s v="MAGNEMITE2"/>
    <m/>
    <x v="13"/>
    <x v="1"/>
    <s v="x"/>
    <s v="x"/>
    <m/>
    <s v="x"/>
    <s v="x"/>
    <s v="x"/>
    <m/>
    <s v="x"/>
    <s v="x"/>
    <s v="x"/>
    <s v="Custom - Badman"/>
    <s v="n/a"/>
    <s v="n/a"/>
    <s v="n/a"/>
    <s v="n/a"/>
    <s v="n/a"/>
    <s v="n/a"/>
    <s v="n/a"/>
    <s v="Badman"/>
    <m/>
    <m/>
    <m/>
    <m/>
    <m/>
    <n v="1"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m/>
    <m/>
    <m/>
    <x v="234"/>
    <s v="Not fully evolved"/>
    <x v="0"/>
  </r>
  <r>
    <n v="738"/>
    <s v="MAGNETON2"/>
    <m/>
    <x v="13"/>
    <x v="1"/>
    <s v="x"/>
    <s v="x"/>
    <m/>
    <s v="x"/>
    <s v="x"/>
    <s v="x"/>
    <s v="x"/>
    <s v="n/a"/>
    <s v="x"/>
    <s v="x"/>
    <s v="Custom - Badman"/>
    <s v="n/a"/>
    <s v="n/a"/>
    <s v="n/a"/>
    <s v="n/a"/>
    <s v="n/a"/>
    <s v="n/a"/>
    <s v="n/a"/>
    <s v="Badman"/>
    <m/>
    <m/>
    <m/>
    <m/>
    <m/>
    <n v="1"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m/>
    <m/>
    <m/>
    <x v="234"/>
    <s v="Not fully evolved"/>
    <x v="0"/>
  </r>
  <r>
    <n v="739"/>
    <s v="MAGNEZONE2"/>
    <m/>
    <x v="13"/>
    <x v="1"/>
    <s v="x"/>
    <s v="x"/>
    <s v="x"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n v="1"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n v="4"/>
    <n v="1"/>
    <n v="1"/>
    <m/>
    <m/>
    <m/>
    <x v="234"/>
    <m/>
    <x v="0"/>
  </r>
  <r>
    <n v="740"/>
    <s v="IMPIDIMP2"/>
    <m/>
    <x v="0"/>
    <x v="10"/>
    <s v="x"/>
    <s v="x"/>
    <m/>
    <s v="x"/>
    <s v="x"/>
    <s v="x"/>
    <s v="x"/>
    <s v="x"/>
    <s v="x"/>
    <s v="x"/>
    <s v="-7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x v="70"/>
    <s v="Not fully evolved"/>
    <x v="0"/>
  </r>
  <r>
    <n v="741"/>
    <s v="MORGREM2"/>
    <m/>
    <x v="0"/>
    <x v="10"/>
    <s v="x"/>
    <s v="x"/>
    <m/>
    <s v="x"/>
    <s v="x"/>
    <s v="x"/>
    <s v="x"/>
    <s v="n/a"/>
    <s v="x"/>
    <s v="x"/>
    <s v="-7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x v="70"/>
    <s v="Not fully evolved"/>
    <x v="0"/>
  </r>
  <r>
    <n v="742"/>
    <s v="GRIMMSNARL2"/>
    <m/>
    <x v="0"/>
    <x v="10"/>
    <s v="x"/>
    <s v="x"/>
    <s v="x"/>
    <s v="x"/>
    <s v="x"/>
    <s v="x"/>
    <s v="x"/>
    <s v="n/a"/>
    <s v="x"/>
    <s v="x"/>
    <s v="-70/0/0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n v="7"/>
    <n v="4"/>
    <m/>
    <m/>
    <m/>
    <m/>
    <x v="70"/>
    <m/>
    <x v="0"/>
  </r>
  <r>
    <n v="743"/>
    <s v="DEDENNE"/>
    <m/>
    <x v="20"/>
    <x v="12"/>
    <s v="x"/>
    <s v="x"/>
    <s v="x"/>
    <s v="x"/>
    <s v="x"/>
    <s v="x"/>
    <m/>
    <s v="x"/>
    <s v="x"/>
    <s v="x"/>
    <s v="-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"/>
    <n v="1"/>
    <m/>
    <m/>
    <m/>
    <m/>
    <x v="276"/>
    <m/>
    <x v="1"/>
  </r>
  <r>
    <n v="744"/>
    <s v="BUDEW2"/>
    <m/>
    <x v="9"/>
    <x v="17"/>
    <s v="x"/>
    <s v="x"/>
    <m/>
    <s v="x"/>
    <s v="x"/>
    <s v="x"/>
    <s v="n/a"/>
    <s v="x"/>
    <s v="x"/>
    <s v="x"/>
    <s v="-180/0/0"/>
    <s v="n/a"/>
    <s v="n/a"/>
    <s v="n/a"/>
    <s v="n/a"/>
    <s v="n/a"/>
    <s v="n/a"/>
    <s v="n/a"/>
    <s v="Arcadian Gekkouga#8920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77"/>
    <s v="Not fully evolved"/>
    <x v="0"/>
  </r>
  <r>
    <n v="745"/>
    <s v="ROSELIA2"/>
    <m/>
    <x v="9"/>
    <x v="17"/>
    <s v="x"/>
    <s v="x"/>
    <m/>
    <s v="x"/>
    <s v="x"/>
    <s v="x"/>
    <s v="n/a"/>
    <s v="x"/>
    <s v="x"/>
    <s v="x"/>
    <s v="-180/0/0"/>
    <s v="n/a"/>
    <s v="n/a"/>
    <s v="n/a"/>
    <s v="n/a"/>
    <s v="n/a"/>
    <s v="n/a"/>
    <s v="n/a"/>
    <s v="Arcadian Gekkouga#8920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77"/>
    <s v="Not fully evolved"/>
    <x v="0"/>
  </r>
  <r>
    <n v="746"/>
    <s v="ROSERADE2"/>
    <m/>
    <x v="9"/>
    <x v="17"/>
    <s v="x"/>
    <s v="x"/>
    <s v="x"/>
    <s v="x"/>
    <s v="x"/>
    <s v="x"/>
    <s v="n/a"/>
    <s v="n/a"/>
    <s v="x"/>
    <s v="x"/>
    <s v="-180/0/0"/>
    <s v="n/a"/>
    <s v="n/a"/>
    <s v="n/a"/>
    <s v="n/a"/>
    <s v="n/a"/>
    <s v="n/a"/>
    <s v="n/a"/>
    <s v="Arcadian Gekkouga#8920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2"/>
    <n v="1"/>
    <m/>
    <m/>
    <m/>
    <m/>
    <x v="277"/>
    <m/>
    <x v="0"/>
  </r>
  <r>
    <n v="747"/>
    <s v="LOTAD"/>
    <m/>
    <x v="9"/>
    <x v="15"/>
    <s v="x"/>
    <s v="x"/>
    <m/>
    <s v="x"/>
    <s v="x"/>
    <s v="x"/>
    <s v="n/a"/>
    <s v="x"/>
    <s v="x"/>
    <s v="x"/>
    <s v="-40/0/0"/>
    <s v="n/a"/>
    <s v="n/a"/>
    <s v="n/a"/>
    <s v="n/a"/>
    <s v="n/a"/>
    <s v="n/a"/>
    <s v="n/a"/>
    <s v="Jos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68"/>
    <s v="Not fully evolved"/>
    <x v="0"/>
  </r>
  <r>
    <n v="748"/>
    <s v="LOMBRE"/>
    <m/>
    <x v="9"/>
    <x v="15"/>
    <s v="x"/>
    <s v="x"/>
    <m/>
    <s v="x"/>
    <s v="x"/>
    <s v="x"/>
    <s v="n/a"/>
    <s v="x"/>
    <s v="x"/>
    <s v="x"/>
    <s v="-40/0/0"/>
    <s v="n/a"/>
    <s v="n/a"/>
    <s v="n/a"/>
    <s v="n/a"/>
    <s v="n/a"/>
    <s v="n/a"/>
    <s v="n/a"/>
    <s v="Jos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68"/>
    <s v="Not fully evolved"/>
    <x v="0"/>
  </r>
  <r>
    <n v="749"/>
    <s v="LUDICOLO"/>
    <m/>
    <x v="9"/>
    <x v="15"/>
    <s v="x"/>
    <s v="x"/>
    <s v="x"/>
    <s v="x"/>
    <s v="x"/>
    <s v="x"/>
    <s v="n/a"/>
    <s v="n/a"/>
    <s v="x"/>
    <s v="x"/>
    <s v="-40/0/0"/>
    <s v="n/a"/>
    <s v="n/a"/>
    <s v="n/a"/>
    <s v="n/a"/>
    <s v="n/a"/>
    <s v="n/a"/>
    <s v="n/a"/>
    <s v="Jos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2"/>
    <n v="1"/>
    <m/>
    <m/>
    <m/>
    <m/>
    <x v="68"/>
    <m/>
    <x v="0"/>
  </r>
  <r>
    <n v="750"/>
    <s v="WATTREL"/>
    <m/>
    <x v="2"/>
    <x v="3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n v="1"/>
    <n v="1"/>
    <n v="1"/>
    <n v="1"/>
    <m/>
    <n v="1"/>
    <n v="1"/>
    <m/>
    <m/>
    <m/>
    <n v="1"/>
    <m/>
    <m/>
    <m/>
    <m/>
    <m/>
    <m/>
    <m/>
    <m/>
    <m/>
    <m/>
    <m/>
    <m/>
    <m/>
    <m/>
    <m/>
    <m/>
    <m/>
    <x v="6"/>
    <s v="Not fully evolved"/>
    <x v="1"/>
  </r>
  <r>
    <n v="751"/>
    <s v="KILOWATTREL"/>
    <m/>
    <x v="2"/>
    <x v="3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n v="1"/>
    <n v="1"/>
    <n v="1"/>
    <n v="1"/>
    <m/>
    <n v="1"/>
    <n v="1"/>
    <m/>
    <m/>
    <m/>
    <n v="1"/>
    <m/>
    <m/>
    <m/>
    <m/>
    <m/>
    <m/>
    <m/>
    <m/>
    <m/>
    <m/>
    <m/>
    <n v="6"/>
    <n v="1"/>
    <n v="1"/>
    <m/>
    <m/>
    <m/>
    <x v="6"/>
    <m/>
    <x v="1"/>
  </r>
  <r>
    <n v="752"/>
    <s v="WYRDEER"/>
    <m/>
    <x v="2"/>
    <x v="9"/>
    <s v="x"/>
    <s v="x"/>
    <s v="x"/>
    <s v="x"/>
    <s v="x"/>
    <s v="x"/>
    <s v="n/a"/>
    <s v="n/a"/>
    <s v="x"/>
    <s v="x"/>
    <s v="-180/0/0"/>
    <s v="n/a"/>
    <s v="n/a"/>
    <s v="n/a"/>
    <s v="n/a"/>
    <s v="n/a"/>
    <s v="n/a"/>
    <s v="n/a"/>
    <s v="Jos/Boro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n v="1"/>
    <m/>
    <m/>
    <m/>
    <m/>
    <x v="25"/>
    <m/>
    <x v="1"/>
  </r>
  <r>
    <n v="753"/>
    <s v="WYRDEER2"/>
    <m/>
    <x v="7"/>
    <x v="4"/>
    <s v="x"/>
    <s v="x"/>
    <s v="x"/>
    <s v="x"/>
    <s v="x"/>
    <s v="x"/>
    <s v="n/a"/>
    <s v="n/a"/>
    <s v="x"/>
    <s v="x"/>
    <s v="Custom"/>
    <s v="x"/>
    <s v="x"/>
    <s v="x"/>
    <s v="x"/>
    <s v="x"/>
    <s v="x"/>
    <s v="x"/>
    <s v="Badman/Jos (icon for mega)"/>
    <m/>
    <m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2"/>
    <n v="1"/>
    <m/>
    <m/>
    <m/>
    <m/>
    <x v="194"/>
    <m/>
    <x v="1"/>
  </r>
  <r>
    <n v="754"/>
    <s v="ANNIHILAPE"/>
    <m/>
    <x v="20"/>
    <x v="14"/>
    <s v="x"/>
    <s v="x"/>
    <s v="x"/>
    <s v="x"/>
    <s v="x"/>
    <s v="x"/>
    <s v="n/a"/>
    <s v="n/a"/>
    <s v="x"/>
    <s v="x"/>
    <s v="Custom based on Slowpoke"/>
    <s v="n/a"/>
    <s v="n/a"/>
    <s v="n/a"/>
    <s v="n/a"/>
    <s v="n/a"/>
    <s v="n/a"/>
    <s v="n/a"/>
    <s v="Jos"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13"/>
    <m/>
    <m/>
    <m/>
    <m/>
    <m/>
    <x v="117"/>
    <m/>
    <x v="1"/>
  </r>
  <r>
    <n v="755"/>
    <s v="FINIZEN"/>
    <m/>
    <x v="2"/>
    <x v="6"/>
    <s v="x"/>
    <s v="x"/>
    <m/>
    <s v="x"/>
    <s v="x"/>
    <s v="x"/>
    <s v="n/a"/>
    <s v="x"/>
    <s v="x"/>
    <s v="x"/>
    <s v="100/0/0"/>
    <s v="n/a"/>
    <s v="n/a"/>
    <s v="n/a"/>
    <s v="n/a"/>
    <s v="n/a"/>
    <s v="n/a"/>
    <s v="n/a"/>
    <s v="Jos/Ignotus68"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43"/>
    <s v="Not fully evolved"/>
    <x v="1"/>
  </r>
  <r>
    <n v="756"/>
    <s v="PALAFIN"/>
    <m/>
    <x v="2"/>
    <x v="6"/>
    <s v="x"/>
    <s v="x"/>
    <s v="x"/>
    <s v="x"/>
    <s v="x"/>
    <s v="x"/>
    <s v="n/a"/>
    <s v="n/a"/>
    <s v="x"/>
    <s v="x"/>
    <s v="100/0/0"/>
    <s v="n/a"/>
    <s v="n/a"/>
    <s v="n/a"/>
    <s v="n/a"/>
    <s v="n/a"/>
    <s v="n/a"/>
    <s v="n/a"/>
    <s v="Jos/Ignotus68"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n v="8"/>
    <n v="4"/>
    <m/>
    <m/>
    <m/>
    <m/>
    <x v="43"/>
    <m/>
    <x v="1"/>
  </r>
  <r>
    <n v="757"/>
    <s v="PORYGON"/>
    <m/>
    <x v="12"/>
    <x v="10"/>
    <s v="x"/>
    <s v="x"/>
    <m/>
    <s v="x"/>
    <s v="x"/>
    <s v="x"/>
    <s v="n/a"/>
    <s v="x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67"/>
    <s v="Not fully evolved"/>
    <x v="1"/>
  </r>
  <r>
    <n v="758"/>
    <s v="PORYGON2"/>
    <m/>
    <x v="12"/>
    <x v="10"/>
    <s v="x"/>
    <s v="x"/>
    <s v="x"/>
    <s v="x"/>
    <s v="x"/>
    <s v="x"/>
    <s v="n/a"/>
    <s v="n/a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0"/>
    <n v="3"/>
    <n v="1"/>
    <m/>
    <m/>
    <m/>
    <x v="67"/>
    <s v="Not fully evolved"/>
    <x v="1"/>
  </r>
  <r>
    <n v="759"/>
    <s v="PORYGONZ"/>
    <m/>
    <x v="12"/>
    <x v="10"/>
    <s v="x"/>
    <s v="x"/>
    <s v="x"/>
    <s v="x"/>
    <s v="x"/>
    <s v="x"/>
    <s v="n/a"/>
    <s v="n/a"/>
    <s v="x"/>
    <s v="x"/>
    <s v="Custom"/>
    <s v="n/a"/>
    <s v="n/a"/>
    <s v="n/a"/>
    <s v="n/a"/>
    <s v="n/a"/>
    <s v="n/a"/>
    <s v="n/a"/>
    <s v="Hexx_Vixtar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9"/>
    <n v="2"/>
    <m/>
    <m/>
    <m/>
    <m/>
    <x v="67"/>
    <m/>
    <x v="1"/>
  </r>
  <r>
    <n v="760"/>
    <s v="URSALUNA"/>
    <m/>
    <x v="6"/>
    <x v="13"/>
    <s v="x"/>
    <s v="x"/>
    <s v="x"/>
    <s v="x"/>
    <s v="x"/>
    <s v="x"/>
    <s v="n/a"/>
    <s v="n/a"/>
    <s v="x"/>
    <s v="x"/>
    <s v="Custom"/>
    <s v="n/a"/>
    <s v="n/a"/>
    <s v="n/a"/>
    <s v="n/a"/>
    <s v="n/a"/>
    <s v="n/a"/>
    <s v="n/a"/>
    <s v="Azria (a_zerudez)"/>
    <m/>
    <n v="1"/>
    <m/>
    <m/>
    <m/>
    <n v="1"/>
    <m/>
    <m/>
    <n v="1"/>
    <m/>
    <m/>
    <m/>
    <m/>
    <m/>
    <m/>
    <m/>
    <n v="1"/>
    <m/>
    <m/>
    <n v="1"/>
    <m/>
    <m/>
    <n v="1"/>
    <m/>
    <m/>
    <n v="1"/>
    <n v="1"/>
    <m/>
    <m/>
    <m/>
    <m/>
    <m/>
    <m/>
    <m/>
    <m/>
    <m/>
    <m/>
    <n v="3"/>
    <m/>
    <m/>
    <m/>
    <m/>
    <m/>
    <x v="82"/>
    <m/>
    <x v="8"/>
  </r>
  <r>
    <n v="761"/>
    <s v="PAWMI"/>
    <m/>
    <x v="17"/>
    <x v="4"/>
    <s v="x"/>
    <s v="x"/>
    <m/>
    <s v="x"/>
    <s v="x"/>
    <s v="x"/>
    <s v="Need"/>
    <s v="x"/>
    <s v="x"/>
    <s v="x"/>
    <s v="-30/20/0"/>
    <s v="n/a"/>
    <s v="n/a"/>
    <s v="n/a"/>
    <s v="n/a"/>
    <s v="n/a"/>
    <s v="n/a"/>
    <s v="n/a"/>
    <s v="Jos"/>
    <m/>
    <n v="1"/>
    <n v="1"/>
    <m/>
    <m/>
    <m/>
    <m/>
    <m/>
    <m/>
    <m/>
    <n v="1"/>
    <n v="1"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m/>
    <x v="71"/>
    <s v="Not fully evolved"/>
    <x v="8"/>
  </r>
  <r>
    <n v="762"/>
    <s v="PAWMO"/>
    <m/>
    <x v="17"/>
    <x v="4"/>
    <s v="x"/>
    <s v="x"/>
    <m/>
    <s v="x"/>
    <s v="x"/>
    <s v="x"/>
    <s v="n/a"/>
    <s v="n/a"/>
    <s v="x"/>
    <s v="x"/>
    <s v="-30/20/0"/>
    <s v="n/a"/>
    <s v="n/a"/>
    <s v="n/a"/>
    <s v="n/a"/>
    <s v="n/a"/>
    <s v="n/a"/>
    <s v="n/a"/>
    <s v="Jos"/>
    <m/>
    <n v="1"/>
    <n v="1"/>
    <m/>
    <m/>
    <m/>
    <m/>
    <m/>
    <m/>
    <m/>
    <n v="1"/>
    <n v="1"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m/>
    <x v="71"/>
    <s v="Not fully evolved"/>
    <x v="8"/>
  </r>
  <r>
    <n v="763"/>
    <s v="PAWMOT"/>
    <m/>
    <x v="17"/>
    <x v="4"/>
    <s v="x"/>
    <s v="x"/>
    <s v="x"/>
    <s v="x"/>
    <s v="x"/>
    <s v="x"/>
    <s v="n/a"/>
    <s v="n/a"/>
    <s v="x"/>
    <s v="x"/>
    <s v="-30/20/0"/>
    <s v="n/a"/>
    <s v="n/a"/>
    <s v="n/a"/>
    <s v="n/a"/>
    <s v="n/a"/>
    <s v="n/a"/>
    <s v="n/a"/>
    <s v="Jos"/>
    <m/>
    <n v="1"/>
    <n v="1"/>
    <m/>
    <m/>
    <m/>
    <m/>
    <m/>
    <m/>
    <m/>
    <n v="1"/>
    <n v="1"/>
    <m/>
    <m/>
    <m/>
    <m/>
    <n v="1"/>
    <m/>
    <m/>
    <n v="1"/>
    <m/>
    <m/>
    <m/>
    <m/>
    <m/>
    <m/>
    <m/>
    <m/>
    <m/>
    <m/>
    <m/>
    <m/>
    <m/>
    <m/>
    <m/>
    <m/>
    <m/>
    <n v="5"/>
    <n v="2"/>
    <m/>
    <m/>
    <m/>
    <m/>
    <x v="71"/>
    <m/>
    <x v="8"/>
  </r>
  <r>
    <n v="764"/>
    <s v="FUECOCO"/>
    <m/>
    <x v="9"/>
    <x v="3"/>
    <s v="x"/>
    <s v="x"/>
    <m/>
    <s v="x"/>
    <s v="x"/>
    <s v="x"/>
    <s v="n/a"/>
    <s v="x"/>
    <s v="x"/>
    <s v="x"/>
    <s v="Custom - Badman"/>
    <s v="n/a"/>
    <s v="n/a"/>
    <s v="n/a"/>
    <s v="n/a"/>
    <s v="n/a"/>
    <s v="n/a"/>
    <s v="n/a"/>
    <s v="Badman"/>
    <m/>
    <m/>
    <m/>
    <n v="1"/>
    <n v="1"/>
    <m/>
    <n v="1"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74"/>
    <s v="Not fully evolved"/>
    <x v="9"/>
  </r>
  <r>
    <n v="765"/>
    <s v="CROCALOR"/>
    <m/>
    <x v="9"/>
    <x v="3"/>
    <s v="x"/>
    <s v="x"/>
    <m/>
    <s v="x"/>
    <s v="x"/>
    <s v="x"/>
    <s v="n/a"/>
    <s v="n/a"/>
    <s v="x"/>
    <s v="x"/>
    <s v="Custom - Badman"/>
    <s v="n/a"/>
    <s v="n/a"/>
    <s v="n/a"/>
    <s v="n/a"/>
    <s v="n/a"/>
    <s v="n/a"/>
    <s v="n/a"/>
    <s v="Badman"/>
    <m/>
    <m/>
    <m/>
    <n v="1"/>
    <n v="1"/>
    <m/>
    <n v="1"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74"/>
    <s v="Not fully evolved"/>
    <x v="9"/>
  </r>
  <r>
    <n v="766"/>
    <s v="SKELEDIRGE"/>
    <m/>
    <x v="9"/>
    <x v="3"/>
    <s v="x"/>
    <s v="x"/>
    <s v="x"/>
    <s v="x"/>
    <s v="x"/>
    <s v="x"/>
    <s v="n/a"/>
    <s v="n/a"/>
    <s v="x"/>
    <s v="x"/>
    <s v="Custom - Badman"/>
    <s v="n/a"/>
    <s v="n/a"/>
    <s v="n/a"/>
    <s v="n/a"/>
    <s v="n/a"/>
    <s v="n/a"/>
    <s v="n/a"/>
    <s v="Badman"/>
    <m/>
    <m/>
    <m/>
    <n v="1"/>
    <n v="1"/>
    <m/>
    <n v="1"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n v="5"/>
    <n v="3"/>
    <m/>
    <m/>
    <m/>
    <m/>
    <x v="74"/>
    <m/>
    <x v="9"/>
  </r>
  <r>
    <n v="767"/>
    <s v="TINKATINK"/>
    <m/>
    <x v="6"/>
    <x v="17"/>
    <s v="x"/>
    <s v="x"/>
    <m/>
    <s v="x"/>
    <s v="x"/>
    <s v="x"/>
    <s v="n/a"/>
    <s v="x"/>
    <s v="x"/>
    <s v="x"/>
    <s v="Custom - Alba"/>
    <s v="n/a"/>
    <s v="n/a"/>
    <s v="n/a"/>
    <s v="n/a"/>
    <s v="n/a"/>
    <s v="n/a"/>
    <s v="n/a"/>
    <s v="Badman/Endless (icon)"/>
    <m/>
    <m/>
    <m/>
    <m/>
    <m/>
    <m/>
    <m/>
    <m/>
    <m/>
    <n v="1"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x v="210"/>
    <s v="Not fully evolved"/>
    <x v="9"/>
  </r>
  <r>
    <n v="768"/>
    <s v="TINKATUFF"/>
    <m/>
    <x v="6"/>
    <x v="17"/>
    <s v="x"/>
    <s v="x"/>
    <m/>
    <s v="x"/>
    <s v="x"/>
    <s v="x"/>
    <s v="n/a"/>
    <s v="n/a"/>
    <s v="x"/>
    <s v="x"/>
    <s v="Custom - Alba"/>
    <s v="n/a"/>
    <s v="n/a"/>
    <s v="n/a"/>
    <s v="n/a"/>
    <s v="n/a"/>
    <s v="n/a"/>
    <s v="n/a"/>
    <s v="Badman/Endless (icon)"/>
    <m/>
    <m/>
    <m/>
    <m/>
    <m/>
    <m/>
    <m/>
    <m/>
    <m/>
    <n v="1"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x v="210"/>
    <s v="Not fully evolved"/>
    <x v="9"/>
  </r>
  <r>
    <n v="769"/>
    <s v="TINKATON"/>
    <m/>
    <x v="6"/>
    <x v="17"/>
    <s v="x"/>
    <s v="x"/>
    <s v="x"/>
    <s v="x"/>
    <s v="x"/>
    <s v="x"/>
    <s v="n/a"/>
    <s v="n/a"/>
    <s v="x"/>
    <s v="x"/>
    <s v="Custom - Alba"/>
    <s v="n/a"/>
    <s v="n/a"/>
    <s v="n/a"/>
    <s v="n/a"/>
    <s v="n/a"/>
    <s v="n/a"/>
    <s v="n/a"/>
    <s v="Badman/Endless (icon)"/>
    <m/>
    <m/>
    <m/>
    <m/>
    <m/>
    <m/>
    <m/>
    <m/>
    <m/>
    <n v="1"/>
    <m/>
    <m/>
    <m/>
    <m/>
    <m/>
    <m/>
    <m/>
    <m/>
    <m/>
    <m/>
    <m/>
    <m/>
    <n v="1"/>
    <m/>
    <m/>
    <n v="1"/>
    <n v="1"/>
    <m/>
    <m/>
    <m/>
    <m/>
    <m/>
    <m/>
    <m/>
    <m/>
    <m/>
    <m/>
    <n v="14"/>
    <n v="1"/>
    <m/>
    <m/>
    <m/>
    <m/>
    <x v="210"/>
    <m/>
    <x v="9"/>
  </r>
  <r>
    <n v="770"/>
    <s v="FEEBAS2"/>
    <m/>
    <x v="0"/>
    <x v="4"/>
    <s v="x"/>
    <s v="x"/>
    <m/>
    <s v="x"/>
    <s v="x"/>
    <s v="x"/>
    <s v="x"/>
    <s v="x"/>
    <s v="x"/>
    <s v="x"/>
    <s v="Custom - Ace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x v="152"/>
    <s v="Not fully evolved"/>
    <x v="3"/>
  </r>
  <r>
    <n v="771"/>
    <s v="MILOTIC2"/>
    <m/>
    <x v="0"/>
    <x v="17"/>
    <s v="x"/>
    <s v="x"/>
    <s v="x"/>
    <s v="x"/>
    <s v="x"/>
    <s v="x"/>
    <s v="n/a"/>
    <s v="n/a"/>
    <s v="x"/>
    <s v="x"/>
    <s v="Custom - Ace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n v="21"/>
    <n v="4"/>
    <m/>
    <m/>
    <m/>
    <m/>
    <x v="278"/>
    <m/>
    <x v="3"/>
  </r>
  <r>
    <n v="772"/>
    <s v="SNEASLER"/>
    <m/>
    <x v="19"/>
    <x v="9"/>
    <s v="x"/>
    <s v="x"/>
    <s v="x"/>
    <s v="x"/>
    <s v="x"/>
    <s v="x"/>
    <s v="n/a"/>
    <s v="n/a"/>
    <s v="x"/>
    <s v="x"/>
    <s v="-55/0/0"/>
    <s v="n/a"/>
    <s v="n/a"/>
    <s v="n/a"/>
    <s v="n/a"/>
    <s v="n/a"/>
    <s v="n/a"/>
    <s v="n/a"/>
    <s v="RBRNNova / Eeveelution Reborn"/>
    <m/>
    <m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3"/>
    <m/>
    <m/>
    <m/>
    <m/>
    <m/>
    <x v="279"/>
    <m/>
    <x v="3"/>
  </r>
  <r>
    <n v="773"/>
    <s v="SKARMORY"/>
    <m/>
    <x v="13"/>
    <x v="14"/>
    <s v="x"/>
    <s v="x"/>
    <s v="x"/>
    <s v="x"/>
    <s v="x"/>
    <s v="x"/>
    <s v="n/a"/>
    <s v="x"/>
    <s v="x"/>
    <s v="x"/>
    <s v="Custom - Badman"/>
    <s v="n/a"/>
    <s v="n/a"/>
    <s v="n/a"/>
    <s v="n/a"/>
    <s v="n/a"/>
    <s v="n/a"/>
    <s v="n/a"/>
    <s v="Badman"/>
    <m/>
    <m/>
    <m/>
    <m/>
    <m/>
    <n v="1"/>
    <m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n v="8"/>
    <n v="2"/>
    <n v="1"/>
    <m/>
    <m/>
    <m/>
    <x v="177"/>
    <m/>
    <x v="2"/>
  </r>
  <r>
    <n v="774"/>
    <s v="WOOPER"/>
    <m/>
    <x v="15"/>
    <x v="11"/>
    <s v="x"/>
    <s v="x"/>
    <m/>
    <s v="x"/>
    <s v="x"/>
    <s v="x"/>
    <s v="Need"/>
    <s v="x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80"/>
    <s v="Not fully evolved"/>
    <x v="2"/>
  </r>
  <r>
    <n v="775"/>
    <s v="QUAGSIRE"/>
    <m/>
    <x v="15"/>
    <x v="11"/>
    <s v="x"/>
    <s v="x"/>
    <s v="x"/>
    <s v="x"/>
    <s v="x"/>
    <s v="x"/>
    <s v="n/a"/>
    <s v="n/a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n v="1"/>
    <m/>
    <m/>
    <m/>
    <m/>
    <m/>
    <m/>
    <m/>
    <m/>
    <m/>
    <m/>
    <m/>
    <m/>
    <m/>
    <m/>
    <n v="1"/>
    <n v="1"/>
    <m/>
    <m/>
    <m/>
    <m/>
    <m/>
    <m/>
    <m/>
    <m/>
    <m/>
    <m/>
    <n v="4"/>
    <n v="1"/>
    <m/>
    <m/>
    <m/>
    <m/>
    <x v="280"/>
    <m/>
    <x v="2"/>
  </r>
  <r>
    <n v="776"/>
    <s v="FLABEBE"/>
    <m/>
    <x v="15"/>
    <x v="6"/>
    <s v="x"/>
    <s v="x"/>
    <m/>
    <s v="x"/>
    <s v="x"/>
    <s v="x"/>
    <s v="n/a"/>
    <s v="x"/>
    <s v="x"/>
    <s v="x"/>
    <s v="Custom - Ace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x v="44"/>
    <s v="Not fully evolved"/>
    <x v="4"/>
  </r>
  <r>
    <n v="777"/>
    <s v="FLOETTE"/>
    <m/>
    <x v="15"/>
    <x v="6"/>
    <s v="x"/>
    <s v="x"/>
    <m/>
    <s v="x"/>
    <s v="x"/>
    <s v="x"/>
    <s v="n/a"/>
    <s v="n/a"/>
    <s v="x"/>
    <s v="x"/>
    <s v="Custom - Ace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x v="44"/>
    <s v="Not fully evolved"/>
    <x v="4"/>
  </r>
  <r>
    <n v="778"/>
    <s v="FLORGES"/>
    <m/>
    <x v="15"/>
    <x v="6"/>
    <s v="x"/>
    <s v="x"/>
    <s v="x"/>
    <s v="x"/>
    <s v="x"/>
    <s v="x"/>
    <s v="n/a"/>
    <s v="n/a"/>
    <s v="x"/>
    <s v="x"/>
    <s v="Custom - Ace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n v="11"/>
    <n v="2"/>
    <m/>
    <m/>
    <m/>
    <m/>
    <x v="44"/>
    <m/>
    <x v="4"/>
  </r>
  <r>
    <n v="779"/>
    <s v="EMOLGA"/>
    <m/>
    <x v="5"/>
    <x v="2"/>
    <s v="x"/>
    <s v="x"/>
    <s v="x"/>
    <s v="x"/>
    <s v="x"/>
    <s v="x"/>
    <s v="n/a"/>
    <s v="x"/>
    <s v="x"/>
    <s v="x"/>
    <s v="Custom - Badman"/>
    <s v="x"/>
    <s v="x"/>
    <s v="x"/>
    <s v="x"/>
    <s v="x"/>
    <s v="x"/>
    <s v="x"/>
    <s v="Badman"/>
    <m/>
    <m/>
    <m/>
    <m/>
    <m/>
    <n v="1"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n v="2"/>
    <n v="3"/>
    <m/>
    <m/>
    <m/>
    <m/>
    <x v="49"/>
    <m/>
    <x v="1"/>
  </r>
  <r>
    <n v="780"/>
    <s v="SALANDIT"/>
    <m/>
    <x v="7"/>
    <x v="6"/>
    <s v="x"/>
    <s v="x"/>
    <m/>
    <s v="x"/>
    <s v="x"/>
    <s v="x"/>
    <s v="n/a"/>
    <s v="x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81"/>
    <s v="Not fully evolved"/>
    <x v="6"/>
  </r>
  <r>
    <n v="781"/>
    <s v="SALAZZLE"/>
    <m/>
    <x v="7"/>
    <x v="6"/>
    <s v="x"/>
    <s v="x"/>
    <s v="x"/>
    <s v="x"/>
    <s v="x"/>
    <s v="x"/>
    <s v="n/a"/>
    <s v="n/a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n v="10"/>
    <n v="2"/>
    <m/>
    <m/>
    <m/>
    <m/>
    <x v="281"/>
    <m/>
    <x v="6"/>
  </r>
  <r>
    <n v="782"/>
    <s v="DUDUNSPARCE"/>
    <m/>
    <x v="12"/>
    <x v="0"/>
    <s v="x"/>
    <s v="x"/>
    <s v="x"/>
    <s v="x"/>
    <s v="x"/>
    <s v="x"/>
    <s v="n/a"/>
    <s v="n/a"/>
    <s v="x"/>
    <s v="x"/>
    <s v="-95/0/0"/>
    <s v="n/a"/>
    <s v="n/a"/>
    <s v="n/a"/>
    <s v="n/a"/>
    <s v="n/a"/>
    <s v="n/a"/>
    <s v="n/a"/>
    <s v="Badman"/>
    <m/>
    <m/>
    <n v="1"/>
    <n v="1"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2"/>
    <n v="1"/>
    <m/>
    <m/>
    <m/>
    <m/>
    <x v="156"/>
    <m/>
    <x v="9"/>
  </r>
  <r>
    <n v="783"/>
    <s v="HOOPA"/>
    <m/>
    <x v="19"/>
    <x v="10"/>
    <s v="x"/>
    <s v="x"/>
    <s v="x"/>
    <s v="x"/>
    <s v="x"/>
    <s v="x"/>
    <m/>
    <s v="n/a"/>
    <s v="x"/>
    <s v="x"/>
    <s v="Custom - Badman"/>
    <s v="n/a"/>
    <s v="n/a"/>
    <s v="n/a"/>
    <s v="n/a"/>
    <s v="n/a"/>
    <s v="n/a"/>
    <s v="n/a"/>
    <s v="Badman/Endless (icon)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x v="282"/>
    <m/>
    <x v="4"/>
  </r>
  <r>
    <s v="x"/>
    <s v="HOOPA"/>
    <s v="Unbound"/>
    <x v="19"/>
    <x v="12"/>
    <s v="x"/>
    <s v="x"/>
    <s v="x"/>
    <s v="x"/>
    <s v="x"/>
    <s v="x"/>
    <m/>
    <s v="n/a"/>
    <s v="x"/>
    <s v="x"/>
    <s v="Custom - Badman"/>
    <s v="n/a"/>
    <s v="n/a"/>
    <s v="n/a"/>
    <s v="n/a"/>
    <s v="n/a"/>
    <s v="n/a"/>
    <s v="n/a"/>
    <s v="Badman/Endless (icon)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83"/>
    <m/>
    <x v="4"/>
  </r>
  <r>
    <n v="784"/>
    <s v="GIMMIGHOUL"/>
    <m/>
    <x v="12"/>
    <x v="4"/>
    <s v="x"/>
    <s v="x"/>
    <m/>
    <s v="x"/>
    <s v="x"/>
    <s v="x"/>
    <s v="n/a"/>
    <s v="x"/>
    <s v="x"/>
    <s v="x"/>
    <s v="Custom - Badman"/>
    <s v="n/a"/>
    <s v="n/a"/>
    <s v="n/a"/>
    <s v="n/a"/>
    <s v="n/a"/>
    <s v="n/a"/>
    <s v="n/a"/>
    <s v="Badman/Endless (icon)"/>
    <m/>
    <m/>
    <n v="1"/>
    <n v="1"/>
    <n v="1"/>
    <n v="1"/>
    <n v="1"/>
    <n v="1"/>
    <m/>
    <n v="1"/>
    <m/>
    <n v="1"/>
    <m/>
    <m/>
    <m/>
    <m/>
    <m/>
    <m/>
    <m/>
    <m/>
    <m/>
    <m/>
    <m/>
    <n v="1"/>
    <m/>
    <n v="1"/>
    <n v="1"/>
    <m/>
    <m/>
    <m/>
    <m/>
    <m/>
    <m/>
    <m/>
    <m/>
    <m/>
    <m/>
    <m/>
    <m/>
    <m/>
    <m/>
    <m/>
    <m/>
    <x v="88"/>
    <s v="Not fully evolved"/>
    <x v="9"/>
  </r>
  <r>
    <n v="785"/>
    <s v="GHOLDENGO"/>
    <m/>
    <x v="12"/>
    <x v="15"/>
    <s v="x"/>
    <s v="x"/>
    <s v="x"/>
    <s v="x"/>
    <s v="x"/>
    <s v="x"/>
    <s v="n/a"/>
    <s v="n/a"/>
    <s v="x"/>
    <s v="x"/>
    <s v="Custom - Badman"/>
    <s v="n/a"/>
    <s v="n/a"/>
    <s v="n/a"/>
    <s v="n/a"/>
    <s v="n/a"/>
    <s v="n/a"/>
    <s v="n/a"/>
    <s v="Badman/Endless (icon)"/>
    <m/>
    <m/>
    <n v="1"/>
    <n v="1"/>
    <n v="1"/>
    <n v="1"/>
    <n v="1"/>
    <n v="1"/>
    <m/>
    <n v="1"/>
    <m/>
    <n v="1"/>
    <m/>
    <m/>
    <m/>
    <m/>
    <m/>
    <m/>
    <m/>
    <m/>
    <m/>
    <m/>
    <m/>
    <n v="1"/>
    <m/>
    <n v="1"/>
    <n v="1"/>
    <m/>
    <m/>
    <m/>
    <m/>
    <m/>
    <m/>
    <m/>
    <m/>
    <m/>
    <m/>
    <n v="7"/>
    <n v="3"/>
    <m/>
    <m/>
    <m/>
    <m/>
    <x v="81"/>
    <m/>
    <x v="9"/>
  </r>
  <r>
    <n v="786"/>
    <s v="DELIBIRD"/>
    <m/>
    <x v="9"/>
    <x v="10"/>
    <s v="x"/>
    <s v="x"/>
    <m/>
    <s v="x"/>
    <s v="x"/>
    <s v="x"/>
    <s v="n/a"/>
    <s v="x"/>
    <s v="x"/>
    <s v="x"/>
    <s v="Custom - Badman"/>
    <s v="n/a"/>
    <s v="n/a"/>
    <s v="n/a"/>
    <s v="n/a"/>
    <s v="n/a"/>
    <s v="n/a"/>
    <s v="n/a"/>
    <s v="Badman/Endless (icon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n v="4"/>
    <m/>
    <m/>
    <m/>
    <x v="284"/>
    <m/>
    <x v="2"/>
  </r>
  <r>
    <n v="787"/>
    <s v="DIPPLIN"/>
    <m/>
    <x v="8"/>
    <x v="0"/>
    <s v="x"/>
    <s v="x"/>
    <m/>
    <s v="x"/>
    <s v="x"/>
    <s v="x"/>
    <s v="n/a"/>
    <s v="n/a"/>
    <s v="x"/>
    <s v="x"/>
    <s v="Endless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m/>
    <x v="285"/>
    <m/>
    <x v="9"/>
  </r>
  <r>
    <s v="x"/>
    <s v="BASCULEGION"/>
    <s v="Piranha"/>
    <x v="14"/>
    <x v="18"/>
    <s v="x"/>
    <s v="x"/>
    <s v="x"/>
    <s v="x"/>
    <s v="x"/>
    <s v="x"/>
    <s v="n/a"/>
    <s v="n/a"/>
    <s v="x"/>
    <s v="x"/>
    <s v="Custom - Ace"/>
    <s v="n/a"/>
    <s v="n/a"/>
    <s v="n/a"/>
    <s v="n/a"/>
    <s v="n/a"/>
    <s v="n/a"/>
    <s v="n/a"/>
    <s v="Badman"/>
    <m/>
    <m/>
    <m/>
    <n v="1"/>
    <m/>
    <m/>
    <m/>
    <m/>
    <m/>
    <m/>
    <n v="1"/>
    <m/>
    <m/>
    <m/>
    <m/>
    <m/>
    <m/>
    <m/>
    <m/>
    <m/>
    <m/>
    <n v="1"/>
    <m/>
    <m/>
    <m/>
    <m/>
    <m/>
    <n v="1"/>
    <m/>
    <m/>
    <m/>
    <m/>
    <m/>
    <m/>
    <m/>
    <m/>
    <m/>
    <n v="13"/>
    <n v="2"/>
    <m/>
    <m/>
    <m/>
    <m/>
    <x v="99"/>
    <m/>
    <x v="8"/>
  </r>
  <r>
    <n v="788"/>
    <s v="BASCULEGION"/>
    <s v="Dragonfish"/>
    <x v="14"/>
    <x v="18"/>
    <s v="x"/>
    <s v="x"/>
    <s v="x"/>
    <s v="x"/>
    <s v="x"/>
    <s v="x"/>
    <s v="n/a"/>
    <s v="n/a"/>
    <s v="x"/>
    <s v="x"/>
    <s v="Custom - Ace"/>
    <s v="n/a"/>
    <s v="n/a"/>
    <s v="n/a"/>
    <s v="n/a"/>
    <s v="n/a"/>
    <s v="n/a"/>
    <s v="n/a"/>
    <s v="Badman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n v="3"/>
    <m/>
    <m/>
    <m/>
    <m/>
    <m/>
    <x v="99"/>
    <m/>
    <x v="8"/>
  </r>
  <r>
    <n v="789"/>
    <s v="TAPUKOKO"/>
    <m/>
    <x v="12"/>
    <x v="18"/>
    <s v="x"/>
    <s v="x"/>
    <m/>
    <s v="x"/>
    <s v="x"/>
    <s v="x"/>
    <s v="n/a"/>
    <s v="n/a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24"/>
    <m/>
    <x v="6"/>
  </r>
  <r>
    <n v="790"/>
    <s v="TAPULELE"/>
    <m/>
    <x v="17"/>
    <x v="18"/>
    <s v="x"/>
    <s v="x"/>
    <m/>
    <s v="x"/>
    <s v="x"/>
    <s v="x"/>
    <s v="n/a"/>
    <s v="n/a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86"/>
    <m/>
    <x v="6"/>
  </r>
  <r>
    <n v="791"/>
    <s v="TAPUBULU"/>
    <m/>
    <x v="0"/>
    <x v="18"/>
    <s v="x"/>
    <s v="x"/>
    <m/>
    <s v="x"/>
    <s v="x"/>
    <s v="x"/>
    <s v="n/a"/>
    <s v="n/a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84"/>
    <m/>
    <x v="6"/>
  </r>
  <r>
    <n v="792"/>
    <s v="TAPUFINI"/>
    <m/>
    <x v="5"/>
    <x v="18"/>
    <s v="x"/>
    <s v="x"/>
    <m/>
    <s v="x"/>
    <s v="x"/>
    <s v="x"/>
    <s v="n/a"/>
    <s v="n/a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87"/>
    <m/>
    <x v="6"/>
  </r>
  <r>
    <n v="793"/>
    <s v="ETERNATUS"/>
    <m/>
    <x v="6"/>
    <x v="17"/>
    <s v="x"/>
    <s v="x"/>
    <m/>
    <s v="x"/>
    <s v="x"/>
    <s v="x"/>
    <m/>
    <s v="n/a"/>
    <s v="x"/>
    <s v="x"/>
    <s v="Custom - Hexx"/>
    <s v="n/a"/>
    <s v="n/a"/>
    <s v="n/a"/>
    <s v="n/a"/>
    <s v="n/a"/>
    <s v="n/a"/>
    <s v="n/a"/>
    <s v="Hexx_Vixtar/Endless (icon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x v="210"/>
    <m/>
    <x v="8"/>
  </r>
  <r>
    <n v="794"/>
    <s v="BRONZOR2"/>
    <m/>
    <x v="6"/>
    <x v="5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Zeta"/>
    <m/>
    <n v="1"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8"/>
    <s v="Not fully evolved"/>
    <x v="5"/>
  </r>
  <r>
    <n v="795"/>
    <s v="BRONZONG2"/>
    <m/>
    <x v="6"/>
    <x v="5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Zeta"/>
    <m/>
    <n v="1"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x v="198"/>
    <m/>
    <x v="5"/>
  </r>
  <r>
    <n v="796"/>
    <s v="PUMPKABOO"/>
    <m/>
    <x v="13"/>
    <x v="4"/>
    <s v="x"/>
    <s v="x"/>
    <m/>
    <s v="x"/>
    <s v="x"/>
    <s v="x"/>
    <m/>
    <s v="x"/>
    <s v="x"/>
    <s v="x"/>
    <s v="Custom - Aceblade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7"/>
    <s v="Not fully evolved"/>
    <x v="4"/>
  </r>
  <r>
    <n v="797"/>
    <s v="GOURGEIST"/>
    <m/>
    <x v="13"/>
    <x v="4"/>
    <s v="x"/>
    <s v="x"/>
    <s v="x"/>
    <s v="x"/>
    <s v="x"/>
    <s v="x"/>
    <m/>
    <s v="n/a"/>
    <s v="x"/>
    <s v="x"/>
    <s v="Custom - Aceblade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7"/>
    <m/>
    <x v="4"/>
  </r>
  <r>
    <n v="798"/>
    <s v="FOMANTIS"/>
    <m/>
    <x v="12"/>
    <x v="4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88"/>
    <s v="Not fully evolved"/>
    <x v="6"/>
  </r>
  <r>
    <n v="799"/>
    <s v="LURANTIS"/>
    <m/>
    <x v="12"/>
    <x v="14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60"/>
    <m/>
    <x v="6"/>
  </r>
  <r>
    <n v="800"/>
    <s v="COTTONEE"/>
    <m/>
    <x v="4"/>
    <x v="2"/>
    <s v="x"/>
    <s v="x"/>
    <m/>
    <s v="x"/>
    <s v="x"/>
    <s v="x"/>
    <m/>
    <s v="x"/>
    <s v="x"/>
    <s v="x"/>
    <s v="Custom - Boro"/>
    <s v="n/a"/>
    <s v="n/a"/>
    <s v="n/a"/>
    <s v="n/a"/>
    <s v="n/a"/>
    <s v="n/a"/>
    <s v="n/a"/>
    <s v="Jos/Boro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0"/>
    <s v="Not fully evolved"/>
    <x v="1"/>
  </r>
  <r>
    <n v="801"/>
    <s v="WHIMSICOTT"/>
    <m/>
    <x v="4"/>
    <x v="2"/>
    <s v="x"/>
    <s v="x"/>
    <s v="x"/>
    <s v="x"/>
    <s v="x"/>
    <s v="x"/>
    <m/>
    <s v="n/a"/>
    <s v="x"/>
    <s v="x"/>
    <s v="Custom - Boro"/>
    <s v="n/a"/>
    <s v="n/a"/>
    <s v="n/a"/>
    <s v="n/a"/>
    <s v="n/a"/>
    <s v="n/a"/>
    <s v="n/a"/>
    <s v="Jos/Boro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0"/>
    <m/>
    <x v="1"/>
  </r>
  <r>
    <n v="802"/>
    <s v="TAROUNTULA"/>
    <m/>
    <x v="12"/>
    <x v="16"/>
    <s v="x"/>
    <s v="x"/>
    <m/>
    <s v="x"/>
    <s v="x"/>
    <s v="x"/>
    <m/>
    <s v="x"/>
    <s v="x"/>
    <s v="x"/>
    <s v="-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x v="105"/>
    <s v="Not fully evolved"/>
    <x v="9"/>
  </r>
  <r>
    <n v="803"/>
    <s v="SPIDOPS"/>
    <m/>
    <x v="12"/>
    <x v="16"/>
    <s v="x"/>
    <s v="x"/>
    <s v="x"/>
    <s v="x"/>
    <s v="x"/>
    <s v="x"/>
    <m/>
    <s v="n/a"/>
    <s v="x"/>
    <s v="x"/>
    <s v="-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x v="105"/>
    <m/>
    <x v="9"/>
  </r>
  <r>
    <n v="804"/>
    <s v="COMBEE"/>
    <m/>
    <x v="8"/>
    <x v="11"/>
    <s v="x"/>
    <s v="x"/>
    <m/>
    <s v="x"/>
    <s v="x"/>
    <s v="x"/>
    <m/>
    <s v="x"/>
    <s v="x"/>
    <s v="x"/>
    <s v="-115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88"/>
    <s v="Not fully evolved"/>
    <x v="5"/>
  </r>
  <r>
    <n v="805"/>
    <s v="VESPIQUEN"/>
    <m/>
    <x v="8"/>
    <x v="11"/>
    <s v="x"/>
    <s v="x"/>
    <s v="x"/>
    <s v="x"/>
    <s v="x"/>
    <s v="x"/>
    <m/>
    <s v="n/a"/>
    <s v="x"/>
    <s v="x"/>
    <s v="-115/0/0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1"/>
    <m/>
    <m/>
    <m/>
    <m/>
    <x v="288"/>
    <m/>
    <x v="5"/>
  </r>
  <r>
    <n v="806"/>
    <s v="WISHIWASHI"/>
    <m/>
    <x v="10"/>
    <x v="4"/>
    <s v="x"/>
    <s v="x"/>
    <s v="x"/>
    <s v="x"/>
    <s v="x"/>
    <s v="x"/>
    <m/>
    <s v="x"/>
    <s v="x"/>
    <s v="x"/>
    <s v="-95/0/0"/>
    <s v="n/a"/>
    <s v="n/a"/>
    <s v="n/a"/>
    <s v="n/a"/>
    <s v="n/a"/>
    <s v="n/a"/>
    <s v="n/a"/>
    <s v="Riptidecord"/>
    <m/>
    <m/>
    <m/>
    <m/>
    <m/>
    <m/>
    <m/>
    <m/>
    <m/>
    <n v="1"/>
    <m/>
    <m/>
    <m/>
    <m/>
    <m/>
    <m/>
    <m/>
    <m/>
    <m/>
    <m/>
    <m/>
    <n v="1"/>
    <n v="1"/>
    <m/>
    <m/>
    <m/>
    <m/>
    <m/>
    <m/>
    <m/>
    <m/>
    <m/>
    <m/>
    <m/>
    <m/>
    <m/>
    <m/>
    <m/>
    <n v="1"/>
    <m/>
    <m/>
    <m/>
    <m/>
    <x v="217"/>
    <m/>
    <x v="6"/>
  </r>
  <r>
    <n v="807"/>
    <s v="TROPIUS"/>
    <m/>
    <x v="5"/>
    <x v="18"/>
    <s v="x"/>
    <s v="x"/>
    <s v="x"/>
    <s v="x"/>
    <s v="x"/>
    <s v="x"/>
    <m/>
    <s v="x"/>
    <s v="x"/>
    <s v="x"/>
    <s v="Custom - Aceblade"/>
    <s v="n/a"/>
    <s v="n/a"/>
    <s v="n/a"/>
    <s v="n/a"/>
    <s v="n/a"/>
    <s v="n/a"/>
    <s v="n/a"/>
    <s v="Boro/Jos (icon)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x v="287"/>
    <m/>
    <x v="3"/>
  </r>
  <r>
    <n v="808"/>
    <s v="MAKUHITA"/>
    <m/>
    <x v="8"/>
    <x v="14"/>
    <s v="x"/>
    <s v="x"/>
    <m/>
    <s v="x"/>
    <s v="x"/>
    <s v="x"/>
    <m/>
    <s v="x"/>
    <s v="x"/>
    <s v="x"/>
    <s v="-7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41"/>
    <s v="Not fully evolved"/>
    <x v="3"/>
  </r>
  <r>
    <n v="809"/>
    <s v="HARIYAMA"/>
    <m/>
    <x v="8"/>
    <x v="14"/>
    <s v="x"/>
    <s v="x"/>
    <s v="x"/>
    <s v="x"/>
    <s v="x"/>
    <s v="x"/>
    <m/>
    <s v="n/a"/>
    <s v="x"/>
    <s v="x"/>
    <s v="-7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2"/>
    <n v="1"/>
    <m/>
    <m/>
    <m/>
    <x v="41"/>
    <m/>
    <x v="3"/>
  </r>
  <r>
    <n v="810"/>
    <s v="MIMEJR2"/>
    <m/>
    <x v="6"/>
    <x v="10"/>
    <s v="x"/>
    <s v="x"/>
    <m/>
    <s v="x"/>
    <s v="x"/>
    <s v="x"/>
    <m/>
    <s v="x"/>
    <s v="x"/>
    <s v="x"/>
    <s v="-55/0/0"/>
    <s v="n/a"/>
    <s v="n/a"/>
    <s v="n/a"/>
    <s v="n/a"/>
    <s v="n/a"/>
    <s v="n/a"/>
    <s v="n/a"/>
    <s v="Zeta"/>
    <m/>
    <m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63"/>
    <s v="Not fully evolved"/>
    <x v="5"/>
  </r>
  <r>
    <n v="811"/>
    <s v="MRMIME2"/>
    <m/>
    <x v="6"/>
    <x v="10"/>
    <s v="x"/>
    <s v="x"/>
    <m/>
    <s v="x"/>
    <s v="x"/>
    <s v="x"/>
    <m/>
    <s v="n/a"/>
    <s v="x"/>
    <s v="x"/>
    <s v="-55/0/0"/>
    <s v="n/a"/>
    <s v="n/a"/>
    <s v="n/a"/>
    <s v="n/a"/>
    <s v="n/a"/>
    <s v="n/a"/>
    <s v="n/a"/>
    <s v="Zeta"/>
    <m/>
    <m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n v="1"/>
    <m/>
    <m/>
    <m/>
    <m/>
    <x v="63"/>
    <s v="Not fully evolved"/>
    <x v="0"/>
  </r>
  <r>
    <n v="812"/>
    <s v="MRRIME2"/>
    <m/>
    <x v="6"/>
    <x v="10"/>
    <s v="x"/>
    <s v="x"/>
    <s v="x"/>
    <s v="x"/>
    <s v="x"/>
    <s v="x"/>
    <m/>
    <s v="n/a"/>
    <s v="x"/>
    <s v="x"/>
    <s v="-55/0/0"/>
    <s v="n/a"/>
    <s v="n/a"/>
    <s v="n/a"/>
    <s v="n/a"/>
    <s v="n/a"/>
    <s v="n/a"/>
    <s v="n/a"/>
    <s v="Zeta"/>
    <m/>
    <m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n v="2"/>
    <m/>
    <m/>
    <m/>
    <m/>
    <x v="63"/>
    <m/>
    <x v="8"/>
  </r>
  <r>
    <n v="813"/>
    <s v="PONYTA2"/>
    <m/>
    <x v="1"/>
    <x v="9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89"/>
    <s v="Not fully evolved"/>
    <x v="0"/>
  </r>
  <r>
    <n v="814"/>
    <s v="RAPIDASH2"/>
    <m/>
    <x v="1"/>
    <x v="9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3"/>
    <m/>
    <m/>
    <m/>
    <m/>
    <x v="289"/>
    <m/>
    <x v="0"/>
  </r>
  <r>
    <n v="815"/>
    <s v="GOLETT2"/>
    <m/>
    <x v="0"/>
    <x v="5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m/>
    <m/>
    <m/>
    <n v="1"/>
    <m/>
    <m/>
    <m/>
    <m/>
    <m/>
    <m/>
    <m/>
    <m/>
    <m/>
    <m/>
    <m/>
    <m/>
    <m/>
    <m/>
    <m/>
    <m/>
    <m/>
    <m/>
    <x v="153"/>
    <s v="Not fully evolved"/>
    <x v="1"/>
  </r>
  <r>
    <n v="816"/>
    <s v="GOLURK2"/>
    <m/>
    <x v="0"/>
    <x v="5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m/>
    <m/>
    <m/>
    <n v="1"/>
    <m/>
    <m/>
    <m/>
    <m/>
    <m/>
    <m/>
    <m/>
    <m/>
    <m/>
    <m/>
    <m/>
    <m/>
    <m/>
    <n v="1"/>
    <m/>
    <m/>
    <m/>
    <m/>
    <x v="153"/>
    <m/>
    <x v="1"/>
  </r>
  <r>
    <n v="817"/>
    <s v="KARRABLAST"/>
    <m/>
    <x v="8"/>
    <x v="10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67"/>
    <s v="Not fully evolved"/>
    <x v="1"/>
  </r>
  <r>
    <n v="818"/>
    <s v="ESCAVALIER"/>
    <m/>
    <x v="8"/>
    <x v="10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2"/>
    <m/>
    <m/>
    <m/>
    <m/>
    <x v="267"/>
    <m/>
    <x v="1"/>
  </r>
  <r>
    <n v="819"/>
    <s v="CRYOGONAL"/>
    <m/>
    <x v="0"/>
    <x v="1"/>
    <s v="x"/>
    <s v="x"/>
    <s v="x"/>
    <s v="x"/>
    <s v="x"/>
    <s v="x"/>
    <m/>
    <s v="x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n v="2"/>
    <m/>
    <m/>
    <m/>
    <m/>
    <x v="290"/>
    <m/>
    <x v="1"/>
  </r>
  <r>
    <n v="820"/>
    <s v="PAWNIARD"/>
    <m/>
    <x v="11"/>
    <x v="5"/>
    <s v="x"/>
    <s v="x"/>
    <m/>
    <s v="x"/>
    <s v="x"/>
    <s v="x"/>
    <m/>
    <s v="x"/>
    <s v="x"/>
    <s v="x"/>
    <s v="Custom - YoshiGaminStuf"/>
    <s v="n/a"/>
    <s v="n/a"/>
    <s v="n/a"/>
    <s v="n/a"/>
    <s v="n/a"/>
    <s v="n/a"/>
    <s v="n/a"/>
    <s v="Jos/Zeta/Boro"/>
    <m/>
    <m/>
    <m/>
    <m/>
    <m/>
    <m/>
    <m/>
    <n v="1"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247"/>
    <s v="Not fully evolved"/>
    <x v="1"/>
  </r>
  <r>
    <n v="821"/>
    <s v="BISHARP"/>
    <m/>
    <x v="11"/>
    <x v="5"/>
    <s v="x"/>
    <s v="x"/>
    <m/>
    <s v="x"/>
    <s v="x"/>
    <s v="x"/>
    <m/>
    <s v="n/a"/>
    <s v="x"/>
    <s v="x"/>
    <s v="Custom - YoshiGaminStuf"/>
    <s v="n/a"/>
    <s v="n/a"/>
    <s v="n/a"/>
    <s v="n/a"/>
    <s v="n/a"/>
    <s v="n/a"/>
    <s v="n/a"/>
    <s v="Jos/Zeta/Boro"/>
    <m/>
    <m/>
    <m/>
    <m/>
    <m/>
    <m/>
    <m/>
    <n v="1"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247"/>
    <s v="Not fully evolved"/>
    <x v="1"/>
  </r>
  <r>
    <n v="822"/>
    <s v="KINGAMBIT"/>
    <m/>
    <x v="11"/>
    <x v="5"/>
    <s v="x"/>
    <s v="x"/>
    <s v="x"/>
    <s v="x"/>
    <s v="x"/>
    <s v="x"/>
    <m/>
    <s v="n/a"/>
    <s v="x"/>
    <s v="x"/>
    <s v="Custom - YoshiGaminStuf"/>
    <s v="n/a"/>
    <s v="n/a"/>
    <s v="n/a"/>
    <s v="n/a"/>
    <s v="n/a"/>
    <s v="n/a"/>
    <s v="n/a"/>
    <s v="Jos/Zeta/Boro"/>
    <m/>
    <m/>
    <m/>
    <m/>
    <m/>
    <m/>
    <m/>
    <n v="1"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n v="3"/>
    <n v="1"/>
    <m/>
    <m/>
    <m/>
    <x v="247"/>
    <m/>
    <x v="9"/>
  </r>
  <r>
    <n v="823"/>
    <s v="SMOLIV"/>
    <m/>
    <x v="1"/>
    <x v="1"/>
    <s v="x"/>
    <s v="x"/>
    <m/>
    <s v="x"/>
    <s v="x"/>
    <s v="x"/>
    <m/>
    <s v="x"/>
    <s v="x"/>
    <s v="x"/>
    <s v="65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"/>
    <s v="Not fully evolved"/>
    <x v="9"/>
  </r>
  <r>
    <n v="824"/>
    <s v="DOLLIV"/>
    <m/>
    <x v="1"/>
    <x v="1"/>
    <s v="x"/>
    <s v="x"/>
    <m/>
    <s v="x"/>
    <s v="x"/>
    <s v="x"/>
    <m/>
    <s v="n/a"/>
    <s v="x"/>
    <s v="x"/>
    <s v="65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"/>
    <s v="Not fully evolved"/>
    <x v="9"/>
  </r>
  <r>
    <n v="825"/>
    <s v="ARBOLIVA"/>
    <m/>
    <x v="1"/>
    <x v="1"/>
    <s v="x"/>
    <s v="x"/>
    <s v="x"/>
    <s v="x"/>
    <s v="x"/>
    <s v="x"/>
    <m/>
    <s v="n/a"/>
    <s v="x"/>
    <s v="x"/>
    <s v="65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3"/>
    <m/>
    <m/>
    <m/>
    <m/>
    <x v="1"/>
    <m/>
    <x v="9"/>
  </r>
  <r>
    <n v="826"/>
    <s v="NICKIT"/>
    <m/>
    <x v="3"/>
    <x v="18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Zeta"/>
    <m/>
    <n v="1"/>
    <m/>
    <m/>
    <m/>
    <m/>
    <n v="1"/>
    <n v="1"/>
    <m/>
    <n v="1"/>
    <m/>
    <m/>
    <m/>
    <m/>
    <m/>
    <m/>
    <n v="1"/>
    <m/>
    <m/>
    <m/>
    <m/>
    <m/>
    <n v="1"/>
    <m/>
    <m/>
    <m/>
    <m/>
    <m/>
    <m/>
    <m/>
    <m/>
    <m/>
    <m/>
    <m/>
    <m/>
    <m/>
    <m/>
    <m/>
    <m/>
    <m/>
    <m/>
    <m/>
    <m/>
    <x v="291"/>
    <s v="Not fully evolved"/>
    <x v="8"/>
  </r>
  <r>
    <n v="827"/>
    <s v="THIEVUL"/>
    <m/>
    <x v="3"/>
    <x v="18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Zeta"/>
    <m/>
    <n v="1"/>
    <m/>
    <m/>
    <m/>
    <m/>
    <n v="1"/>
    <n v="1"/>
    <m/>
    <n v="1"/>
    <m/>
    <m/>
    <m/>
    <m/>
    <m/>
    <m/>
    <n v="1"/>
    <m/>
    <m/>
    <m/>
    <m/>
    <m/>
    <n v="1"/>
    <m/>
    <m/>
    <m/>
    <m/>
    <m/>
    <m/>
    <m/>
    <m/>
    <m/>
    <m/>
    <m/>
    <m/>
    <m/>
    <m/>
    <m/>
    <n v="1"/>
    <m/>
    <m/>
    <m/>
    <m/>
    <x v="291"/>
    <m/>
    <x v="8"/>
  </r>
  <r>
    <n v="828"/>
    <s v="SPHEAL2"/>
    <m/>
    <x v="15"/>
    <x v="5"/>
    <s v="x"/>
    <s v="x"/>
    <m/>
    <s v="x"/>
    <s v="x"/>
    <s v="x"/>
    <s v="x"/>
    <s v="x"/>
    <s v="x"/>
    <s v="x"/>
    <s v="Custom - Escav"/>
    <s v="n/a"/>
    <s v="n/a"/>
    <s v="n/a"/>
    <s v="n/a"/>
    <s v="n/a"/>
    <s v="n/a"/>
    <s v="n/a"/>
    <s v="Ace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3"/>
    <m/>
    <m/>
    <m/>
    <m/>
    <x v="149"/>
    <s v="Not fully evolved"/>
    <x v="3"/>
  </r>
  <r>
    <n v="829"/>
    <s v="SEALEO2"/>
    <m/>
    <x v="15"/>
    <x v="5"/>
    <s v="x"/>
    <s v="x"/>
    <m/>
    <s v="x"/>
    <s v="x"/>
    <s v="x"/>
    <m/>
    <s v="n/a"/>
    <s v="x"/>
    <s v="x"/>
    <s v="Custom - Escav"/>
    <s v="n/a"/>
    <s v="n/a"/>
    <s v="n/a"/>
    <s v="n/a"/>
    <s v="n/a"/>
    <s v="n/a"/>
    <s v="n/a"/>
    <s v="Ace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49"/>
    <s v="Not fully evolved"/>
    <x v="3"/>
  </r>
  <r>
    <n v="830"/>
    <s v="WALREIN2"/>
    <m/>
    <x v="15"/>
    <x v="5"/>
    <s v="x"/>
    <s v="x"/>
    <s v="x"/>
    <s v="x"/>
    <s v="x"/>
    <s v="x"/>
    <m/>
    <s v="n/a"/>
    <s v="x"/>
    <s v="x"/>
    <s v="Custom - Escav"/>
    <s v="n/a"/>
    <s v="n/a"/>
    <s v="n/a"/>
    <s v="n/a"/>
    <s v="n/a"/>
    <s v="n/a"/>
    <s v="n/a"/>
    <s v="Ace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15"/>
    <m/>
    <m/>
    <m/>
    <m/>
    <x v="149"/>
    <m/>
    <x v="3"/>
  </r>
  <r>
    <n v="831"/>
    <s v="BARBOACH"/>
    <m/>
    <x v="11"/>
    <x v="0"/>
    <s v="x"/>
    <s v="x"/>
    <m/>
    <s v="x"/>
    <s v="x"/>
    <s v="x"/>
    <m/>
    <s v="x"/>
    <s v="x"/>
    <s v="x"/>
    <s v="-15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92"/>
    <s v="Not fully evolved"/>
    <x v="3"/>
  </r>
  <r>
    <n v="832"/>
    <s v="WHISCASH"/>
    <m/>
    <x v="11"/>
    <x v="0"/>
    <s v="x"/>
    <s v="x"/>
    <s v="x"/>
    <s v="x"/>
    <s v="x"/>
    <s v="x"/>
    <m/>
    <s v="n/a"/>
    <s v="x"/>
    <s v="x"/>
    <s v="-15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3"/>
    <m/>
    <m/>
    <m/>
    <m/>
    <x v="292"/>
    <m/>
    <x v="3"/>
  </r>
  <r>
    <n v="833"/>
    <s v="ORICORIO"/>
    <s v="Trance"/>
    <x v="16"/>
    <x v="8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1"/>
    <m/>
    <m/>
    <m/>
    <m/>
    <x v="293"/>
    <m/>
    <x v="6"/>
  </r>
  <r>
    <s v="x"/>
    <s v="ORICORIO"/>
    <s v="Metal"/>
    <x v="10"/>
    <x v="8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4"/>
    <m/>
    <x v="6"/>
  </r>
  <r>
    <s v="x"/>
    <s v="ORICORIO"/>
    <s v="Rave"/>
    <x v="7"/>
    <x v="8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60"/>
    <m/>
    <x v="6"/>
  </r>
  <r>
    <s v="x"/>
    <s v="ORICORIO"/>
    <s v="World"/>
    <x v="0"/>
    <x v="8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45"/>
    <m/>
    <x v="6"/>
  </r>
  <r>
    <n v="834"/>
    <s v="AXEW"/>
    <m/>
    <x v="13"/>
    <x v="17"/>
    <s v="x"/>
    <s v="x"/>
    <m/>
    <s v="x"/>
    <s v="x"/>
    <s v="x"/>
    <m/>
    <s v="x"/>
    <s v="x"/>
    <s v="x"/>
    <s v="70/0/0"/>
    <s v="n/a"/>
    <s v="n/a"/>
    <s v="n/a"/>
    <s v="n/a"/>
    <s v="n/a"/>
    <s v="n/a"/>
    <s v="n/a"/>
    <s v="Jos/Boro"/>
    <m/>
    <m/>
    <m/>
    <m/>
    <m/>
    <n v="1"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45"/>
    <s v="Not fully evolved"/>
    <x v="1"/>
  </r>
  <r>
    <n v="835"/>
    <s v="FRAXURE"/>
    <m/>
    <x v="13"/>
    <x v="17"/>
    <s v="x"/>
    <s v="x"/>
    <m/>
    <s v="x"/>
    <s v="x"/>
    <s v="x"/>
    <m/>
    <s v="n/a"/>
    <s v="x"/>
    <s v="x"/>
    <s v="70/0/0"/>
    <s v="n/a"/>
    <s v="n/a"/>
    <s v="n/a"/>
    <s v="n/a"/>
    <s v="n/a"/>
    <s v="n/a"/>
    <s v="n/a"/>
    <s v="Jos/Boro"/>
    <m/>
    <m/>
    <m/>
    <m/>
    <m/>
    <n v="1"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45"/>
    <s v="Not fully evolved"/>
    <x v="1"/>
  </r>
  <r>
    <n v="836"/>
    <s v="HAXORUS"/>
    <m/>
    <x v="13"/>
    <x v="17"/>
    <s v="x"/>
    <s v="x"/>
    <s v="x"/>
    <s v="x"/>
    <s v="x"/>
    <s v="x"/>
    <m/>
    <s v="n/a"/>
    <s v="x"/>
    <s v="x"/>
    <s v="70/0/0"/>
    <s v="n/a"/>
    <s v="n/a"/>
    <s v="n/a"/>
    <s v="n/a"/>
    <s v="n/a"/>
    <s v="n/a"/>
    <s v="n/a"/>
    <s v="Jos/Boro"/>
    <m/>
    <m/>
    <m/>
    <m/>
    <m/>
    <n v="1"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9"/>
    <n v="1"/>
    <m/>
    <m/>
    <m/>
    <x v="45"/>
    <m/>
    <x v="1"/>
  </r>
  <r>
    <n v="837"/>
    <s v="PACHIRISU"/>
    <m/>
    <x v="17"/>
    <x v="4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Jos/Boro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x v="71"/>
    <m/>
    <x v="5"/>
  </r>
  <r>
    <n v="838"/>
    <s v="QWILFISH"/>
    <m/>
    <x v="9"/>
    <x v="0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/Boro"/>
    <m/>
    <m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6"/>
    <s v="Not fully evolved"/>
    <x v="2"/>
  </r>
  <r>
    <n v="839"/>
    <s v="OVERQWIL"/>
    <m/>
    <x v="9"/>
    <x v="0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Jos/Boro"/>
    <m/>
    <m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1"/>
    <m/>
    <m/>
    <m/>
    <m/>
    <x v="16"/>
    <m/>
    <x v="8"/>
  </r>
  <r>
    <n v="840"/>
    <s v="MINIOR"/>
    <m/>
    <x v="4"/>
    <x v="13"/>
    <s v="x"/>
    <s v="x"/>
    <s v="x"/>
    <s v="x"/>
    <s v="x"/>
    <s v="x"/>
    <m/>
    <s v="x"/>
    <s v="x"/>
    <s v="x"/>
    <s v="-180/0/0"/>
    <s v="n/a"/>
    <s v="n/a"/>
    <s v="n/a"/>
    <s v="n/a"/>
    <s v="n/a"/>
    <s v="n/a"/>
    <s v="n/a"/>
    <s v="Ace"/>
    <m/>
    <m/>
    <m/>
    <m/>
    <m/>
    <n v="1"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94"/>
    <m/>
    <x v="6"/>
  </r>
  <r>
    <n v="841"/>
    <s v="GREAVARD"/>
    <m/>
    <x v="5"/>
    <x v="4"/>
    <s v="x"/>
    <s v="x"/>
    <m/>
    <s v="x"/>
    <s v="x"/>
    <s v="x"/>
    <m/>
    <s v="x"/>
    <s v="x"/>
    <s v="x"/>
    <s v="-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7"/>
    <s v="Not fully evolved"/>
    <x v="9"/>
  </r>
  <r>
    <n v="842"/>
    <s v="HOUNDSTONE"/>
    <m/>
    <x v="5"/>
    <x v="4"/>
    <s v="x"/>
    <s v="x"/>
    <s v="x"/>
    <s v="x"/>
    <s v="x"/>
    <s v="x"/>
    <m/>
    <s v="n/a"/>
    <s v="x"/>
    <s v="x"/>
    <s v="-18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7"/>
    <m/>
    <x v="9"/>
  </r>
  <r>
    <n v="843"/>
    <s v="SANDSHREW"/>
    <m/>
    <x v="9"/>
    <x v="20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95"/>
    <s v="Not fully evolved"/>
    <x v="0"/>
  </r>
  <r>
    <n v="844"/>
    <s v="SANDSLASH"/>
    <m/>
    <x v="9"/>
    <x v="20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Jos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95"/>
    <m/>
    <x v="0"/>
  </r>
  <r>
    <n v="845"/>
    <s v="CETODDLE"/>
    <m/>
    <x v="13"/>
    <x v="6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x v="296"/>
    <s v="Not fully evolved"/>
    <x v="9"/>
  </r>
  <r>
    <n v="846"/>
    <s v="CETITAN"/>
    <m/>
    <x v="13"/>
    <x v="6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x v="296"/>
    <m/>
    <x v="9"/>
  </r>
  <r>
    <n v="847"/>
    <s v="TORCHIC"/>
    <m/>
    <x v="4"/>
    <x v="2"/>
    <s v="x"/>
    <s v="x"/>
    <m/>
    <s v="x"/>
    <s v="x"/>
    <s v="x"/>
    <m/>
    <s v="x"/>
    <s v="x"/>
    <s v="x"/>
    <s v="-95/0/0"/>
    <s v="n/a"/>
    <s v="n/a"/>
    <s v="n/a"/>
    <s v="n/a"/>
    <s v="n/a"/>
    <s v="n/a"/>
    <s v="n/a"/>
    <s v="Ignotus68"/>
    <m/>
    <m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90"/>
    <s v="Not fully evolved"/>
    <x v="3"/>
  </r>
  <r>
    <n v="848"/>
    <s v="COMBUSKEN"/>
    <m/>
    <x v="4"/>
    <x v="2"/>
    <s v="x"/>
    <s v="x"/>
    <m/>
    <s v="x"/>
    <s v="x"/>
    <s v="x"/>
    <m/>
    <s v="n/a"/>
    <s v="x"/>
    <s v="x"/>
    <s v="-95/0/0"/>
    <s v="n/a"/>
    <s v="n/a"/>
    <s v="n/a"/>
    <s v="n/a"/>
    <s v="n/a"/>
    <s v="n/a"/>
    <s v="n/a"/>
    <s v="Ignotus68"/>
    <m/>
    <m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90"/>
    <s v="Not fully evolved"/>
    <x v="3"/>
  </r>
  <r>
    <n v="849"/>
    <s v="BLAZIKEN"/>
    <m/>
    <x v="4"/>
    <x v="2"/>
    <s v="x"/>
    <s v="x"/>
    <s v="x"/>
    <s v="x"/>
    <s v="x"/>
    <s v="x"/>
    <m/>
    <s v="n/a"/>
    <s v="x"/>
    <s v="x"/>
    <s v="-95/0/0"/>
    <s v="x"/>
    <s v="x"/>
    <s v="x"/>
    <s v="x"/>
    <s v="x"/>
    <s v="x"/>
    <s v="x"/>
    <s v="Ignotus68"/>
    <m/>
    <m/>
    <m/>
    <m/>
    <m/>
    <m/>
    <n v="1"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11"/>
    <n v="2"/>
    <m/>
    <m/>
    <m/>
    <x v="190"/>
    <m/>
    <x v="3"/>
  </r>
  <r>
    <n v="850"/>
    <s v="NACLI"/>
    <m/>
    <x v="15"/>
    <x v="4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48"/>
    <s v="Not fully evolved"/>
    <x v="9"/>
  </r>
  <r>
    <n v="851"/>
    <s v="NACLSTACK"/>
    <m/>
    <x v="15"/>
    <x v="4"/>
    <s v="x"/>
    <s v="x"/>
    <m/>
    <s v="x"/>
    <s v="x"/>
    <s v="x"/>
    <m/>
    <s v="n/a"/>
    <s v="x"/>
    <s v="x"/>
    <s v="Custom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48"/>
    <s v="Not fully evolved"/>
    <x v="9"/>
  </r>
  <r>
    <n v="852"/>
    <s v="GARGANACL"/>
    <m/>
    <x v="15"/>
    <x v="4"/>
    <s v="x"/>
    <s v="x"/>
    <s v="x"/>
    <s v="x"/>
    <s v="x"/>
    <s v="x"/>
    <m/>
    <s v="n/a"/>
    <s v="x"/>
    <s v="x"/>
    <s v="Custom"/>
    <s v="x"/>
    <s v="x"/>
    <s v="x"/>
    <s v="x"/>
    <s v="x"/>
    <s v="x"/>
    <s v="x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4"/>
    <n v="1"/>
    <m/>
    <m/>
    <m/>
    <x v="148"/>
    <m/>
    <x v="9"/>
  </r>
  <r>
    <n v="853"/>
    <s v="FRIGIBAX"/>
    <m/>
    <x v="13"/>
    <x v="17"/>
    <s v="x"/>
    <s v="x"/>
    <m/>
    <s v="x"/>
    <s v="x"/>
    <s v="x"/>
    <m/>
    <s v="x"/>
    <s v="x"/>
    <s v="x"/>
    <s v="Custom - Sweg1b01"/>
    <s v="n/a"/>
    <s v="n/a"/>
    <s v="n/a"/>
    <s v="n/a"/>
    <s v="n/a"/>
    <s v="n/a"/>
    <s v="n/a"/>
    <s v="Ignotus68"/>
    <m/>
    <m/>
    <m/>
    <m/>
    <n v="1"/>
    <n v="1"/>
    <m/>
    <m/>
    <m/>
    <m/>
    <m/>
    <m/>
    <m/>
    <m/>
    <m/>
    <m/>
    <m/>
    <m/>
    <m/>
    <n v="1"/>
    <m/>
    <m/>
    <m/>
    <m/>
    <m/>
    <n v="1"/>
    <n v="1"/>
    <m/>
    <m/>
    <m/>
    <m/>
    <m/>
    <m/>
    <m/>
    <m/>
    <m/>
    <m/>
    <m/>
    <m/>
    <m/>
    <m/>
    <m/>
    <m/>
    <x v="45"/>
    <s v="Not fully evolved"/>
    <x v="9"/>
  </r>
  <r>
    <n v="854"/>
    <s v="ARCTIBAX"/>
    <m/>
    <x v="13"/>
    <x v="17"/>
    <s v="x"/>
    <s v="x"/>
    <m/>
    <s v="x"/>
    <s v="x"/>
    <s v="x"/>
    <m/>
    <s v="n/a"/>
    <s v="x"/>
    <s v="x"/>
    <s v="Custom - Sweg1b01"/>
    <s v="n/a"/>
    <s v="n/a"/>
    <s v="n/a"/>
    <s v="n/a"/>
    <s v="n/a"/>
    <s v="n/a"/>
    <s v="n/a"/>
    <s v="Ignotus68"/>
    <m/>
    <m/>
    <m/>
    <m/>
    <n v="1"/>
    <n v="1"/>
    <m/>
    <m/>
    <m/>
    <m/>
    <m/>
    <m/>
    <m/>
    <m/>
    <m/>
    <m/>
    <m/>
    <m/>
    <m/>
    <n v="1"/>
    <m/>
    <m/>
    <m/>
    <m/>
    <m/>
    <n v="1"/>
    <n v="1"/>
    <m/>
    <m/>
    <m/>
    <m/>
    <m/>
    <m/>
    <m/>
    <m/>
    <m/>
    <m/>
    <m/>
    <m/>
    <m/>
    <m/>
    <m/>
    <m/>
    <x v="45"/>
    <s v="Not fully evolved"/>
    <x v="9"/>
  </r>
  <r>
    <n v="855"/>
    <s v="BAXCALIBUR"/>
    <m/>
    <x v="13"/>
    <x v="17"/>
    <s v="x"/>
    <s v="x"/>
    <s v="x"/>
    <s v="x"/>
    <s v="x"/>
    <s v="x"/>
    <m/>
    <s v="n/a"/>
    <s v="x"/>
    <s v="x"/>
    <s v="Custom - Sweg1b01"/>
    <s v="n/a"/>
    <s v="n/a"/>
    <s v="n/a"/>
    <s v="n/a"/>
    <s v="n/a"/>
    <s v="n/a"/>
    <s v="n/a"/>
    <s v="Ignotus68"/>
    <m/>
    <m/>
    <m/>
    <m/>
    <n v="1"/>
    <n v="1"/>
    <m/>
    <m/>
    <m/>
    <m/>
    <m/>
    <m/>
    <m/>
    <m/>
    <m/>
    <m/>
    <m/>
    <m/>
    <m/>
    <n v="1"/>
    <m/>
    <m/>
    <m/>
    <m/>
    <m/>
    <n v="1"/>
    <n v="1"/>
    <m/>
    <m/>
    <m/>
    <m/>
    <m/>
    <m/>
    <m/>
    <m/>
    <m/>
    <m/>
    <m/>
    <n v="1"/>
    <m/>
    <m/>
    <m/>
    <m/>
    <x v="45"/>
    <m/>
    <x v="9"/>
  </r>
  <r>
    <n v="856"/>
    <s v="WYNAUT"/>
    <m/>
    <x v="17"/>
    <x v="10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n v="1"/>
    <m/>
    <m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97"/>
    <s v="Not fully evolved"/>
    <x v="3"/>
  </r>
  <r>
    <n v="857"/>
    <s v="WOBBUFFET"/>
    <m/>
    <x v="17"/>
    <x v="10"/>
    <s v="x"/>
    <s v="x"/>
    <s v="x"/>
    <s v="x"/>
    <s v="x"/>
    <s v="x"/>
    <m/>
    <s v="n/a"/>
    <s v="x"/>
    <s v="x"/>
    <s v="Custom - Zeta"/>
    <s v="x"/>
    <s v="x"/>
    <s v="x"/>
    <s v="x"/>
    <s v="x"/>
    <s v="x"/>
    <s v="x"/>
    <s v="Jos"/>
    <m/>
    <m/>
    <m/>
    <m/>
    <m/>
    <m/>
    <n v="1"/>
    <m/>
    <m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n v="1"/>
    <m/>
    <m/>
    <m/>
    <x v="297"/>
    <m/>
    <x v="2"/>
  </r>
  <r>
    <n v="858"/>
    <s v="BOUFFALANT"/>
    <m/>
    <x v="3"/>
    <x v="20"/>
    <s v="x"/>
    <s v="x"/>
    <s v="x"/>
    <s v="x"/>
    <s v="x"/>
    <s v="x"/>
    <m/>
    <s v="x"/>
    <s v="x"/>
    <s v="x"/>
    <s v="120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298"/>
    <m/>
    <x v="1"/>
  </r>
  <r>
    <n v="859"/>
    <s v="SPINDA"/>
    <m/>
    <x v="17"/>
    <x v="8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n v="1"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299"/>
    <m/>
    <x v="1"/>
  </r>
  <r>
    <n v="860"/>
    <s v="MIENFOO"/>
    <m/>
    <x v="0"/>
    <x v="14"/>
    <s v="x"/>
    <s v="x"/>
    <m/>
    <s v="x"/>
    <s v="x"/>
    <s v="x"/>
    <m/>
    <s v="x"/>
    <s v="x"/>
    <s v="x"/>
    <s v="-45/0/0"/>
    <s v="n/a"/>
    <s v="n/a"/>
    <s v="n/a"/>
    <s v="n/a"/>
    <s v="n/a"/>
    <s v="n/a"/>
    <s v="n/a"/>
    <s v="Jos/Endless"/>
    <m/>
    <m/>
    <m/>
    <m/>
    <m/>
    <m/>
    <n v="1"/>
    <n v="1"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245"/>
    <s v="Not fully evolved"/>
    <x v="1"/>
  </r>
  <r>
    <n v="861"/>
    <s v="MIENSHAO"/>
    <m/>
    <x v="0"/>
    <x v="14"/>
    <s v="x"/>
    <s v="x"/>
    <s v="x"/>
    <s v="x"/>
    <s v="x"/>
    <s v="x"/>
    <m/>
    <s v="n/a"/>
    <s v="x"/>
    <s v="x"/>
    <s v="-45/0/0"/>
    <s v="n/a"/>
    <s v="n/a"/>
    <s v="n/a"/>
    <s v="n/a"/>
    <s v="n/a"/>
    <s v="n/a"/>
    <s v="n/a"/>
    <s v="Jos/Endless"/>
    <m/>
    <m/>
    <m/>
    <m/>
    <m/>
    <m/>
    <n v="1"/>
    <n v="1"/>
    <n v="1"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n v="1"/>
    <m/>
    <m/>
    <m/>
    <m/>
    <x v="245"/>
    <m/>
    <x v="1"/>
  </r>
  <r>
    <n v="862"/>
    <s v="TOGEPI"/>
    <m/>
    <x v="10"/>
    <x v="2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n v="1"/>
    <m/>
    <m/>
    <m/>
    <n v="1"/>
    <m/>
    <m/>
    <m/>
    <m/>
    <m/>
    <m/>
    <m/>
    <m/>
    <m/>
    <n v="1"/>
    <m/>
    <n v="1"/>
    <m/>
    <m/>
    <m/>
    <n v="1"/>
    <n v="1"/>
    <m/>
    <m/>
    <m/>
    <m/>
    <m/>
    <m/>
    <m/>
    <m/>
    <m/>
    <m/>
    <m/>
    <m/>
    <m/>
    <m/>
    <m/>
    <m/>
    <x v="181"/>
    <s v="Not fully evolved"/>
    <x v="2"/>
  </r>
  <r>
    <n v="863"/>
    <s v="TOGETIC"/>
    <m/>
    <x v="10"/>
    <x v="2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Jos / Pokemon Defiance"/>
    <m/>
    <m/>
    <m/>
    <m/>
    <m/>
    <n v="1"/>
    <m/>
    <m/>
    <m/>
    <n v="1"/>
    <m/>
    <m/>
    <m/>
    <m/>
    <m/>
    <m/>
    <m/>
    <m/>
    <m/>
    <n v="1"/>
    <m/>
    <n v="1"/>
    <m/>
    <m/>
    <m/>
    <n v="1"/>
    <n v="1"/>
    <m/>
    <m/>
    <m/>
    <m/>
    <m/>
    <m/>
    <m/>
    <m/>
    <m/>
    <m/>
    <m/>
    <m/>
    <m/>
    <m/>
    <m/>
    <m/>
    <x v="181"/>
    <s v="Not fully evolved"/>
    <x v="2"/>
  </r>
  <r>
    <n v="864"/>
    <s v="TOGEKISS"/>
    <m/>
    <x v="10"/>
    <x v="2"/>
    <s v="x"/>
    <s v="x"/>
    <s v="x"/>
    <s v="x"/>
    <s v="x"/>
    <s v="x"/>
    <s v="x"/>
    <s v="n/a"/>
    <s v="x"/>
    <s v="x"/>
    <s v="Custom - Zeta"/>
    <s v="n/a"/>
    <s v="n/a"/>
    <s v="n/a"/>
    <s v="n/a"/>
    <s v="n/a"/>
    <s v="n/a"/>
    <s v="n/a"/>
    <s v="Jos / Pokemon Defiance"/>
    <m/>
    <m/>
    <m/>
    <m/>
    <m/>
    <n v="1"/>
    <m/>
    <m/>
    <m/>
    <n v="1"/>
    <m/>
    <m/>
    <m/>
    <m/>
    <m/>
    <m/>
    <m/>
    <m/>
    <m/>
    <n v="1"/>
    <m/>
    <n v="1"/>
    <m/>
    <m/>
    <m/>
    <n v="1"/>
    <n v="1"/>
    <m/>
    <m/>
    <m/>
    <m/>
    <m/>
    <m/>
    <m/>
    <m/>
    <m/>
    <m/>
    <m/>
    <n v="6"/>
    <n v="2"/>
    <m/>
    <m/>
    <m/>
    <x v="181"/>
    <m/>
    <x v="5"/>
  </r>
  <r>
    <n v="865"/>
    <s v="ZORUA2"/>
    <m/>
    <x v="6"/>
    <x v="19"/>
    <s v="x"/>
    <s v="x"/>
    <m/>
    <s v="x"/>
    <s v="x"/>
    <s v="x"/>
    <s v="x"/>
    <s v="x"/>
    <s v="x"/>
    <s v="x"/>
    <s v="Custom - Zeta"/>
    <s v="n/a"/>
    <s v="n/a"/>
    <s v="n/a"/>
    <s v="n/a"/>
    <s v="n/a"/>
    <s v="n/a"/>
    <s v="n/a"/>
    <s v="Ignotus68"/>
    <m/>
    <m/>
    <n v="1"/>
    <m/>
    <m/>
    <m/>
    <m/>
    <m/>
    <m/>
    <n v="1"/>
    <m/>
    <m/>
    <m/>
    <m/>
    <m/>
    <m/>
    <n v="1"/>
    <n v="1"/>
    <m/>
    <m/>
    <m/>
    <m/>
    <m/>
    <m/>
    <m/>
    <n v="1"/>
    <n v="1"/>
    <n v="1"/>
    <m/>
    <m/>
    <m/>
    <m/>
    <m/>
    <m/>
    <m/>
    <m/>
    <m/>
    <m/>
    <m/>
    <m/>
    <m/>
    <m/>
    <m/>
    <x v="300"/>
    <s v="Not fully evolved"/>
    <x v="1"/>
  </r>
  <r>
    <n v="866"/>
    <s v="ZOROARK2"/>
    <m/>
    <x v="6"/>
    <x v="19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n v="1"/>
    <m/>
    <m/>
    <m/>
    <m/>
    <m/>
    <m/>
    <n v="1"/>
    <m/>
    <m/>
    <m/>
    <m/>
    <m/>
    <m/>
    <n v="1"/>
    <n v="1"/>
    <m/>
    <m/>
    <m/>
    <m/>
    <m/>
    <m/>
    <m/>
    <n v="1"/>
    <n v="1"/>
    <n v="1"/>
    <m/>
    <m/>
    <m/>
    <m/>
    <m/>
    <m/>
    <m/>
    <m/>
    <m/>
    <m/>
    <n v="4"/>
    <n v="2"/>
    <m/>
    <m/>
    <m/>
    <x v="300"/>
    <m/>
    <x v="1"/>
  </r>
  <r>
    <n v="867"/>
    <s v="CLODSIRE"/>
    <m/>
    <x v="5"/>
    <x v="12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n v="1"/>
    <n v="1"/>
    <n v="1"/>
    <n v="1"/>
    <m/>
    <m/>
    <m/>
    <m/>
    <n v="1"/>
    <n v="1"/>
    <m/>
    <m/>
    <m/>
    <m/>
    <m/>
    <m/>
    <m/>
    <m/>
    <m/>
    <n v="1"/>
    <m/>
    <m/>
    <m/>
    <m/>
    <m/>
    <n v="1"/>
    <m/>
    <m/>
    <m/>
    <m/>
    <m/>
    <m/>
    <m/>
    <m/>
    <m/>
    <m/>
    <n v="3"/>
    <n v="1"/>
    <m/>
    <m/>
    <m/>
    <x v="301"/>
    <m/>
    <x v="9"/>
  </r>
  <r>
    <n v="868"/>
    <s v="PANCHAM"/>
    <m/>
    <x v="5"/>
    <x v="14"/>
    <s v="x"/>
    <s v="x"/>
    <m/>
    <s v="x"/>
    <s v="x"/>
    <s v="x"/>
    <m/>
    <s v="x"/>
    <s v="x"/>
    <s v="x"/>
    <s v="Custom - Aceblade"/>
    <s v="n/a"/>
    <s v="n/a"/>
    <s v="n/a"/>
    <s v="n/a"/>
    <s v="n/a"/>
    <s v="n/a"/>
    <s v="n/a"/>
    <s v="Jos"/>
    <m/>
    <m/>
    <m/>
    <n v="1"/>
    <m/>
    <m/>
    <m/>
    <m/>
    <n v="1"/>
    <n v="1"/>
    <m/>
    <m/>
    <m/>
    <m/>
    <m/>
    <m/>
    <m/>
    <m/>
    <m/>
    <m/>
    <n v="1"/>
    <n v="1"/>
    <m/>
    <m/>
    <m/>
    <n v="1"/>
    <n v="1"/>
    <n v="1"/>
    <m/>
    <m/>
    <m/>
    <m/>
    <m/>
    <m/>
    <m/>
    <m/>
    <m/>
    <m/>
    <m/>
    <m/>
    <m/>
    <m/>
    <m/>
    <x v="211"/>
    <s v="Not fully evolved"/>
    <x v="4"/>
  </r>
  <r>
    <n v="869"/>
    <s v="PANGORO"/>
    <m/>
    <x v="5"/>
    <x v="14"/>
    <s v="x"/>
    <s v="x"/>
    <s v="x"/>
    <s v="x"/>
    <s v="x"/>
    <s v="x"/>
    <m/>
    <s v="n/a"/>
    <s v="x"/>
    <s v="x"/>
    <s v="Custom - Aceblade"/>
    <s v="n/a"/>
    <s v="n/a"/>
    <s v="n/a"/>
    <s v="n/a"/>
    <s v="n/a"/>
    <s v="n/a"/>
    <s v="n/a"/>
    <s v="Jos"/>
    <m/>
    <m/>
    <m/>
    <n v="1"/>
    <m/>
    <m/>
    <m/>
    <m/>
    <n v="1"/>
    <n v="1"/>
    <m/>
    <m/>
    <m/>
    <m/>
    <m/>
    <m/>
    <m/>
    <m/>
    <m/>
    <m/>
    <n v="1"/>
    <n v="1"/>
    <m/>
    <m/>
    <m/>
    <n v="1"/>
    <n v="1"/>
    <n v="1"/>
    <m/>
    <m/>
    <m/>
    <m/>
    <m/>
    <m/>
    <m/>
    <m/>
    <m/>
    <m/>
    <n v="3"/>
    <m/>
    <m/>
    <m/>
    <m/>
    <x v="211"/>
    <m/>
    <x v="4"/>
  </r>
  <r>
    <n v="870"/>
    <s v="OSHAWOTT"/>
    <m/>
    <x v="4"/>
    <x v="14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54"/>
    <s v="Not fully evolved"/>
    <x v="1"/>
  </r>
  <r>
    <n v="871"/>
    <s v="DEWOTT"/>
    <m/>
    <x v="4"/>
    <x v="14"/>
    <s v="x"/>
    <s v="x"/>
    <m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54"/>
    <s v="Not fully evolved"/>
    <x v="1"/>
  </r>
  <r>
    <n v="872"/>
    <s v="SAMUROTT"/>
    <m/>
    <x v="4"/>
    <x v="14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5"/>
    <n v="2"/>
    <m/>
    <m/>
    <m/>
    <x v="54"/>
    <m/>
    <x v="1"/>
  </r>
  <r>
    <n v="873"/>
    <s v="BERGMITE2"/>
    <m/>
    <x v="9"/>
    <x v="15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Ignotus68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8"/>
    <s v="Not fully evolved"/>
    <x v="4"/>
  </r>
  <r>
    <n v="874"/>
    <s v="AVALUGG2"/>
    <m/>
    <x v="9"/>
    <x v="15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1"/>
    <m/>
    <m/>
    <m/>
    <x v="68"/>
    <m/>
    <x v="4"/>
  </r>
  <r>
    <n v="875"/>
    <s v="TYRUNT2"/>
    <m/>
    <x v="9"/>
    <x v="17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Zeta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77"/>
    <s v="Not fully evolved"/>
    <x v="4"/>
  </r>
  <r>
    <n v="876"/>
    <s v="TYRANTRUM2"/>
    <m/>
    <x v="9"/>
    <x v="17"/>
    <s v="x"/>
    <s v="x"/>
    <s v="x"/>
    <s v="x"/>
    <s v="x"/>
    <s v="x"/>
    <m/>
    <s v="n/a"/>
    <s v="x"/>
    <s v="x"/>
    <s v="Custom - PDM20"/>
    <s v="n/a"/>
    <s v="n/a"/>
    <s v="n/a"/>
    <s v="n/a"/>
    <s v="n/a"/>
    <s v="n/a"/>
    <s v="n/a"/>
    <s v="Zeta"/>
    <m/>
    <m/>
    <m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4"/>
    <m/>
    <m/>
    <m/>
    <m/>
    <x v="277"/>
    <m/>
    <x v="4"/>
  </r>
  <r>
    <n v="877"/>
    <s v="WIGLETT"/>
    <m/>
    <x v="12"/>
    <x v="5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Riptidecord"/>
    <m/>
    <m/>
    <m/>
    <m/>
    <m/>
    <n v="1"/>
    <n v="1"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8"/>
    <s v="Not fully evolved"/>
    <x v="9"/>
  </r>
  <r>
    <n v="878"/>
    <s v="WUGTRIO"/>
    <m/>
    <x v="12"/>
    <x v="5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Riptidecord"/>
    <m/>
    <m/>
    <m/>
    <m/>
    <m/>
    <n v="1"/>
    <n v="1"/>
    <m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8"/>
    <m/>
    <x v="9"/>
  </r>
  <r>
    <n v="879"/>
    <s v="PLUSLE"/>
    <m/>
    <x v="18"/>
    <x v="4"/>
    <s v="x"/>
    <s v="x"/>
    <s v="x"/>
    <s v="x"/>
    <s v="x"/>
    <s v="x"/>
    <m/>
    <s v="x"/>
    <s v="x"/>
    <s v="x"/>
    <s v="Custom - Zeta"/>
    <s v="x"/>
    <s v="x"/>
    <s v="x"/>
    <s v="x"/>
    <s v="x"/>
    <s v="x"/>
    <s v="x"/>
    <s v="Raffs07"/>
    <m/>
    <m/>
    <m/>
    <m/>
    <m/>
    <m/>
    <m/>
    <m/>
    <m/>
    <m/>
    <m/>
    <m/>
    <n v="1"/>
    <m/>
    <m/>
    <n v="1"/>
    <n v="1"/>
    <n v="1"/>
    <n v="1"/>
    <n v="1"/>
    <m/>
    <m/>
    <m/>
    <m/>
    <m/>
    <m/>
    <m/>
    <m/>
    <m/>
    <m/>
    <m/>
    <m/>
    <m/>
    <m/>
    <m/>
    <m/>
    <m/>
    <m/>
    <n v="4"/>
    <n v="1"/>
    <m/>
    <m/>
    <m/>
    <x v="86"/>
    <m/>
    <x v="3"/>
  </r>
  <r>
    <n v="880"/>
    <s v="MINUN"/>
    <m/>
    <x v="2"/>
    <x v="4"/>
    <s v="x"/>
    <s v="x"/>
    <s v="x"/>
    <s v="x"/>
    <s v="x"/>
    <s v="x"/>
    <m/>
    <s v="x"/>
    <s v="x"/>
    <s v="x"/>
    <s v="Custom - Zeta"/>
    <s v="x"/>
    <s v="x"/>
    <s v="x"/>
    <s v="x"/>
    <s v="x"/>
    <s v="x"/>
    <s v="x"/>
    <s v="Raffs07"/>
    <m/>
    <m/>
    <m/>
    <m/>
    <m/>
    <m/>
    <m/>
    <m/>
    <m/>
    <m/>
    <m/>
    <m/>
    <n v="1"/>
    <m/>
    <m/>
    <n v="1"/>
    <n v="1"/>
    <n v="1"/>
    <n v="1"/>
    <n v="1"/>
    <m/>
    <m/>
    <m/>
    <m/>
    <m/>
    <m/>
    <m/>
    <m/>
    <m/>
    <m/>
    <m/>
    <m/>
    <m/>
    <m/>
    <m/>
    <m/>
    <m/>
    <m/>
    <n v="2"/>
    <m/>
    <m/>
    <m/>
    <m/>
    <x v="52"/>
    <m/>
    <x v="3"/>
  </r>
  <r>
    <n v="881"/>
    <s v="GROWLITHE2"/>
    <m/>
    <x v="10"/>
    <x v="0"/>
    <s v="x"/>
    <s v="x"/>
    <m/>
    <s v="x"/>
    <s v="x"/>
    <s v="x"/>
    <m/>
    <s v="x"/>
    <s v="x"/>
    <s v="x"/>
    <s v="Custom - Escav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m/>
    <m/>
    <m/>
    <m/>
    <m/>
    <x v="18"/>
    <s v="Not fully evolved"/>
    <x v="0"/>
  </r>
  <r>
    <n v="882"/>
    <s v="ARCANINE2"/>
    <m/>
    <x v="10"/>
    <x v="0"/>
    <s v="x"/>
    <s v="x"/>
    <s v="x"/>
    <s v="x"/>
    <s v="x"/>
    <s v="x"/>
    <s v="x"/>
    <s v="n/a"/>
    <s v="x"/>
    <s v="x"/>
    <s v="Custom - Escav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m/>
    <m/>
    <n v="1"/>
    <m/>
    <m/>
    <n v="1"/>
    <n v="1"/>
    <m/>
    <m/>
    <m/>
    <m/>
    <m/>
    <m/>
    <m/>
    <m/>
    <m/>
    <m/>
    <m/>
    <n v="7"/>
    <n v="2"/>
    <m/>
    <m/>
    <m/>
    <x v="18"/>
    <m/>
    <x v="0"/>
  </r>
  <r>
    <n v="883"/>
    <s v="PANSAGE"/>
    <m/>
    <x v="19"/>
    <x v="4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YoshiGaminStuf"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87"/>
    <s v="Not fully evolved"/>
    <x v="1"/>
  </r>
  <r>
    <n v="884"/>
    <s v="SIMISAGE"/>
    <m/>
    <x v="19"/>
    <x v="4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n v="4"/>
    <n v="2"/>
    <m/>
    <m/>
    <m/>
    <x v="87"/>
    <m/>
    <x v="1"/>
  </r>
  <r>
    <n v="885"/>
    <s v="PANSEAR"/>
    <m/>
    <x v="18"/>
    <x v="4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x v="86"/>
    <s v="Not fully evolved"/>
    <x v="1"/>
  </r>
  <r>
    <n v="886"/>
    <s v="SIMISEAR"/>
    <m/>
    <x v="18"/>
    <x v="4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x v="86"/>
    <m/>
    <x v="1"/>
  </r>
  <r>
    <n v="887"/>
    <s v="PANPOUR"/>
    <m/>
    <x v="13"/>
    <x v="4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YoshiGaminStuf"/>
    <m/>
    <m/>
    <m/>
    <m/>
    <m/>
    <n v="1"/>
    <m/>
    <m/>
    <n v="1"/>
    <n v="1"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x v="27"/>
    <s v="Not fully evolved"/>
    <x v="1"/>
  </r>
  <r>
    <n v="888"/>
    <s v="SIMIPOUR"/>
    <m/>
    <x v="13"/>
    <x v="4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m/>
    <m/>
    <m/>
    <m/>
    <n v="1"/>
    <m/>
    <m/>
    <n v="1"/>
    <n v="1"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x v="27"/>
    <m/>
    <x v="1"/>
  </r>
  <r>
    <n v="889"/>
    <s v="RHYHORN"/>
    <m/>
    <x v="1"/>
    <x v="17"/>
    <s v="x"/>
    <s v="x"/>
    <m/>
    <s v="x"/>
    <s v="x"/>
    <s v="x"/>
    <m/>
    <s v="x"/>
    <s v="x"/>
    <s v="x"/>
    <s v="Custom - Aceblade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39"/>
    <s v="Not fully evolved"/>
    <x v="0"/>
  </r>
  <r>
    <n v="890"/>
    <s v="RHYDON"/>
    <m/>
    <x v="1"/>
    <x v="17"/>
    <s v="x"/>
    <s v="x"/>
    <m/>
    <s v="x"/>
    <s v="x"/>
    <s v="x"/>
    <m/>
    <s v="n/a"/>
    <s v="x"/>
    <s v="x"/>
    <s v="Custom - Aceblade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39"/>
    <s v="Not fully evolved"/>
    <x v="0"/>
  </r>
  <r>
    <n v="891"/>
    <s v="RHYPERIOR"/>
    <m/>
    <x v="1"/>
    <x v="17"/>
    <s v="x"/>
    <s v="x"/>
    <s v="x"/>
    <s v="x"/>
    <s v="x"/>
    <s v="x"/>
    <m/>
    <s v="n/a"/>
    <s v="x"/>
    <s v="x"/>
    <s v="Custom - Aceblade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4"/>
    <n v="1"/>
    <m/>
    <m/>
    <m/>
    <x v="239"/>
    <m/>
    <x v="5"/>
  </r>
  <r>
    <n v="892"/>
    <s v="DUSKULL2"/>
    <m/>
    <x v="1"/>
    <x v="18"/>
    <s v="x"/>
    <s v="x"/>
    <m/>
    <s v="x"/>
    <s v="x"/>
    <s v="x"/>
    <m/>
    <s v="x"/>
    <s v="x"/>
    <s v="x"/>
    <s v="105/0/0"/>
    <s v="n/a"/>
    <s v="n/a"/>
    <s v="n/a"/>
    <s v="n/a"/>
    <s v="n/a"/>
    <s v="n/a"/>
    <s v="n/a"/>
    <s v="Jos/BlueTowel/Kixur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35"/>
    <s v="Not fully evolved"/>
    <x v="3"/>
  </r>
  <r>
    <n v="893"/>
    <s v="DUSCLOPS2"/>
    <m/>
    <x v="1"/>
    <x v="18"/>
    <s v="x"/>
    <s v="x"/>
    <m/>
    <s v="x"/>
    <s v="x"/>
    <s v="x"/>
    <m/>
    <s v="n/a"/>
    <s v="x"/>
    <s v="x"/>
    <s v="105/0/0"/>
    <s v="n/a"/>
    <s v="n/a"/>
    <s v="n/a"/>
    <s v="n/a"/>
    <s v="n/a"/>
    <s v="n/a"/>
    <s v="n/a"/>
    <s v="Jos/BlueTowel/Kixur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35"/>
    <s v="Not fully evolved"/>
    <x v="3"/>
  </r>
  <r>
    <n v="894"/>
    <s v="DUSKNOIR2"/>
    <m/>
    <x v="1"/>
    <x v="18"/>
    <s v="x"/>
    <s v="x"/>
    <s v="x"/>
    <s v="x"/>
    <s v="x"/>
    <s v="x"/>
    <m/>
    <s v="n/a"/>
    <s v="x"/>
    <s v="x"/>
    <s v="105/0/0"/>
    <s v="n/a"/>
    <s v="n/a"/>
    <s v="n/a"/>
    <s v="n/a"/>
    <s v="n/a"/>
    <s v="n/a"/>
    <s v="n/a"/>
    <s v="Jos/BlueTowel/Kixur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235"/>
    <m/>
    <x v="5"/>
  </r>
  <r>
    <n v="895"/>
    <s v="GLAMEOW"/>
    <m/>
    <x v="2"/>
    <x v="0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A11"/>
    <m/>
    <m/>
    <m/>
    <m/>
    <m/>
    <m/>
    <m/>
    <m/>
    <m/>
    <m/>
    <m/>
    <m/>
    <m/>
    <m/>
    <m/>
    <m/>
    <n v="1"/>
    <n v="1"/>
    <m/>
    <n v="1"/>
    <m/>
    <m/>
    <m/>
    <m/>
    <m/>
    <n v="1"/>
    <n v="1"/>
    <m/>
    <m/>
    <m/>
    <m/>
    <m/>
    <m/>
    <m/>
    <m/>
    <m/>
    <m/>
    <m/>
    <m/>
    <m/>
    <m/>
    <m/>
    <m/>
    <x v="302"/>
    <s v="Not fully evolved"/>
    <x v="5"/>
  </r>
  <r>
    <n v="896"/>
    <s v="PURUGLY"/>
    <m/>
    <x v="2"/>
    <x v="0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11"/>
    <m/>
    <m/>
    <m/>
    <m/>
    <m/>
    <m/>
    <m/>
    <m/>
    <m/>
    <m/>
    <m/>
    <m/>
    <m/>
    <m/>
    <m/>
    <m/>
    <n v="1"/>
    <n v="1"/>
    <m/>
    <n v="1"/>
    <m/>
    <m/>
    <m/>
    <m/>
    <m/>
    <n v="1"/>
    <n v="1"/>
    <m/>
    <m/>
    <m/>
    <m/>
    <m/>
    <m/>
    <m/>
    <m/>
    <m/>
    <m/>
    <m/>
    <m/>
    <m/>
    <m/>
    <m/>
    <m/>
    <x v="302"/>
    <m/>
    <x v="5"/>
  </r>
  <r>
    <n v="897"/>
    <s v="SHELLDER"/>
    <m/>
    <x v="3"/>
    <x v="1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n v="1"/>
    <m/>
    <m/>
    <m/>
    <m/>
    <m/>
    <m/>
    <m/>
    <m/>
    <m/>
    <m/>
    <m/>
    <m/>
    <m/>
    <m/>
    <m/>
    <m/>
    <m/>
    <m/>
    <m/>
    <m/>
    <x v="155"/>
    <s v="Not fully evolved"/>
    <x v="0"/>
  </r>
  <r>
    <n v="898"/>
    <s v="CLOYSTER"/>
    <m/>
    <x v="3"/>
    <x v="1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m/>
    <n v="1"/>
    <n v="1"/>
    <n v="1"/>
    <n v="1"/>
    <m/>
    <m/>
    <m/>
    <m/>
    <m/>
    <m/>
    <n v="1"/>
    <m/>
    <m/>
    <m/>
    <m/>
    <m/>
    <m/>
    <m/>
    <m/>
    <m/>
    <m/>
    <m/>
    <m/>
    <m/>
    <m/>
    <m/>
    <n v="4"/>
    <n v="1"/>
    <m/>
    <m/>
    <m/>
    <x v="155"/>
    <m/>
    <x v="0"/>
  </r>
  <r>
    <n v="899"/>
    <s v="INKAY"/>
    <m/>
    <x v="3"/>
    <x v="2"/>
    <s v="x"/>
    <s v="x"/>
    <m/>
    <s v="x"/>
    <s v="x"/>
    <s v="x"/>
    <m/>
    <s v="x"/>
    <s v="x"/>
    <s v="x"/>
    <s v="-75/0/0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3"/>
    <s v="Not fully evolved"/>
    <x v="4"/>
  </r>
  <r>
    <n v="900"/>
    <s v="MALAMAR"/>
    <m/>
    <x v="3"/>
    <x v="2"/>
    <s v="x"/>
    <s v="x"/>
    <s v="x"/>
    <s v="x"/>
    <s v="x"/>
    <s v="x"/>
    <m/>
    <s v="n/a"/>
    <s v="x"/>
    <s v="x"/>
    <s v="-75/0/0"/>
    <s v="n/a"/>
    <s v="n/a"/>
    <s v="n/a"/>
    <s v="n/a"/>
    <s v="n/a"/>
    <s v="n/a"/>
    <s v="n/a"/>
    <s v="Jos"/>
    <m/>
    <m/>
    <m/>
    <m/>
    <m/>
    <m/>
    <m/>
    <m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3"/>
    <m/>
    <x v="4"/>
  </r>
  <r>
    <n v="901"/>
    <s v="DONDOZO"/>
    <m/>
    <x v="8"/>
    <x v="6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Raffs07 / KingOfTheXRoad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2"/>
    <n v="1"/>
    <m/>
    <m/>
    <m/>
    <x v="303"/>
    <m/>
    <x v="9"/>
  </r>
  <r>
    <n v="902"/>
    <s v="TATSUGIRI"/>
    <m/>
    <x v="17"/>
    <x v="6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Raffs07 / Star Gaazer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m/>
    <m/>
    <m/>
    <m/>
    <x v="304"/>
    <m/>
    <x v="9"/>
  </r>
  <r>
    <n v="903"/>
    <s v="BUNNELBY"/>
    <m/>
    <x v="4"/>
    <x v="14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Raffs07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54"/>
    <m/>
    <x v="4"/>
  </r>
  <r>
    <n v="904"/>
    <s v="DIGGERSBY"/>
    <m/>
    <x v="4"/>
    <x v="14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Raffs07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2"/>
    <n v="1"/>
    <m/>
    <m/>
    <m/>
    <x v="54"/>
    <m/>
    <x v="4"/>
  </r>
  <r>
    <n v="905"/>
    <s v="ROCKRUFF"/>
    <m/>
    <x v="17"/>
    <x v="13"/>
    <s v="x"/>
    <s v="x"/>
    <m/>
    <s v="x"/>
    <s v="x"/>
    <s v="x"/>
    <m/>
    <s v="x"/>
    <s v="x"/>
    <s v="x"/>
    <s v="Custom - Boro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305"/>
    <m/>
    <x v="6"/>
  </r>
  <r>
    <n v="906"/>
    <s v="LYCANROC"/>
    <m/>
    <x v="17"/>
    <x v="13"/>
    <s v="x"/>
    <s v="x"/>
    <s v="x"/>
    <s v="x"/>
    <s v="x"/>
    <s v="x"/>
    <m/>
    <s v="n/a"/>
    <s v="x"/>
    <s v="x"/>
    <s v="Custom - Boro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n v="2"/>
    <n v="1"/>
    <m/>
    <m/>
    <m/>
    <x v="305"/>
    <m/>
    <x v="6"/>
  </r>
  <r>
    <n v="907"/>
    <s v="ROWLET2"/>
    <m/>
    <x v="7"/>
    <x v="14"/>
    <s v="x"/>
    <s v="x"/>
    <m/>
    <s v="x"/>
    <s v="x"/>
    <s v="x"/>
    <m/>
    <s v="x"/>
    <s v="x"/>
    <s v="x"/>
    <s v="-80/0/0"/>
    <s v="n/a"/>
    <s v="n/a"/>
    <s v="n/a"/>
    <s v="n/a"/>
    <s v="n/a"/>
    <s v="n/a"/>
    <s v="n/a"/>
    <s v="Ignotus68"/>
    <m/>
    <m/>
    <m/>
    <m/>
    <m/>
    <m/>
    <n v="1"/>
    <n v="1"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69"/>
    <m/>
    <x v="6"/>
  </r>
  <r>
    <n v="908"/>
    <s v="DARTRIX2"/>
    <m/>
    <x v="7"/>
    <x v="14"/>
    <s v="x"/>
    <s v="x"/>
    <m/>
    <s v="x"/>
    <s v="x"/>
    <s v="x"/>
    <m/>
    <s v="n/a"/>
    <s v="x"/>
    <s v="x"/>
    <s v="-80/0/0"/>
    <s v="n/a"/>
    <s v="n/a"/>
    <s v="n/a"/>
    <s v="n/a"/>
    <s v="n/a"/>
    <s v="n/a"/>
    <s v="n/a"/>
    <s v="Ignotus68"/>
    <m/>
    <m/>
    <m/>
    <m/>
    <m/>
    <m/>
    <n v="1"/>
    <n v="1"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69"/>
    <m/>
    <x v="6"/>
  </r>
  <r>
    <n v="909"/>
    <s v="DECIDUEYE2"/>
    <m/>
    <x v="7"/>
    <x v="14"/>
    <s v="x"/>
    <s v="x"/>
    <s v="x"/>
    <s v="x"/>
    <s v="x"/>
    <s v="x"/>
    <m/>
    <s v="n/a"/>
    <s v="x"/>
    <s v="x"/>
    <s v="-80/0/0"/>
    <s v="n/a"/>
    <s v="n/a"/>
    <s v="n/a"/>
    <s v="n/a"/>
    <s v="n/a"/>
    <s v="n/a"/>
    <s v="n/a"/>
    <s v="Ignotus68"/>
    <m/>
    <m/>
    <m/>
    <m/>
    <m/>
    <m/>
    <n v="1"/>
    <n v="1"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n v="6"/>
    <n v="1"/>
    <m/>
    <m/>
    <m/>
    <x v="69"/>
    <m/>
    <x v="6"/>
  </r>
  <r>
    <n v="910"/>
    <s v="LICKITUNG"/>
    <m/>
    <x v="6"/>
    <x v="4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Raffs07"/>
    <m/>
    <m/>
    <m/>
    <m/>
    <n v="1"/>
    <n v="1"/>
    <m/>
    <m/>
    <n v="1"/>
    <m/>
    <m/>
    <m/>
    <m/>
    <m/>
    <m/>
    <m/>
    <m/>
    <m/>
    <m/>
    <m/>
    <n v="1"/>
    <n v="1"/>
    <m/>
    <m/>
    <m/>
    <m/>
    <m/>
    <n v="1"/>
    <m/>
    <m/>
    <m/>
    <m/>
    <m/>
    <m/>
    <m/>
    <m/>
    <m/>
    <m/>
    <m/>
    <m/>
    <m/>
    <m/>
    <m/>
    <x v="62"/>
    <m/>
    <x v="0"/>
  </r>
  <r>
    <n v="911"/>
    <s v="LICKILICKY"/>
    <m/>
    <x v="6"/>
    <x v="4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Raffs07"/>
    <m/>
    <m/>
    <m/>
    <m/>
    <n v="1"/>
    <n v="1"/>
    <m/>
    <m/>
    <n v="1"/>
    <m/>
    <m/>
    <m/>
    <m/>
    <m/>
    <m/>
    <m/>
    <m/>
    <m/>
    <m/>
    <m/>
    <n v="1"/>
    <n v="1"/>
    <m/>
    <m/>
    <m/>
    <m/>
    <m/>
    <n v="1"/>
    <m/>
    <m/>
    <m/>
    <m/>
    <m/>
    <m/>
    <m/>
    <m/>
    <m/>
    <m/>
    <m/>
    <m/>
    <m/>
    <m/>
    <m/>
    <x v="62"/>
    <m/>
    <x v="5"/>
  </r>
  <r>
    <n v="912"/>
    <s v="SQUIRTLE"/>
    <m/>
    <x v="5"/>
    <x v="5"/>
    <s v="x"/>
    <s v="x"/>
    <m/>
    <s v="x"/>
    <s v="x"/>
    <s v="x"/>
    <m/>
    <s v="x"/>
    <s v="x"/>
    <s v="x"/>
    <s v="55/0/0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n v="1"/>
    <m/>
    <m/>
    <m/>
    <m/>
    <m/>
    <n v="1"/>
    <m/>
    <m/>
    <m/>
    <m/>
    <m/>
    <m/>
    <m/>
    <m/>
    <m/>
    <m/>
    <m/>
    <m/>
    <m/>
    <m/>
    <m/>
    <x v="8"/>
    <m/>
    <x v="0"/>
  </r>
  <r>
    <n v="913"/>
    <s v="WARTORTLE"/>
    <m/>
    <x v="5"/>
    <x v="5"/>
    <s v="x"/>
    <s v="x"/>
    <m/>
    <s v="x"/>
    <s v="x"/>
    <s v="x"/>
    <m/>
    <s v="n/a"/>
    <s v="x"/>
    <s v="x"/>
    <s v="55/0/0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n v="1"/>
    <m/>
    <m/>
    <m/>
    <m/>
    <m/>
    <n v="1"/>
    <m/>
    <m/>
    <m/>
    <m/>
    <m/>
    <m/>
    <m/>
    <m/>
    <m/>
    <m/>
    <m/>
    <m/>
    <m/>
    <m/>
    <m/>
    <x v="8"/>
    <m/>
    <x v="0"/>
  </r>
  <r>
    <n v="914"/>
    <s v="BLASTOISE"/>
    <m/>
    <x v="5"/>
    <x v="5"/>
    <s v="x"/>
    <s v="x"/>
    <s v="x"/>
    <s v="x"/>
    <s v="x"/>
    <s v="x"/>
    <m/>
    <s v="n/a"/>
    <s v="x"/>
    <s v="x"/>
    <s v="55/0/0"/>
    <s v="x"/>
    <s v="x"/>
    <s v="n/a"/>
    <s v="x"/>
    <s v="n/a"/>
    <s v="x"/>
    <s v="x"/>
    <s v="Zeta"/>
    <m/>
    <m/>
    <m/>
    <m/>
    <m/>
    <m/>
    <m/>
    <m/>
    <m/>
    <m/>
    <m/>
    <m/>
    <m/>
    <m/>
    <m/>
    <m/>
    <m/>
    <m/>
    <m/>
    <m/>
    <n v="1"/>
    <n v="1"/>
    <m/>
    <m/>
    <m/>
    <m/>
    <m/>
    <n v="1"/>
    <m/>
    <m/>
    <m/>
    <m/>
    <m/>
    <m/>
    <m/>
    <m/>
    <m/>
    <m/>
    <n v="3"/>
    <m/>
    <m/>
    <m/>
    <m/>
    <x v="8"/>
    <m/>
    <x v="0"/>
  </r>
  <r>
    <n v="915"/>
    <s v="CACNEA2"/>
    <m/>
    <x v="0"/>
    <x v="10"/>
    <s v="x"/>
    <s v="x"/>
    <m/>
    <s v="x"/>
    <s v="x"/>
    <s v="x"/>
    <m/>
    <s v="x"/>
    <s v="x"/>
    <s v="x"/>
    <s v="-120/0/0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x v="70"/>
    <m/>
    <x v="3"/>
  </r>
  <r>
    <n v="916"/>
    <s v="CACTURNE2"/>
    <m/>
    <x v="0"/>
    <x v="10"/>
    <s v="x"/>
    <s v="x"/>
    <s v="x"/>
    <s v="x"/>
    <s v="x"/>
    <s v="x"/>
    <m/>
    <s v="n/a"/>
    <s v="x"/>
    <s v="x"/>
    <s v="-120/0/0"/>
    <s v="x"/>
    <s v="x"/>
    <s v="x"/>
    <s v="x"/>
    <s v="x"/>
    <s v="x"/>
    <s v="x"/>
    <s v="Zeta"/>
    <m/>
    <m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n v="6"/>
    <n v="1"/>
    <m/>
    <m/>
    <m/>
    <x v="70"/>
    <m/>
    <x v="3"/>
  </r>
  <r>
    <n v="917"/>
    <s v="BELLSPROUT"/>
    <m/>
    <x v="9"/>
    <x v="18"/>
    <s v="x"/>
    <s v="x"/>
    <m/>
    <s v="x"/>
    <s v="x"/>
    <s v="x"/>
    <m/>
    <s v="x"/>
    <s v="x"/>
    <s v="x"/>
    <s v="Custom - Aceblade"/>
    <s v="n/a"/>
    <s v="n/a"/>
    <s v="n/a"/>
    <s v="n/a"/>
    <s v="n/a"/>
    <s v="n/a"/>
    <s v="n/a"/>
    <s v="Jos"/>
    <m/>
    <m/>
    <m/>
    <n v="1"/>
    <m/>
    <m/>
    <m/>
    <m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x v="306"/>
    <m/>
    <x v="0"/>
  </r>
  <r>
    <n v="918"/>
    <s v="WEEPINBELL"/>
    <m/>
    <x v="9"/>
    <x v="18"/>
    <s v="x"/>
    <s v="x"/>
    <m/>
    <s v="x"/>
    <s v="x"/>
    <s v="x"/>
    <m/>
    <s v="n/a"/>
    <s v="x"/>
    <s v="x"/>
    <s v="Custom - Aceblade"/>
    <s v="n/a"/>
    <s v="n/a"/>
    <s v="n/a"/>
    <s v="n/a"/>
    <s v="n/a"/>
    <s v="n/a"/>
    <s v="n/a"/>
    <s v="Jos"/>
    <m/>
    <m/>
    <m/>
    <n v="1"/>
    <m/>
    <m/>
    <m/>
    <m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x v="306"/>
    <m/>
    <x v="0"/>
  </r>
  <r>
    <n v="919"/>
    <s v="VICTREEBEL"/>
    <m/>
    <x v="9"/>
    <x v="18"/>
    <s v="x"/>
    <s v="x"/>
    <s v="x"/>
    <s v="x"/>
    <s v="x"/>
    <s v="x"/>
    <m/>
    <s v="n/a"/>
    <s v="x"/>
    <s v="x"/>
    <s v="Custom - Aceblade"/>
    <s v="x"/>
    <s v="x"/>
    <s v="x"/>
    <s v="x"/>
    <s v="x"/>
    <s v="x"/>
    <s v="x"/>
    <s v="Jos"/>
    <m/>
    <m/>
    <m/>
    <n v="1"/>
    <m/>
    <m/>
    <m/>
    <m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n v="1"/>
    <n v="1"/>
    <m/>
    <m/>
    <m/>
    <x v="306"/>
    <m/>
    <x v="0"/>
  </r>
  <r>
    <n v="920"/>
    <s v="PETILIL"/>
    <m/>
    <x v="0"/>
    <x v="12"/>
    <s v="x"/>
    <s v="x"/>
    <m/>
    <s v="x"/>
    <s v="x"/>
    <s v="x"/>
    <m/>
    <s v="x"/>
    <s v="x"/>
    <s v="x"/>
    <s v="Custom - Aceblade"/>
    <s v="n/a"/>
    <s v="n/a"/>
    <s v="n/a"/>
    <s v="n/a"/>
    <s v="n/a"/>
    <s v="n/a"/>
    <s v="n/a"/>
    <s v="Jos"/>
    <m/>
    <n v="1"/>
    <n v="1"/>
    <n v="1"/>
    <n v="1"/>
    <m/>
    <m/>
    <m/>
    <m/>
    <n v="1"/>
    <m/>
    <m/>
    <m/>
    <m/>
    <m/>
    <m/>
    <n v="1"/>
    <m/>
    <m/>
    <m/>
    <m/>
    <m/>
    <m/>
    <n v="1"/>
    <m/>
    <m/>
    <m/>
    <n v="1"/>
    <m/>
    <m/>
    <m/>
    <m/>
    <m/>
    <m/>
    <m/>
    <m/>
    <m/>
    <m/>
    <m/>
    <m/>
    <m/>
    <m/>
    <m/>
    <x v="307"/>
    <m/>
    <x v="1"/>
  </r>
  <r>
    <n v="921"/>
    <s v="LILLIGANT"/>
    <m/>
    <x v="0"/>
    <x v="12"/>
    <s v="x"/>
    <s v="x"/>
    <s v="x"/>
    <s v="x"/>
    <s v="x"/>
    <s v="x"/>
    <m/>
    <s v="n/a"/>
    <s v="x"/>
    <s v="x"/>
    <s v="Custom - Aceblade"/>
    <s v="n/a"/>
    <s v="n/a"/>
    <s v="n/a"/>
    <s v="n/a"/>
    <s v="n/a"/>
    <s v="n/a"/>
    <s v="n/a"/>
    <s v="Jos"/>
    <m/>
    <n v="1"/>
    <n v="1"/>
    <n v="1"/>
    <n v="1"/>
    <m/>
    <m/>
    <m/>
    <m/>
    <n v="1"/>
    <m/>
    <m/>
    <m/>
    <m/>
    <m/>
    <m/>
    <n v="1"/>
    <m/>
    <m/>
    <m/>
    <m/>
    <m/>
    <m/>
    <n v="1"/>
    <m/>
    <m/>
    <m/>
    <n v="1"/>
    <m/>
    <m/>
    <m/>
    <m/>
    <m/>
    <m/>
    <m/>
    <m/>
    <m/>
    <m/>
    <m/>
    <n v="1"/>
    <m/>
    <m/>
    <m/>
    <x v="307"/>
    <m/>
    <x v="1"/>
  </r>
  <r>
    <n v="922"/>
    <s v="PHANTUMP2"/>
    <m/>
    <x v="3"/>
    <x v="1"/>
    <s v="x"/>
    <s v="x"/>
    <m/>
    <s v="x"/>
    <s v="x"/>
    <s v="x"/>
    <m/>
    <s v="x"/>
    <s v="x"/>
    <s v="x"/>
    <s v="Custom - Endless"/>
    <s v="n/a"/>
    <s v="n/a"/>
    <s v="n/a"/>
    <s v="n/a"/>
    <s v="n/a"/>
    <s v="n/a"/>
    <s v="n/a"/>
    <s v="Endless/Otter"/>
    <m/>
    <m/>
    <m/>
    <m/>
    <n v="1"/>
    <m/>
    <n v="1"/>
    <n v="1"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55"/>
    <m/>
    <x v="6"/>
  </r>
  <r>
    <n v="923"/>
    <s v="TREVENANT2"/>
    <m/>
    <x v="3"/>
    <x v="1"/>
    <s v="x"/>
    <s v="x"/>
    <s v="x"/>
    <s v="x"/>
    <s v="x"/>
    <s v="x"/>
    <m/>
    <s v="n/a"/>
    <s v="x"/>
    <s v="x"/>
    <s v="Custom - Endless"/>
    <s v="n/a"/>
    <s v="n/a"/>
    <s v="n/a"/>
    <s v="n/a"/>
    <s v="n/a"/>
    <s v="n/a"/>
    <s v="n/a"/>
    <s v="Endless/Otter"/>
    <m/>
    <m/>
    <m/>
    <m/>
    <n v="1"/>
    <m/>
    <n v="1"/>
    <n v="1"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n v="1"/>
    <m/>
    <m/>
    <m/>
    <x v="155"/>
    <m/>
    <x v="2"/>
  </r>
  <r>
    <n v="924"/>
    <s v="IGGLYBUFF2"/>
    <m/>
    <x v="0"/>
    <x v="3"/>
    <s v="x"/>
    <s v="x"/>
    <m/>
    <s v="x"/>
    <s v="x"/>
    <s v="x"/>
    <m/>
    <s v="x"/>
    <s v="x"/>
    <s v="x"/>
    <s v="Custom - Boro"/>
    <s v="n/a"/>
    <s v="n/a"/>
    <s v="n/a"/>
    <s v="n/a"/>
    <s v="n/a"/>
    <s v="n/a"/>
    <s v="n/a"/>
    <s v="Ignotus68"/>
    <m/>
    <m/>
    <m/>
    <m/>
    <m/>
    <m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32"/>
    <m/>
    <x v="2"/>
  </r>
  <r>
    <n v="925"/>
    <s v="JIGGLYPUFF2"/>
    <m/>
    <x v="0"/>
    <x v="3"/>
    <s v="x"/>
    <s v="x"/>
    <m/>
    <s v="x"/>
    <s v="x"/>
    <s v="x"/>
    <m/>
    <s v="n/a"/>
    <s v="x"/>
    <s v="x"/>
    <s v="Custom - Boro"/>
    <s v="n/a"/>
    <s v="n/a"/>
    <s v="n/a"/>
    <s v="n/a"/>
    <s v="n/a"/>
    <s v="n/a"/>
    <s v="n/a"/>
    <s v="Ignotus68"/>
    <m/>
    <m/>
    <m/>
    <m/>
    <m/>
    <m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32"/>
    <m/>
    <x v="0"/>
  </r>
  <r>
    <n v="926"/>
    <s v="WIGGLYTUFF2"/>
    <m/>
    <x v="0"/>
    <x v="3"/>
    <s v="x"/>
    <s v="x"/>
    <s v="x"/>
    <s v="x"/>
    <s v="x"/>
    <s v="x"/>
    <m/>
    <s v="n/a"/>
    <s v="x"/>
    <s v="x"/>
    <s v="Custom - Boro"/>
    <s v="n/a"/>
    <s v="n/a"/>
    <s v="n/a"/>
    <s v="n/a"/>
    <s v="n/a"/>
    <s v="n/a"/>
    <s v="n/a"/>
    <s v="Ignotus68"/>
    <m/>
    <m/>
    <m/>
    <m/>
    <m/>
    <m/>
    <n v="1"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n v="1"/>
    <n v="1"/>
    <m/>
    <m/>
    <m/>
    <x v="132"/>
    <m/>
    <x v="0"/>
  </r>
  <r>
    <n v="927"/>
    <s v="TANDEMAUS"/>
    <m/>
    <x v="4"/>
    <x v="20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Ignotus68"/>
    <m/>
    <m/>
    <m/>
    <m/>
    <m/>
    <m/>
    <n v="1"/>
    <n v="1"/>
    <n v="1"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08"/>
    <m/>
    <x v="9"/>
  </r>
  <r>
    <n v="928"/>
    <s v="MAUSHOLD"/>
    <m/>
    <x v="4"/>
    <x v="20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Ignotus68"/>
    <m/>
    <m/>
    <m/>
    <m/>
    <m/>
    <m/>
    <n v="1"/>
    <n v="1"/>
    <n v="1"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08"/>
    <m/>
    <x v="9"/>
  </r>
  <r>
    <n v="929"/>
    <s v="MINIOR2"/>
    <m/>
    <x v="3"/>
    <x v="8"/>
    <s v="x"/>
    <s v="x"/>
    <s v="x"/>
    <s v="x"/>
    <s v="x"/>
    <s v="x"/>
    <m/>
    <s v="x"/>
    <s v="x"/>
    <s v="x"/>
    <s v="180/20/-5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n v="2"/>
    <m/>
    <m/>
    <m/>
    <m/>
    <x v="309"/>
    <m/>
    <x v="6"/>
  </r>
  <r>
    <n v="930"/>
    <s v="PERRSERKER"/>
    <m/>
    <x v="7"/>
    <x v="16"/>
    <s v="x"/>
    <s v="x"/>
    <s v="x"/>
    <s v="x"/>
    <s v="x"/>
    <s v="x"/>
    <m/>
    <s v="n/a"/>
    <s v="x"/>
    <s v="x"/>
    <s v="70/0/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310"/>
    <m/>
    <x v="8"/>
  </r>
  <r>
    <n v="931"/>
    <s v="GRUBBIN"/>
    <m/>
    <x v="8"/>
    <x v="19"/>
    <s v="x"/>
    <s v="x"/>
    <m/>
    <s v="x"/>
    <s v="x"/>
    <s v="x"/>
    <m/>
    <s v="x"/>
    <s v="x"/>
    <s v="x"/>
    <s v="Custom - Sweg1b01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311"/>
    <m/>
    <x v="6"/>
  </r>
  <r>
    <n v="932"/>
    <s v="CHARJABUG"/>
    <m/>
    <x v="8"/>
    <x v="19"/>
    <s v="x"/>
    <s v="x"/>
    <m/>
    <s v="x"/>
    <s v="x"/>
    <s v="x"/>
    <m/>
    <s v="n/a"/>
    <s v="x"/>
    <s v="x"/>
    <s v="Custom - Sweg1b01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311"/>
    <m/>
    <x v="6"/>
  </r>
  <r>
    <n v="933"/>
    <s v="VIKAVOLT"/>
    <m/>
    <x v="8"/>
    <x v="19"/>
    <s v="x"/>
    <s v="x"/>
    <s v="x"/>
    <s v="x"/>
    <s v="x"/>
    <s v="x"/>
    <m/>
    <s v="n/a"/>
    <s v="x"/>
    <s v="x"/>
    <s v="Custom - Sweg1b01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311"/>
    <m/>
    <x v="6"/>
  </r>
  <r>
    <n v="934"/>
    <s v="TEDDIURSA2"/>
    <m/>
    <x v="2"/>
    <x v="0"/>
    <s v="x"/>
    <s v="x"/>
    <m/>
    <s v="x"/>
    <s v="x"/>
    <s v="x"/>
    <m/>
    <s v="x"/>
    <s v="x"/>
    <s v="x"/>
    <s v="-40/15/-1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302"/>
    <m/>
    <x v="2"/>
  </r>
  <r>
    <n v="935"/>
    <s v="URSARING2"/>
    <m/>
    <x v="2"/>
    <x v="0"/>
    <s v="x"/>
    <s v="x"/>
    <s v="x"/>
    <s v="x"/>
    <s v="x"/>
    <s v="x"/>
    <m/>
    <s v="n/a"/>
    <s v="x"/>
    <s v="x"/>
    <s v="-40/15/-1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302"/>
    <m/>
    <x v="2"/>
  </r>
  <r>
    <n v="936"/>
    <s v="URSALUNA2"/>
    <m/>
    <x v="2"/>
    <x v="0"/>
    <s v="x"/>
    <s v="x"/>
    <s v="x"/>
    <s v="x"/>
    <s v="x"/>
    <s v="x"/>
    <m/>
    <s v="n/a"/>
    <s v="x"/>
    <s v="x"/>
    <s v="-40/15/-10"/>
    <s v="x"/>
    <s v="x"/>
    <s v="x"/>
    <s v="x"/>
    <s v="x"/>
    <s v="x"/>
    <s v="x"/>
    <s v="Ignotus68"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n v="7"/>
    <n v="1"/>
    <m/>
    <m/>
    <m/>
    <x v="302"/>
    <m/>
    <x v="9"/>
  </r>
  <r>
    <n v="937"/>
    <s v="RUNERIGUS"/>
    <m/>
    <x v="10"/>
    <x v="8"/>
    <s v="x"/>
    <s v="x"/>
    <s v="x"/>
    <s v="x"/>
    <s v="x"/>
    <s v="x"/>
    <m/>
    <s v="n/a"/>
    <s v="x"/>
    <s v="x"/>
    <s v="50/0/0"/>
    <s v="n/a"/>
    <s v="n/a"/>
    <s v="n/a"/>
    <s v="n/a"/>
    <s v="n/a"/>
    <s v="n/a"/>
    <s v="n/a"/>
    <s v="Ignotus68"/>
    <m/>
    <m/>
    <m/>
    <n v="1"/>
    <n v="1"/>
    <m/>
    <m/>
    <n v="1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2"/>
    <n v="1"/>
    <m/>
    <m/>
    <m/>
    <x v="14"/>
    <m/>
    <x v="8"/>
  </r>
  <r>
    <n v="938"/>
    <s v="SNEASEL2"/>
    <m/>
    <x v="11"/>
    <x v="10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YoshiGaminStuf"/>
    <m/>
    <n v="1"/>
    <m/>
    <m/>
    <m/>
    <m/>
    <m/>
    <m/>
    <m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122"/>
    <m/>
    <x v="2"/>
  </r>
  <r>
    <n v="939"/>
    <s v="WEAVILE2"/>
    <m/>
    <x v="11"/>
    <x v="11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n v="1"/>
    <m/>
    <m/>
    <m/>
    <m/>
    <m/>
    <m/>
    <m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n v="7"/>
    <n v="4"/>
    <m/>
    <m/>
    <m/>
    <x v="312"/>
    <m/>
    <x v="5"/>
  </r>
  <r>
    <n v="940"/>
    <s v="SNEASLER2"/>
    <m/>
    <x v="10"/>
    <x v="11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n v="1"/>
    <m/>
    <m/>
    <m/>
    <m/>
    <m/>
    <m/>
    <m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n v="2"/>
    <m/>
    <m/>
    <m/>
    <m/>
    <x v="229"/>
    <m/>
    <x v="8"/>
  </r>
  <r>
    <n v="941"/>
    <s v="HEATMOR"/>
    <m/>
    <x v="8"/>
    <x v="7"/>
    <s v="x"/>
    <s v="x"/>
    <s v="x"/>
    <s v="x"/>
    <s v="x"/>
    <s v="x"/>
    <m/>
    <s v="x"/>
    <s v="x"/>
    <s v="x"/>
    <s v="Custom"/>
    <s v="n/a"/>
    <s v="n/a"/>
    <s v="n/a"/>
    <s v="n/a"/>
    <s v="n/a"/>
    <s v="n/a"/>
    <s v="n/a"/>
    <s v="Jos/Badman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11"/>
    <m/>
    <x v="1"/>
  </r>
  <r>
    <n v="942"/>
    <s v="SHUCKLE"/>
    <m/>
    <x v="3"/>
    <x v="21"/>
    <s v="x"/>
    <s v="x"/>
    <s v="x"/>
    <s v="x"/>
    <s v="x"/>
    <s v="x"/>
    <m/>
    <s v="x"/>
    <s v="x"/>
    <s v="x"/>
    <s v="Custom"/>
    <s v="n/a"/>
    <s v="n/a"/>
    <s v="n/a"/>
    <s v="n/a"/>
    <s v="n/a"/>
    <s v="n/a"/>
    <s v="n/a"/>
    <s v="Badman/Jos (icon)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n v="8"/>
    <m/>
    <m/>
    <m/>
    <m/>
    <x v="273"/>
    <m/>
    <x v="2"/>
  </r>
  <r>
    <n v="943"/>
    <s v="TANDEMAUS2"/>
    <m/>
    <x v="2"/>
    <x v="20"/>
    <s v="x"/>
    <s v="x"/>
    <m/>
    <s v="x"/>
    <s v="x"/>
    <s v="x"/>
    <m/>
    <s v="x"/>
    <s v="x"/>
    <s v="x"/>
    <s v="60/0/0"/>
    <s v="n/a"/>
    <s v="n/a"/>
    <s v="n/a"/>
    <s v="n/a"/>
    <s v="n/a"/>
    <s v="n/a"/>
    <s v="n/a"/>
    <s v="Badman/Jos (icon)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205"/>
    <m/>
    <x v="9"/>
  </r>
  <r>
    <n v="944"/>
    <s v="MAUSHOLD2"/>
    <m/>
    <x v="2"/>
    <x v="20"/>
    <s v="x"/>
    <s v="x"/>
    <s v="x"/>
    <s v="x"/>
    <s v="x"/>
    <s v="x"/>
    <m/>
    <s v="n/a"/>
    <s v="x"/>
    <s v="x"/>
    <s v="60/0/0"/>
    <s v="n/a"/>
    <s v="n/a"/>
    <s v="n/a"/>
    <s v="n/a"/>
    <s v="n/a"/>
    <s v="n/a"/>
    <s v="n/a"/>
    <s v="Badman/Jos (icon)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3"/>
    <n v="1"/>
    <m/>
    <m/>
    <m/>
    <x v="205"/>
    <m/>
    <x v="9"/>
  </r>
  <r>
    <n v="945"/>
    <s v="ORANGURU"/>
    <m/>
    <x v="3"/>
    <x v="19"/>
    <s v="x"/>
    <s v="x"/>
    <s v="x"/>
    <s v="x"/>
    <s v="x"/>
    <s v="x"/>
    <m/>
    <s v="x"/>
    <s v="x"/>
    <s v="x"/>
    <s v="60/0/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1"/>
    <n v="1"/>
    <m/>
    <m/>
    <m/>
    <x v="147"/>
    <m/>
    <x v="6"/>
  </r>
  <r>
    <n v="946"/>
    <s v="PASSIMIAN"/>
    <m/>
    <x v="3"/>
    <x v="1"/>
    <s v="x"/>
    <s v="x"/>
    <s v="x"/>
    <s v="x"/>
    <s v="x"/>
    <s v="x"/>
    <m/>
    <s v="x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155"/>
    <m/>
    <x v="6"/>
  </r>
  <r>
    <n v="947"/>
    <s v="CETODDLE2"/>
    <m/>
    <x v="3"/>
    <x v="15"/>
    <s v="x"/>
    <s v="x"/>
    <m/>
    <s v="x"/>
    <s v="x"/>
    <s v="x"/>
    <m/>
    <s v="x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313"/>
    <m/>
    <x v="9"/>
  </r>
  <r>
    <n v="948"/>
    <s v="CETITAN2"/>
    <m/>
    <x v="3"/>
    <x v="15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5"/>
    <n v="2"/>
    <m/>
    <m/>
    <m/>
    <x v="313"/>
    <m/>
    <x v="9"/>
  </r>
  <r>
    <n v="949"/>
    <s v="SCYTHER2"/>
    <m/>
    <x v="7"/>
    <x v="21"/>
    <s v="x"/>
    <s v="x"/>
    <s v="x"/>
    <s v="x"/>
    <s v="x"/>
    <s v="x"/>
    <m/>
    <s v="x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1"/>
    <m/>
    <m/>
    <m/>
    <m/>
    <x v="259"/>
    <m/>
    <x v="0"/>
  </r>
  <r>
    <n v="950"/>
    <s v="SCIZOR2"/>
    <m/>
    <x v="7"/>
    <x v="21"/>
    <s v="x"/>
    <s v="x"/>
    <s v="x"/>
    <s v="x"/>
    <s v="x"/>
    <s v="x"/>
    <m/>
    <s v="n/a"/>
    <s v="x"/>
    <s v="x"/>
    <s v="Custom"/>
    <s v="n/a"/>
    <s v="n/a"/>
    <s v="n/a"/>
    <s v="n/a"/>
    <s v="n/a"/>
    <s v="n/a"/>
    <s v="n/a"/>
    <s v="YoshiGaminStuf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7"/>
    <n v="2"/>
    <m/>
    <m/>
    <m/>
    <x v="259"/>
    <m/>
    <x v="2"/>
  </r>
  <r>
    <n v="951"/>
    <s v="SHELMET"/>
    <m/>
    <x v="4"/>
    <x v="18"/>
    <s v="x"/>
    <s v="x"/>
    <m/>
    <s v="x"/>
    <s v="x"/>
    <s v="x"/>
    <m/>
    <s v="x"/>
    <s v="x"/>
    <s v="x"/>
    <s v="40/0/0"/>
    <s v="n/a"/>
    <s v="n/a"/>
    <s v="n/a"/>
    <s v="n/a"/>
    <s v="n/a"/>
    <s v="n/a"/>
    <s v="n/a"/>
    <s v="Jos"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92"/>
    <m/>
    <x v="1"/>
  </r>
  <r>
    <n v="952"/>
    <s v="ACCELGOR"/>
    <m/>
    <x v="4"/>
    <x v="18"/>
    <s v="x"/>
    <s v="x"/>
    <s v="x"/>
    <s v="x"/>
    <s v="x"/>
    <s v="x"/>
    <m/>
    <s v="n/a"/>
    <s v="x"/>
    <s v="x"/>
    <s v="40/0/0"/>
    <s v="n/a"/>
    <s v="n/a"/>
    <s v="n/a"/>
    <s v="n/a"/>
    <s v="n/a"/>
    <s v="n/a"/>
    <s v="n/a"/>
    <s v="Jos"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x v="192"/>
    <m/>
    <x v="1"/>
  </r>
  <r>
    <n v="953"/>
    <s v="SNUBBULL"/>
    <m/>
    <x v="1"/>
    <x v="1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41"/>
    <m/>
    <x v="2"/>
  </r>
  <r>
    <n v="954"/>
    <s v="GRANBULL"/>
    <m/>
    <x v="1"/>
    <x v="14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Boro/Jos (icon)"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41"/>
    <m/>
    <x v="2"/>
  </r>
  <r>
    <n v="955"/>
    <s v="CHEWTLE"/>
    <m/>
    <x v="13"/>
    <x v="5"/>
    <s v="x"/>
    <s v="x"/>
    <m/>
    <s v="x"/>
    <s v="x"/>
    <s v="x"/>
    <m/>
    <s v="x"/>
    <s v="x"/>
    <s v="x"/>
    <s v="55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14"/>
    <m/>
    <x v="8"/>
  </r>
  <r>
    <n v="956"/>
    <s v="DREDNAW"/>
    <m/>
    <x v="13"/>
    <x v="5"/>
    <s v="x"/>
    <s v="x"/>
    <s v="x"/>
    <s v="x"/>
    <s v="x"/>
    <s v="x"/>
    <m/>
    <s v="n/a"/>
    <s v="x"/>
    <s v="x"/>
    <s v="55/0/0"/>
    <s v="x"/>
    <s v="x"/>
    <s v="x"/>
    <s v="x"/>
    <s v="x"/>
    <s v="x"/>
    <s v="x"/>
    <s v="Jo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3"/>
    <m/>
    <m/>
    <m/>
    <m/>
    <x v="314"/>
    <m/>
    <x v="8"/>
  </r>
  <r>
    <n v="957"/>
    <s v="SKIDDO2"/>
    <m/>
    <x v="18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Badman/Aboodie (icon)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86"/>
    <m/>
    <x v="4"/>
  </r>
  <r>
    <n v="958"/>
    <s v="GOGOAT2"/>
    <m/>
    <x v="18"/>
    <x v="4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Badman/Aboodie (icon)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2"/>
    <n v="1"/>
    <m/>
    <m/>
    <m/>
    <x v="86"/>
    <m/>
    <x v="4"/>
  </r>
  <r>
    <n v="959"/>
    <s v="SIGILYPH"/>
    <m/>
    <x v="0"/>
    <x v="2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Badman/Jos (icon)"/>
    <m/>
    <m/>
    <m/>
    <m/>
    <m/>
    <m/>
    <n v="1"/>
    <n v="1"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n v="1"/>
    <n v="1"/>
    <m/>
    <m/>
    <m/>
    <x v="12"/>
    <m/>
    <x v="1"/>
  </r>
  <r>
    <n v="960"/>
    <s v="ORTHWORM"/>
    <m/>
    <x v="2"/>
    <x v="0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n v="1"/>
    <m/>
    <m/>
    <m/>
    <m/>
    <x v="302"/>
    <m/>
    <x v="9"/>
  </r>
  <r>
    <n v="961"/>
    <s v="BURMY"/>
    <m/>
    <x v="11"/>
    <x v="21"/>
    <s v="x"/>
    <s v="x"/>
    <m/>
    <s v="x"/>
    <s v="x"/>
    <s v="x"/>
    <m/>
    <s v="x"/>
    <s v="x"/>
    <s v="x"/>
    <s v="12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9"/>
    <s v="Not fully evolved"/>
    <x v="5"/>
  </r>
  <r>
    <n v="962"/>
    <s v="WORMADAM"/>
    <m/>
    <x v="11"/>
    <x v="21"/>
    <s v="x"/>
    <s v="x"/>
    <s v="x"/>
    <s v="x"/>
    <s v="x"/>
    <s v="x"/>
    <m/>
    <s v="n/a"/>
    <s v="x"/>
    <s v="x"/>
    <s v="12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9"/>
    <m/>
    <x v="5"/>
  </r>
  <r>
    <n v="963"/>
    <s v="MOTHIM"/>
    <m/>
    <x v="11"/>
    <x v="21"/>
    <s v="x"/>
    <s v="x"/>
    <s v="x"/>
    <s v="x"/>
    <s v="x"/>
    <s v="x"/>
    <m/>
    <s v="n/a"/>
    <s v="x"/>
    <s v="x"/>
    <s v="120/0/0"/>
    <s v="n/a"/>
    <s v="n/a"/>
    <s v="n/a"/>
    <s v="n/a"/>
    <s v="n/a"/>
    <s v="n/a"/>
    <s v="n/a"/>
    <s v="Jos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x v="159"/>
    <m/>
    <x v="5"/>
  </r>
  <r>
    <s v="x"/>
    <s v="BURMY"/>
    <s v="Rockworm"/>
    <x v="13"/>
    <x v="21"/>
    <s v="x"/>
    <s v="x"/>
    <m/>
    <s v="x"/>
    <s v="x"/>
    <s v="x"/>
    <m/>
    <s v="x"/>
    <s v="x"/>
    <s v="x"/>
    <s v="-140/0/0"/>
    <s v="n/a"/>
    <s v="n/a"/>
    <s v="n/a"/>
    <s v="n/a"/>
    <s v="n/a"/>
    <s v="n/a"/>
    <s v="n/a"/>
    <s v="Jos"/>
    <m/>
    <m/>
    <m/>
    <m/>
    <m/>
    <n v="1"/>
    <m/>
    <m/>
    <m/>
    <m/>
    <m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15"/>
    <s v="Not fully evolved"/>
    <x v="5"/>
  </r>
  <r>
    <s v="x"/>
    <s v="WORMADAM"/>
    <s v="Rockworm"/>
    <x v="13"/>
    <x v="21"/>
    <s v="x"/>
    <s v="x"/>
    <s v="x"/>
    <s v="x"/>
    <s v="x"/>
    <s v="x"/>
    <m/>
    <s v="n/a"/>
    <s v="x"/>
    <s v="x"/>
    <s v="-140/0/0"/>
    <s v="n/a"/>
    <s v="n/a"/>
    <s v="n/a"/>
    <s v="n/a"/>
    <s v="n/a"/>
    <s v="n/a"/>
    <s v="n/a"/>
    <s v="Jos"/>
    <m/>
    <m/>
    <m/>
    <m/>
    <m/>
    <n v="1"/>
    <m/>
    <m/>
    <m/>
    <m/>
    <m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15"/>
    <m/>
    <x v="5"/>
  </r>
  <r>
    <s v="x"/>
    <s v="MOTHIM"/>
    <s v="Rockworm"/>
    <x v="13"/>
    <x v="21"/>
    <s v="x"/>
    <s v="x"/>
    <s v="x"/>
    <s v="x"/>
    <s v="x"/>
    <s v="x"/>
    <m/>
    <s v="n/a"/>
    <s v="x"/>
    <s v="x"/>
    <s v="-140/0/0"/>
    <s v="n/a"/>
    <s v="n/a"/>
    <s v="n/a"/>
    <s v="n/a"/>
    <s v="n/a"/>
    <s v="n/a"/>
    <s v="n/a"/>
    <s v="Jos"/>
    <m/>
    <m/>
    <m/>
    <m/>
    <m/>
    <n v="1"/>
    <m/>
    <m/>
    <m/>
    <m/>
    <m/>
    <n v="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15"/>
    <m/>
    <x v="5"/>
  </r>
  <r>
    <s v="x"/>
    <s v="BURMY"/>
    <s v="Snowworm"/>
    <x v="2"/>
    <x v="21"/>
    <s v="x"/>
    <s v="x"/>
    <m/>
    <s v="x"/>
    <s v="x"/>
    <s v="x"/>
    <m/>
    <s v="x"/>
    <s v="x"/>
    <s v="x"/>
    <s v="-115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m/>
    <x v="316"/>
    <s v="Not fully evolved"/>
    <x v="5"/>
  </r>
  <r>
    <s v="x"/>
    <s v="WORMADAM"/>
    <s v="Snowworm"/>
    <x v="2"/>
    <x v="21"/>
    <s v="x"/>
    <s v="x"/>
    <s v="x"/>
    <s v="x"/>
    <s v="x"/>
    <s v="x"/>
    <m/>
    <s v="n/a"/>
    <s v="x"/>
    <s v="x"/>
    <s v="-115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m/>
    <x v="316"/>
    <m/>
    <x v="5"/>
  </r>
  <r>
    <s v="x"/>
    <s v="MOTHIM"/>
    <s v="Snowworm"/>
    <x v="2"/>
    <x v="21"/>
    <s v="x"/>
    <s v="x"/>
    <s v="x"/>
    <s v="x"/>
    <s v="x"/>
    <s v="x"/>
    <m/>
    <s v="n/a"/>
    <s v="x"/>
    <s v="x"/>
    <s v="-115/0/0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m/>
    <x v="316"/>
    <m/>
    <x v="5"/>
  </r>
  <r>
    <n v="964"/>
    <s v="SPRIGATITO"/>
    <m/>
    <x v="16"/>
    <x v="12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"/>
    <m/>
    <n v="1"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26"/>
    <m/>
    <x v="9"/>
  </r>
  <r>
    <n v="965"/>
    <s v="FLORAGATO"/>
    <m/>
    <x v="16"/>
    <x v="12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Jos"/>
    <m/>
    <n v="1"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x v="126"/>
    <m/>
    <x v="9"/>
  </r>
  <r>
    <n v="966"/>
    <s v="MEOWSCARADA"/>
    <m/>
    <x v="16"/>
    <x v="12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Jos"/>
    <m/>
    <n v="1"/>
    <m/>
    <m/>
    <m/>
    <m/>
    <m/>
    <m/>
    <n v="1"/>
    <n v="1"/>
    <m/>
    <m/>
    <m/>
    <m/>
    <m/>
    <m/>
    <m/>
    <m/>
    <m/>
    <m/>
    <n v="1"/>
    <m/>
    <n v="1"/>
    <m/>
    <m/>
    <m/>
    <m/>
    <m/>
    <m/>
    <m/>
    <m/>
    <m/>
    <m/>
    <m/>
    <m/>
    <m/>
    <m/>
    <m/>
    <n v="6"/>
    <n v="1"/>
    <m/>
    <m/>
    <m/>
    <x v="126"/>
    <m/>
    <x v="9"/>
  </r>
  <r>
    <n v="967"/>
    <s v="KLAWF"/>
    <m/>
    <x v="6"/>
    <x v="6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9"/>
    <m/>
    <x v="9"/>
  </r>
  <r>
    <n v="968"/>
    <s v="GLIMMET"/>
    <m/>
    <x v="3"/>
    <x v="9"/>
    <s v="x"/>
    <s v="x"/>
    <m/>
    <s v="x"/>
    <s v="x"/>
    <s v="x"/>
    <m/>
    <s v="x"/>
    <s v="x"/>
    <s v="x"/>
    <s v="Custom - Endless"/>
    <s v="n/a"/>
    <s v="n/a"/>
    <s v="n/a"/>
    <s v="n/a"/>
    <s v="n/a"/>
    <s v="n/a"/>
    <s v="n/a"/>
    <s v="Jos/Endless"/>
    <m/>
    <n v="1"/>
    <n v="1"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317"/>
    <m/>
    <x v="9"/>
  </r>
  <r>
    <n v="969"/>
    <s v="GLIMMORA"/>
    <m/>
    <x v="3"/>
    <x v="9"/>
    <s v="x"/>
    <s v="x"/>
    <s v="x"/>
    <s v="x"/>
    <s v="x"/>
    <s v="x"/>
    <m/>
    <s v="n/a"/>
    <s v="x"/>
    <s v="x"/>
    <s v="Custom - Endless"/>
    <s v="n/a"/>
    <s v="n/a"/>
    <s v="n/a"/>
    <s v="n/a"/>
    <s v="n/a"/>
    <s v="n/a"/>
    <s v="n/a"/>
    <s v="Jos/Endless"/>
    <m/>
    <n v="1"/>
    <n v="1"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n v="1"/>
    <m/>
    <m/>
    <m/>
    <x v="317"/>
    <m/>
    <x v="9"/>
  </r>
  <r>
    <n v="970"/>
    <s v="MARACTUS"/>
    <m/>
    <x v="8"/>
    <x v="10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Riptidecord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267"/>
    <m/>
    <x v="1"/>
  </r>
  <r>
    <n v="971"/>
    <s v="CYCLIZAR"/>
    <m/>
    <x v="1"/>
    <x v="5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Ignotus68"/>
    <m/>
    <m/>
    <m/>
    <m/>
    <m/>
    <m/>
    <m/>
    <m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n v="3"/>
    <n v="1"/>
    <m/>
    <m/>
    <m/>
    <x v="197"/>
    <m/>
    <x v="9"/>
  </r>
  <r>
    <n v="972"/>
    <s v="BRAMBLIN"/>
    <m/>
    <x v="1"/>
    <x v="3"/>
    <s v="x"/>
    <s v="x"/>
    <m/>
    <s v="x"/>
    <s v="x"/>
    <s v="x"/>
    <m/>
    <s v="x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x v="202"/>
    <m/>
    <x v="9"/>
  </r>
  <r>
    <n v="973"/>
    <s v="BRAMBLEGHAST"/>
    <m/>
    <x v="1"/>
    <x v="3"/>
    <s v="x"/>
    <s v="x"/>
    <s v="x"/>
    <s v="x"/>
    <s v="x"/>
    <s v="x"/>
    <m/>
    <s v="n/a"/>
    <s v="x"/>
    <s v="x"/>
    <s v="180/0/0"/>
    <s v="n/a"/>
    <s v="n/a"/>
    <s v="n/a"/>
    <s v="n/a"/>
    <s v="n/a"/>
    <s v="n/a"/>
    <s v="n/a"/>
    <s v="Jos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x v="202"/>
    <m/>
    <x v="9"/>
  </r>
  <r>
    <n v="974"/>
    <s v="TOEDSCOOL"/>
    <m/>
    <x v="17"/>
    <x v="19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Stellari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318"/>
    <m/>
    <x v="9"/>
  </r>
  <r>
    <n v="975"/>
    <s v="TOEDSCRUEL"/>
    <m/>
    <x v="17"/>
    <x v="19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Stellari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318"/>
    <m/>
    <x v="9"/>
  </r>
  <r>
    <n v="976"/>
    <s v="STUNFISK"/>
    <m/>
    <x v="17"/>
    <x v="8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Riptideco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99"/>
    <m/>
    <x v="1"/>
  </r>
  <r>
    <n v="977"/>
    <s v="CAPSAKID"/>
    <m/>
    <x v="5"/>
    <x v="7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Badman"/>
    <m/>
    <m/>
    <m/>
    <n v="1"/>
    <m/>
    <m/>
    <m/>
    <m/>
    <m/>
    <m/>
    <m/>
    <m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x v="319"/>
    <m/>
    <x v="9"/>
  </r>
  <r>
    <n v="978"/>
    <s v="SCOVILLAIN"/>
    <m/>
    <x v="5"/>
    <x v="7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Badman"/>
    <m/>
    <m/>
    <m/>
    <n v="1"/>
    <m/>
    <m/>
    <m/>
    <m/>
    <m/>
    <m/>
    <m/>
    <m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x v="319"/>
    <m/>
    <x v="9"/>
  </r>
  <r>
    <n v="979"/>
    <s v="QUAXLY"/>
    <m/>
    <x v="17"/>
    <x v="8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99"/>
    <m/>
    <x v="9"/>
  </r>
  <r>
    <n v="980"/>
    <s v="QUAXWELL"/>
    <m/>
    <x v="17"/>
    <x v="8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99"/>
    <m/>
    <x v="9"/>
  </r>
  <r>
    <n v="981"/>
    <s v="QUAQUAVAL"/>
    <m/>
    <x v="17"/>
    <x v="8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2"/>
    <n v="1"/>
    <m/>
    <m/>
    <m/>
    <x v="299"/>
    <m/>
    <x v="9"/>
  </r>
  <r>
    <n v="982"/>
    <s v="FOONGUS"/>
    <m/>
    <x v="5"/>
    <x v="11"/>
    <s v="x"/>
    <s v="x"/>
    <m/>
    <s v="x"/>
    <s v="x"/>
    <s v="x"/>
    <m/>
    <s v="x"/>
    <s v="x"/>
    <s v="x"/>
    <s v="65/0/0"/>
    <s v="n/a"/>
    <s v="n/a"/>
    <s v="n/a"/>
    <s v="n/a"/>
    <s v="n/a"/>
    <s v="n/a"/>
    <s v="n/a"/>
    <s v="Jos"/>
    <m/>
    <m/>
    <m/>
    <m/>
    <m/>
    <m/>
    <m/>
    <m/>
    <m/>
    <m/>
    <m/>
    <m/>
    <m/>
    <n v="1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320"/>
    <m/>
    <x v="1"/>
  </r>
  <r>
    <n v="983"/>
    <s v="AMOONGUSS"/>
    <m/>
    <x v="5"/>
    <x v="11"/>
    <s v="x"/>
    <s v="x"/>
    <s v="x"/>
    <s v="x"/>
    <s v="x"/>
    <s v="x"/>
    <m/>
    <s v="n/a"/>
    <s v="x"/>
    <s v="x"/>
    <s v="65/0/0"/>
    <s v="n/a"/>
    <s v="n/a"/>
    <s v="n/a"/>
    <s v="n/a"/>
    <s v="n/a"/>
    <s v="n/a"/>
    <s v="n/a"/>
    <s v="Jos"/>
    <m/>
    <m/>
    <m/>
    <m/>
    <m/>
    <m/>
    <m/>
    <m/>
    <m/>
    <m/>
    <m/>
    <m/>
    <m/>
    <n v="1"/>
    <m/>
    <m/>
    <m/>
    <m/>
    <m/>
    <m/>
    <m/>
    <m/>
    <m/>
    <m/>
    <n v="1"/>
    <n v="1"/>
    <n v="1"/>
    <m/>
    <m/>
    <m/>
    <m/>
    <m/>
    <m/>
    <m/>
    <m/>
    <m/>
    <m/>
    <m/>
    <n v="1"/>
    <m/>
    <m/>
    <m/>
    <m/>
    <x v="320"/>
    <m/>
    <x v="1"/>
  </r>
  <r>
    <n v="984"/>
    <s v="PARAS2"/>
    <m/>
    <x v="12"/>
    <x v="6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Fakemon Festival Pack / Jos"/>
    <m/>
    <m/>
    <m/>
    <m/>
    <m/>
    <m/>
    <m/>
    <m/>
    <m/>
    <m/>
    <m/>
    <m/>
    <m/>
    <n v="1"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27"/>
    <m/>
    <x v="0"/>
  </r>
  <r>
    <n v="985"/>
    <s v="PARASECT2"/>
    <m/>
    <x v="12"/>
    <x v="6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Fakemon Festival Pack / Jos"/>
    <m/>
    <m/>
    <m/>
    <m/>
    <m/>
    <m/>
    <m/>
    <m/>
    <m/>
    <m/>
    <m/>
    <m/>
    <m/>
    <n v="1"/>
    <m/>
    <m/>
    <m/>
    <m/>
    <m/>
    <m/>
    <m/>
    <m/>
    <m/>
    <m/>
    <n v="1"/>
    <n v="1"/>
    <n v="1"/>
    <m/>
    <m/>
    <m/>
    <m/>
    <m/>
    <m/>
    <m/>
    <m/>
    <m/>
    <m/>
    <m/>
    <n v="1"/>
    <n v="1"/>
    <m/>
    <m/>
    <m/>
    <x v="127"/>
    <m/>
    <x v="0"/>
  </r>
  <r>
    <n v="986"/>
    <s v="PHANPY2"/>
    <m/>
    <x v="1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Fakemon Festival Pack / 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74"/>
    <m/>
    <x v="2"/>
  </r>
  <r>
    <n v="987"/>
    <s v="DONPHAN2"/>
    <m/>
    <x v="1"/>
    <x v="4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Fakemon Festival Pack / Jos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m/>
    <x v="174"/>
    <m/>
    <x v="2"/>
  </r>
  <r>
    <n v="988"/>
    <s v="MELTAN"/>
    <m/>
    <x v="2"/>
    <x v="12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55"/>
    <m/>
    <x v="6"/>
  </r>
  <r>
    <n v="989"/>
    <s v="MELMETAL"/>
    <m/>
    <x v="2"/>
    <x v="12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55"/>
    <m/>
    <x v="6"/>
  </r>
  <r>
    <n v="990"/>
    <s v="UNOWN"/>
    <m/>
    <x v="13"/>
    <x v="8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Badman/Jos (icon)"/>
    <m/>
    <m/>
    <m/>
    <m/>
    <n v="1"/>
    <m/>
    <m/>
    <n v="1"/>
    <n v="1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n v="1"/>
    <m/>
    <m/>
    <m/>
    <m/>
    <x v="232"/>
    <m/>
    <x v="2"/>
  </r>
  <r>
    <n v="991"/>
    <s v="ROOKIDEE2"/>
    <m/>
    <x v="6"/>
    <x v="2"/>
    <s v="x"/>
    <s v="x"/>
    <m/>
    <s v="x"/>
    <s v="x"/>
    <s v="x"/>
    <m/>
    <s v="x"/>
    <s v="x"/>
    <s v="x"/>
    <s v="-70/0/0"/>
    <s v="n/a"/>
    <s v="n/a"/>
    <s v="n/a"/>
    <s v="n/a"/>
    <s v="n/a"/>
    <s v="n/a"/>
    <s v="n/a"/>
    <s v="Jos"/>
    <m/>
    <m/>
    <m/>
    <m/>
    <m/>
    <m/>
    <n v="1"/>
    <m/>
    <n v="1"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64"/>
    <m/>
    <x v="8"/>
  </r>
  <r>
    <n v="992"/>
    <s v="CORVISQUIRE2"/>
    <m/>
    <x v="6"/>
    <x v="2"/>
    <s v="x"/>
    <s v="x"/>
    <m/>
    <s v="x"/>
    <s v="x"/>
    <s v="x"/>
    <m/>
    <s v="n/a"/>
    <s v="x"/>
    <s v="x"/>
    <s v="-70/0/0"/>
    <s v="n/a"/>
    <s v="n/a"/>
    <s v="n/a"/>
    <s v="n/a"/>
    <s v="n/a"/>
    <s v="n/a"/>
    <s v="n/a"/>
    <s v="Jos"/>
    <m/>
    <m/>
    <m/>
    <m/>
    <m/>
    <m/>
    <n v="1"/>
    <m/>
    <n v="1"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64"/>
    <m/>
    <x v="8"/>
  </r>
  <r>
    <n v="993"/>
    <s v="CORVIKNIGHT2"/>
    <m/>
    <x v="6"/>
    <x v="2"/>
    <s v="x"/>
    <s v="x"/>
    <s v="x"/>
    <s v="x"/>
    <s v="x"/>
    <s v="x"/>
    <m/>
    <s v="n/a"/>
    <s v="x"/>
    <s v="x"/>
    <s v="-70/0/0"/>
    <s v="n/a"/>
    <s v="n/a"/>
    <s v="n/a"/>
    <s v="n/a"/>
    <s v="n/a"/>
    <s v="n/a"/>
    <s v="n/a"/>
    <s v="Jos"/>
    <m/>
    <m/>
    <m/>
    <m/>
    <m/>
    <m/>
    <n v="1"/>
    <m/>
    <n v="1"/>
    <n v="1"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64"/>
    <m/>
    <x v="8"/>
  </r>
  <r>
    <n v="994"/>
    <s v="LITLEO2"/>
    <m/>
    <x v="1"/>
    <x v="20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89"/>
    <m/>
    <x v="4"/>
  </r>
  <r>
    <n v="995"/>
    <s v="PYROAR2"/>
    <m/>
    <x v="1"/>
    <x v="20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Jos"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89"/>
    <m/>
    <x v="4"/>
  </r>
  <r>
    <n v="996"/>
    <s v="TANGELA2"/>
    <m/>
    <x v="0"/>
    <x v="20"/>
    <s v="x"/>
    <s v="x"/>
    <m/>
    <s v="x"/>
    <s v="x"/>
    <s v="x"/>
    <m/>
    <s v="x"/>
    <s v="x"/>
    <s v="x"/>
    <s v="Custom - Boro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21"/>
    <m/>
    <x v="0"/>
  </r>
  <r>
    <n v="997"/>
    <s v="TANGROWTH2"/>
    <m/>
    <x v="0"/>
    <x v="20"/>
    <s v="x"/>
    <s v="x"/>
    <s v="x"/>
    <s v="x"/>
    <s v="x"/>
    <s v="x"/>
    <m/>
    <s v="n/a"/>
    <s v="x"/>
    <s v="x"/>
    <s v="Custom - Boro"/>
    <s v="n/a"/>
    <s v="n/a"/>
    <s v="n/a"/>
    <s v="n/a"/>
    <s v="n/a"/>
    <s v="n/a"/>
    <s v="n/a"/>
    <s v="Jos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21"/>
    <m/>
    <x v="5"/>
  </r>
  <r>
    <n v="998"/>
    <s v="TADBULB"/>
    <m/>
    <x v="6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62"/>
    <m/>
    <x v="9"/>
  </r>
  <r>
    <n v="999"/>
    <s v="BELLIBOLT"/>
    <m/>
    <x v="6"/>
    <x v="16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53"/>
    <m/>
    <x v="9"/>
  </r>
  <r>
    <n v="1000"/>
    <s v="MEW"/>
    <m/>
    <x v="14"/>
    <x v="20"/>
    <s v="x"/>
    <s v="x"/>
    <m/>
    <s v="x"/>
    <s v="x"/>
    <m/>
    <m/>
    <s v="n/a"/>
    <s v="x"/>
    <s v="x"/>
    <s v="Custom - Zeta"/>
    <s v="n/a"/>
    <s v="n/a"/>
    <s v="n/a"/>
    <s v="n/a"/>
    <s v="n/a"/>
    <s v="n/a"/>
    <s v="n/a"/>
    <s v="Badman"/>
    <m/>
    <n v="1"/>
    <n v="1"/>
    <n v="1"/>
    <n v="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92"/>
    <m/>
    <x v="0"/>
  </r>
  <r>
    <n v="1001"/>
    <s v="SCORBUNNY"/>
    <m/>
    <x v="15"/>
    <x v="1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22"/>
    <m/>
    <x v="8"/>
  </r>
  <r>
    <n v="1002"/>
    <s v="RABOOT"/>
    <m/>
    <x v="15"/>
    <x v="1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22"/>
    <m/>
    <x v="8"/>
  </r>
  <r>
    <n v="1003"/>
    <s v="CINDERACE"/>
    <m/>
    <x v="15"/>
    <x v="1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10"/>
    <n v="2"/>
    <m/>
    <m/>
    <m/>
    <x v="322"/>
    <m/>
    <x v="8"/>
  </r>
  <r>
    <n v="1004"/>
    <s v="KOMALA"/>
    <m/>
    <x v="3"/>
    <x v="20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n v="1"/>
    <m/>
    <m/>
    <m/>
    <x v="298"/>
    <m/>
    <x v="6"/>
  </r>
  <r>
    <n v="1005"/>
    <s v="HYDRAPPLE"/>
    <m/>
    <x v="8"/>
    <x v="0"/>
    <s v="x"/>
    <s v="x"/>
    <s v="x"/>
    <s v="x"/>
    <s v="x"/>
    <s v="x"/>
    <m/>
    <s v="n/a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2"/>
    <n v="1"/>
    <m/>
    <m/>
    <m/>
    <x v="285"/>
    <m/>
    <x v="9"/>
  </r>
  <r>
    <n v="1006"/>
    <s v="BLIPBUG"/>
    <m/>
    <x v="17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Ignotus68"/>
    <m/>
    <n v="1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71"/>
    <m/>
    <x v="8"/>
  </r>
  <r>
    <n v="1007"/>
    <s v="DOTTLER"/>
    <m/>
    <x v="17"/>
    <x v="4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n v="1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71"/>
    <m/>
    <x v="8"/>
  </r>
  <r>
    <n v="1008"/>
    <s v="ORBEETLE"/>
    <m/>
    <x v="17"/>
    <x v="2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n v="1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1"/>
    <n v="1"/>
    <m/>
    <m/>
    <m/>
    <x v="168"/>
    <m/>
    <x v="8"/>
  </r>
  <r>
    <n v="1009"/>
    <s v="TURTONATOR"/>
    <m/>
    <x v="1"/>
    <x v="9"/>
    <s v="x"/>
    <s v="x"/>
    <s v="x"/>
    <s v="x"/>
    <s v="x"/>
    <s v="x"/>
    <m/>
    <s v="x"/>
    <s v="x"/>
    <s v="x"/>
    <s v="Custom - Badman"/>
    <s v="n/a"/>
    <s v="n/a"/>
    <s v="n/a"/>
    <s v="n/a"/>
    <s v="n/a"/>
    <s v="n/a"/>
    <s v="n/a"/>
    <s v="Zeta"/>
    <m/>
    <m/>
    <m/>
    <n v="1"/>
    <m/>
    <m/>
    <m/>
    <m/>
    <m/>
    <m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289"/>
    <m/>
    <x v="6"/>
  </r>
  <r>
    <n v="1010"/>
    <s v="MUDBRAY2"/>
    <m/>
    <x v="0"/>
    <x v="1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n v="1"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n v="1"/>
    <m/>
    <m/>
    <m/>
    <m/>
    <x v="245"/>
    <m/>
    <x v="6"/>
  </r>
  <r>
    <n v="1011"/>
    <s v="MUDSDALE2"/>
    <m/>
    <x v="0"/>
    <x v="14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Zeta"/>
    <m/>
    <n v="1"/>
    <m/>
    <m/>
    <m/>
    <m/>
    <m/>
    <m/>
    <m/>
    <m/>
    <m/>
    <m/>
    <m/>
    <m/>
    <m/>
    <m/>
    <m/>
    <m/>
    <m/>
    <m/>
    <m/>
    <m/>
    <m/>
    <n v="1"/>
    <n v="1"/>
    <n v="1"/>
    <n v="1"/>
    <m/>
    <m/>
    <m/>
    <m/>
    <m/>
    <m/>
    <m/>
    <m/>
    <m/>
    <m/>
    <m/>
    <n v="2"/>
    <m/>
    <m/>
    <m/>
    <m/>
    <x v="245"/>
    <m/>
    <x v="6"/>
  </r>
  <r>
    <n v="1012"/>
    <s v="HAWLUCHA"/>
    <m/>
    <x v="5"/>
    <x v="10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m/>
    <m/>
    <n v="1"/>
    <n v="1"/>
    <m/>
    <m/>
    <m/>
    <n v="1"/>
    <n v="1"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323"/>
    <m/>
    <x v="4"/>
  </r>
  <r>
    <n v="1013"/>
    <s v="FLAMIGO"/>
    <m/>
    <x v="17"/>
    <x v="6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AtteaTheSilly"/>
    <m/>
    <m/>
    <m/>
    <m/>
    <m/>
    <m/>
    <m/>
    <m/>
    <m/>
    <m/>
    <m/>
    <n v="1"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04"/>
    <m/>
    <x v="9"/>
  </r>
  <r>
    <n v="1014"/>
    <s v="RELICANTH"/>
    <m/>
    <x v="6"/>
    <x v="14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n v="2"/>
    <m/>
    <m/>
    <m/>
    <m/>
    <x v="58"/>
    <m/>
    <x v="3"/>
  </r>
  <r>
    <n v="1015"/>
    <s v="FARFETCHD"/>
    <m/>
    <x v="19"/>
    <x v="2"/>
    <s v="x"/>
    <s v="x"/>
    <m/>
    <s v="x"/>
    <s v="x"/>
    <s v="x"/>
    <m/>
    <s v="x"/>
    <s v="x"/>
    <s v="x"/>
    <s v="Custom - AtteaTheSilly"/>
    <s v="n/a"/>
    <s v="n/a"/>
    <s v="n/a"/>
    <s v="n/a"/>
    <s v="n/a"/>
    <s v="n/a"/>
    <s v="n/a"/>
    <s v="AtteaTheSilly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24"/>
    <m/>
    <x v="0"/>
  </r>
  <r>
    <n v="1016"/>
    <s v="SIRFETCHD"/>
    <m/>
    <x v="19"/>
    <x v="2"/>
    <s v="x"/>
    <s v="x"/>
    <s v="x"/>
    <s v="x"/>
    <s v="x"/>
    <s v="x"/>
    <m/>
    <s v="n/a"/>
    <s v="x"/>
    <s v="x"/>
    <s v="Custom - AtteaTheSilly"/>
    <s v="n/a"/>
    <s v="n/a"/>
    <s v="n/a"/>
    <s v="n/a"/>
    <s v="n/a"/>
    <s v="n/a"/>
    <s v="n/a"/>
    <s v="AtteaTheSilly"/>
    <m/>
    <m/>
    <m/>
    <m/>
    <m/>
    <m/>
    <n v="1"/>
    <n v="1"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24"/>
    <m/>
    <x v="8"/>
  </r>
  <r>
    <n v="1017"/>
    <s v="ROTOM"/>
    <m/>
    <x v="10"/>
    <x v="18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m/>
    <m/>
    <m/>
    <n v="1"/>
    <m/>
    <m/>
    <n v="1"/>
    <n v="1"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n v="2"/>
    <m/>
    <m/>
    <m/>
    <m/>
    <x v="46"/>
    <m/>
    <x v="1"/>
  </r>
  <r>
    <n v="1018"/>
    <s v="DURALUDON"/>
    <m/>
    <x v="11"/>
    <x v="15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Ignotus68"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25"/>
    <m/>
    <x v="8"/>
  </r>
  <r>
    <n v="1019"/>
    <s v="ARCHALUDON"/>
    <m/>
    <x v="11"/>
    <x v="15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x v="325"/>
    <m/>
    <x v="9"/>
  </r>
  <r>
    <n v="1020"/>
    <s v="PICHU2"/>
    <m/>
    <x v="19"/>
    <x v="4"/>
    <s v="x"/>
    <s v="x"/>
    <m/>
    <s v="x"/>
    <s v="x"/>
    <s v="x"/>
    <m/>
    <s v="x"/>
    <s v="x"/>
    <s v="x"/>
    <s v="Don't remember hue shift"/>
    <s v="n/a"/>
    <s v="n/a"/>
    <s v="n/a"/>
    <s v="n/a"/>
    <s v="n/a"/>
    <s v="n/a"/>
    <s v="n/a"/>
    <s v="AtteaTheSilly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87"/>
    <s v="Not fully evolved"/>
    <x v="2"/>
  </r>
  <r>
    <n v="1021"/>
    <s v="PIKACHU2"/>
    <m/>
    <x v="19"/>
    <x v="4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AtteaTheSilly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87"/>
    <s v="Not fully evolved"/>
    <x v="0"/>
  </r>
  <r>
    <n v="1022"/>
    <s v="RAICHU2"/>
    <m/>
    <x v="19"/>
    <x v="4"/>
    <s v="x"/>
    <s v="x"/>
    <s v="x"/>
    <s v="x"/>
    <s v="x"/>
    <s v="x"/>
    <m/>
    <s v="n/a"/>
    <s v="x"/>
    <s v="x"/>
    <s v="Don't remember hue shift"/>
    <s v="n/a"/>
    <s v="n/a"/>
    <s v="n/a"/>
    <s v="n/a"/>
    <s v="n/a"/>
    <s v="n/a"/>
    <s v="n/a"/>
    <s v="AtteaTheSilly"/>
    <m/>
    <m/>
    <m/>
    <m/>
    <m/>
    <m/>
    <m/>
    <m/>
    <n v="1"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n v="1"/>
    <m/>
    <m/>
    <m/>
    <x v="87"/>
    <m/>
    <x v="0"/>
  </r>
  <r>
    <n v="1023"/>
    <s v="AUDINO"/>
    <m/>
    <x v="10"/>
    <x v="20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AtteaTheSilly / Jos"/>
    <m/>
    <m/>
    <m/>
    <m/>
    <m/>
    <n v="1"/>
    <m/>
    <m/>
    <m/>
    <n v="1"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x v="326"/>
    <m/>
    <x v="1"/>
  </r>
  <r>
    <n v="1024"/>
    <s v="RALTS2"/>
    <m/>
    <x v="20"/>
    <x v="1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AtteaTheSilly"/>
    <m/>
    <m/>
    <m/>
    <n v="1"/>
    <n v="1"/>
    <n v="1"/>
    <m/>
    <n v="1"/>
    <n v="1"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215"/>
    <m/>
    <x v="3"/>
  </r>
  <r>
    <n v="1025"/>
    <s v="KIRLIA2"/>
    <m/>
    <x v="20"/>
    <x v="1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AtteaTheSilly"/>
    <m/>
    <m/>
    <m/>
    <n v="1"/>
    <n v="1"/>
    <n v="1"/>
    <m/>
    <n v="1"/>
    <n v="1"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215"/>
    <m/>
    <x v="3"/>
  </r>
  <r>
    <n v="1026"/>
    <s v="GARDEVOIR2"/>
    <m/>
    <x v="20"/>
    <x v="1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tteaTheSilly"/>
    <m/>
    <m/>
    <m/>
    <n v="1"/>
    <n v="1"/>
    <n v="1"/>
    <m/>
    <n v="1"/>
    <n v="1"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n v="3"/>
    <n v="2"/>
    <m/>
    <m/>
    <m/>
    <x v="215"/>
    <m/>
    <x v="3"/>
  </r>
  <r>
    <n v="1027"/>
    <s v="GALLADE2"/>
    <m/>
    <x v="5"/>
    <x v="14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tteaTheSilly"/>
    <m/>
    <m/>
    <m/>
    <n v="1"/>
    <n v="1"/>
    <n v="1"/>
    <m/>
    <n v="1"/>
    <n v="1"/>
    <m/>
    <m/>
    <m/>
    <m/>
    <m/>
    <m/>
    <m/>
    <m/>
    <m/>
    <m/>
    <m/>
    <m/>
    <n v="1"/>
    <m/>
    <m/>
    <m/>
    <m/>
    <m/>
    <n v="1"/>
    <m/>
    <m/>
    <m/>
    <m/>
    <m/>
    <m/>
    <m/>
    <m/>
    <m/>
    <m/>
    <m/>
    <m/>
    <m/>
    <m/>
    <m/>
    <x v="211"/>
    <m/>
    <x v="5"/>
  </r>
  <r>
    <n v="1028"/>
    <s v="DRAMPA"/>
    <m/>
    <x v="15"/>
    <x v="17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n v="1"/>
    <m/>
    <m/>
    <m/>
    <m/>
    <x v="327"/>
    <m/>
    <x v="6"/>
  </r>
  <r>
    <n v="1029"/>
    <s v="BOMBIRDIER"/>
    <m/>
    <x v="18"/>
    <x v="9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28"/>
    <m/>
    <x v="9"/>
  </r>
  <r>
    <n v="1030"/>
    <s v="MASCHIFF"/>
    <m/>
    <x v="10"/>
    <x v="11"/>
    <s v="x"/>
    <s v="x"/>
    <m/>
    <s v="x"/>
    <s v="x"/>
    <s v="x"/>
    <m/>
    <s v="x"/>
    <s v="x"/>
    <s v="x"/>
    <s v="Custom - Otter"/>
    <s v="n/a"/>
    <s v="n/a"/>
    <s v="n/a"/>
    <s v="n/a"/>
    <s v="n/a"/>
    <s v="n/a"/>
    <s v="n/a"/>
    <s v="Zeta"/>
    <m/>
    <n v="1"/>
    <m/>
    <m/>
    <m/>
    <m/>
    <m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x v="229"/>
    <m/>
    <x v="9"/>
  </r>
  <r>
    <n v="1031"/>
    <s v="MABOSSTIFF"/>
    <m/>
    <x v="10"/>
    <x v="11"/>
    <s v="x"/>
    <s v="x"/>
    <s v="x"/>
    <s v="x"/>
    <s v="x"/>
    <s v="x"/>
    <m/>
    <s v="n/a"/>
    <s v="x"/>
    <s v="x"/>
    <s v="Custom - Otter"/>
    <s v="n/a"/>
    <s v="n/a"/>
    <s v="n/a"/>
    <s v="n/a"/>
    <s v="n/a"/>
    <s v="n/a"/>
    <s v="n/a"/>
    <s v="Zeta"/>
    <m/>
    <n v="1"/>
    <m/>
    <m/>
    <m/>
    <m/>
    <m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n v="2"/>
    <n v="2"/>
    <m/>
    <m/>
    <m/>
    <x v="229"/>
    <m/>
    <x v="9"/>
  </r>
  <r>
    <n v="1032"/>
    <s v="NYMBLE"/>
    <m/>
    <x v="12"/>
    <x v="11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Ignotus68"/>
    <m/>
    <m/>
    <n v="1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x v="137"/>
    <m/>
    <x v="9"/>
  </r>
  <r>
    <n v="1033"/>
    <s v="LOKIX"/>
    <m/>
    <x v="8"/>
    <x v="11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Ignotus68"/>
    <m/>
    <m/>
    <n v="1"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n v="1"/>
    <m/>
    <m/>
    <m/>
    <m/>
    <x v="288"/>
    <m/>
    <x v="9"/>
  </r>
  <r>
    <n v="1034"/>
    <s v="SQUAWKABILLY"/>
    <m/>
    <x v="20"/>
    <x v="5"/>
    <s v="x"/>
    <s v="x"/>
    <s v="x"/>
    <s v="x"/>
    <s v="x"/>
    <s v="x"/>
    <m/>
    <s v="x"/>
    <s v="x"/>
    <s v="x"/>
    <s v="Custom - AtteaTheSilly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3"/>
    <n v="1"/>
    <m/>
    <m/>
    <m/>
    <x v="175"/>
    <m/>
    <x v="9"/>
  </r>
  <r>
    <n v="1035"/>
    <s v="TREECKO2"/>
    <m/>
    <x v="8"/>
    <x v="13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AtteaTheSilly/PDM20"/>
    <m/>
    <m/>
    <m/>
    <m/>
    <n v="1"/>
    <m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80"/>
    <m/>
    <x v="3"/>
  </r>
  <r>
    <n v="1036"/>
    <s v="GROVYLE2"/>
    <m/>
    <x v="8"/>
    <x v="13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AtteaTheSilly/PDM20"/>
    <m/>
    <m/>
    <m/>
    <m/>
    <n v="1"/>
    <m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80"/>
    <m/>
    <x v="3"/>
  </r>
  <r>
    <n v="1037"/>
    <s v="SCEPTILE2"/>
    <m/>
    <x v="8"/>
    <x v="13"/>
    <s v="x"/>
    <s v="x"/>
    <s v="x"/>
    <s v="x"/>
    <s v="x"/>
    <s v="x"/>
    <m/>
    <s v="n/a"/>
    <s v="x"/>
    <s v="x"/>
    <s v="Custom - PDM20"/>
    <s v="n/a"/>
    <s v="n/a"/>
    <s v="n/a"/>
    <s v="n/a"/>
    <s v="n/a"/>
    <s v="n/a"/>
    <s v="n/a"/>
    <s v="AtteaTheSilly/PDM20"/>
    <m/>
    <m/>
    <m/>
    <m/>
    <n v="1"/>
    <m/>
    <m/>
    <n v="1"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n v="5"/>
    <n v="2"/>
    <m/>
    <m/>
    <m/>
    <x v="80"/>
    <m/>
    <x v="3"/>
  </r>
  <r>
    <n v="1038"/>
    <s v="SPIRITOMB2"/>
    <m/>
    <x v="10"/>
    <x v="7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Zeta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329"/>
    <m/>
    <x v="5"/>
  </r>
  <r>
    <n v="1039"/>
    <s v="EISCUE"/>
    <m/>
    <x v="8"/>
    <x v="4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40"/>
    <m/>
    <x v="8"/>
  </r>
  <r>
    <n v="1040"/>
    <s v="KOMALA2"/>
    <m/>
    <x v="10"/>
    <x v="4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TotallyNotCalledEvan"/>
    <m/>
    <m/>
    <n v="1"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n v="1"/>
    <m/>
    <m/>
    <m/>
    <m/>
    <x v="217"/>
    <m/>
    <x v="6"/>
  </r>
  <r>
    <n v="1041"/>
    <s v="BLITZLE2"/>
    <m/>
    <x v="14"/>
    <x v="2"/>
    <s v="x"/>
    <s v="x"/>
    <m/>
    <s v="x"/>
    <s v="x"/>
    <s v="x"/>
    <m/>
    <s v="x"/>
    <s v="x"/>
    <s v="x"/>
    <s v="Custom - Escav"/>
    <s v="n/a"/>
    <s v="n/a"/>
    <s v="n/a"/>
    <s v="n/a"/>
    <s v="n/a"/>
    <s v="n/a"/>
    <s v="n/a"/>
    <s v="Escav"/>
    <m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42"/>
    <s v="Not fully evolved"/>
    <x v="1"/>
  </r>
  <r>
    <n v="1042"/>
    <s v="ZEBSTRIKA2"/>
    <m/>
    <x v="14"/>
    <x v="2"/>
    <s v="x"/>
    <s v="x"/>
    <s v="x"/>
    <s v="x"/>
    <s v="x"/>
    <s v="x"/>
    <m/>
    <s v="n/a"/>
    <s v="x"/>
    <s v="x"/>
    <s v="Custom - Escav"/>
    <s v="n/a"/>
    <s v="n/a"/>
    <s v="n/a"/>
    <s v="n/a"/>
    <s v="n/a"/>
    <s v="n/a"/>
    <s v="n/a"/>
    <s v="Escav"/>
    <m/>
    <n v="1"/>
    <n v="1"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1"/>
    <n v="1"/>
    <m/>
    <m/>
    <m/>
    <x v="42"/>
    <m/>
    <x v="1"/>
  </r>
  <r>
    <n v="1043"/>
    <s v="TURTWIG2"/>
    <m/>
    <x v="18"/>
    <x v="18"/>
    <s v="x"/>
    <s v="x"/>
    <m/>
    <s v="x"/>
    <s v="x"/>
    <s v="x"/>
    <m/>
    <s v="x"/>
    <s v="x"/>
    <s v="x"/>
    <s v="100/0/0"/>
    <s v="n/a"/>
    <s v="n/a"/>
    <s v="n/a"/>
    <s v="n/a"/>
    <s v="n/a"/>
    <s v="n/a"/>
    <s v="n/a"/>
    <s v="Escav"/>
    <m/>
    <m/>
    <m/>
    <m/>
    <m/>
    <m/>
    <m/>
    <m/>
    <m/>
    <n v="1"/>
    <m/>
    <m/>
    <m/>
    <m/>
    <m/>
    <m/>
    <m/>
    <n v="1"/>
    <n v="1"/>
    <m/>
    <m/>
    <m/>
    <n v="1"/>
    <m/>
    <m/>
    <n v="1"/>
    <m/>
    <m/>
    <m/>
    <m/>
    <m/>
    <m/>
    <m/>
    <m/>
    <m/>
    <m/>
    <m/>
    <m/>
    <m/>
    <m/>
    <m/>
    <m/>
    <m/>
    <x v="140"/>
    <s v="Not fully evolved"/>
    <x v="5"/>
  </r>
  <r>
    <n v="1044"/>
    <s v="GROTLE2"/>
    <m/>
    <x v="18"/>
    <x v="18"/>
    <s v="x"/>
    <s v="x"/>
    <m/>
    <s v="x"/>
    <s v="x"/>
    <s v="x"/>
    <m/>
    <s v="n/a"/>
    <s v="x"/>
    <s v="x"/>
    <s v="100/0/0"/>
    <s v="n/a"/>
    <s v="n/a"/>
    <s v="n/a"/>
    <s v="n/a"/>
    <s v="n/a"/>
    <s v="n/a"/>
    <s v="n/a"/>
    <s v="Escav"/>
    <m/>
    <m/>
    <m/>
    <m/>
    <m/>
    <m/>
    <m/>
    <m/>
    <m/>
    <n v="1"/>
    <m/>
    <m/>
    <m/>
    <m/>
    <m/>
    <m/>
    <m/>
    <n v="1"/>
    <n v="1"/>
    <m/>
    <m/>
    <m/>
    <n v="1"/>
    <m/>
    <m/>
    <n v="1"/>
    <m/>
    <m/>
    <m/>
    <m/>
    <m/>
    <m/>
    <m/>
    <m/>
    <m/>
    <m/>
    <m/>
    <m/>
    <m/>
    <m/>
    <m/>
    <m/>
    <m/>
    <x v="140"/>
    <s v="Not fully evolved"/>
    <x v="5"/>
  </r>
  <r>
    <n v="1045"/>
    <s v="TORTERRA2"/>
    <m/>
    <x v="18"/>
    <x v="18"/>
    <s v="x"/>
    <s v="x"/>
    <s v="x"/>
    <s v="x"/>
    <s v="x"/>
    <s v="x"/>
    <m/>
    <s v="n/a"/>
    <s v="x"/>
    <s v="x"/>
    <s v="100/0/0"/>
    <s v="x"/>
    <s v="x"/>
    <s v="x"/>
    <s v="x"/>
    <s v="x"/>
    <s v="x"/>
    <s v="x"/>
    <s v="Escav"/>
    <m/>
    <m/>
    <m/>
    <m/>
    <m/>
    <m/>
    <m/>
    <m/>
    <m/>
    <n v="1"/>
    <m/>
    <m/>
    <m/>
    <m/>
    <m/>
    <m/>
    <m/>
    <n v="1"/>
    <n v="1"/>
    <m/>
    <m/>
    <m/>
    <n v="1"/>
    <m/>
    <m/>
    <n v="1"/>
    <m/>
    <m/>
    <m/>
    <m/>
    <m/>
    <m/>
    <m/>
    <m/>
    <m/>
    <m/>
    <m/>
    <m/>
    <n v="4"/>
    <n v="2"/>
    <m/>
    <m/>
    <m/>
    <x v="140"/>
    <m/>
    <x v="5"/>
  </r>
  <r>
    <n v="1046"/>
    <s v="POLTCHAGEIST"/>
    <m/>
    <x v="17"/>
    <x v="0"/>
    <s v="x"/>
    <s v="x"/>
    <m/>
    <s v="x"/>
    <s v="x"/>
    <s v="x"/>
    <m/>
    <s v="x"/>
    <s v="x"/>
    <s v="x"/>
    <s v="55/0/0"/>
    <s v="n/a"/>
    <s v="n/a"/>
    <s v="n/a"/>
    <s v="n/a"/>
    <s v="n/a"/>
    <s v="n/a"/>
    <s v="n/a"/>
    <s v="Escav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13"/>
    <s v="Not fully evolved"/>
    <x v="9"/>
  </r>
  <r>
    <n v="1047"/>
    <s v="SINISTCHA"/>
    <m/>
    <x v="17"/>
    <x v="0"/>
    <s v="x"/>
    <s v="x"/>
    <s v="x"/>
    <s v="x"/>
    <s v="x"/>
    <s v="x"/>
    <m/>
    <s v="n/a"/>
    <s v="x"/>
    <s v="x"/>
    <s v="55/0/0"/>
    <s v="n/a"/>
    <s v="n/a"/>
    <s v="n/a"/>
    <s v="n/a"/>
    <s v="n/a"/>
    <s v="n/a"/>
    <s v="n/a"/>
    <s v="Escav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n v="1"/>
    <m/>
    <m/>
    <m/>
    <x v="113"/>
    <m/>
    <x v="9"/>
  </r>
  <r>
    <n v="1048"/>
    <s v="NACLI2"/>
    <m/>
    <x v="8"/>
    <x v="4"/>
    <s v="x"/>
    <s v="x"/>
    <m/>
    <s v="x"/>
    <s v="x"/>
    <s v="x"/>
    <m/>
    <s v="x"/>
    <s v="x"/>
    <s v="x"/>
    <s v="Custom - Endless"/>
    <s v="n/a"/>
    <s v="n/a"/>
    <s v="n/a"/>
    <s v="n/a"/>
    <s v="n/a"/>
    <s v="n/a"/>
    <s v="n/a"/>
    <s v="Endles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40"/>
    <s v="Not fully evolved"/>
    <x v="9"/>
  </r>
  <r>
    <n v="1049"/>
    <s v="NACLSTACK2"/>
    <m/>
    <x v="8"/>
    <x v="11"/>
    <s v="x"/>
    <s v="x"/>
    <m/>
    <s v="x"/>
    <s v="x"/>
    <s v="x"/>
    <m/>
    <s v="n/a"/>
    <s v="x"/>
    <s v="x"/>
    <s v="Custom - Endless"/>
    <s v="n/a"/>
    <s v="n/a"/>
    <s v="n/a"/>
    <s v="n/a"/>
    <s v="n/a"/>
    <s v="n/a"/>
    <s v="n/a"/>
    <s v="Endles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88"/>
    <s v="Not fully evolved"/>
    <x v="9"/>
  </r>
  <r>
    <n v="1050"/>
    <s v="GARGANACL2"/>
    <m/>
    <x v="8"/>
    <x v="11"/>
    <s v="x"/>
    <s v="x"/>
    <s v="x"/>
    <s v="x"/>
    <s v="x"/>
    <s v="x"/>
    <m/>
    <s v="n/a"/>
    <s v="x"/>
    <s v="x"/>
    <s v="Custom - Endless"/>
    <s v="x"/>
    <s v="x"/>
    <s v="x"/>
    <s v="x"/>
    <s v="x"/>
    <s v="x"/>
    <s v="x"/>
    <s v="Endless"/>
    <m/>
    <m/>
    <m/>
    <m/>
    <m/>
    <n v="1"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2"/>
    <m/>
    <m/>
    <m/>
    <m/>
    <x v="288"/>
    <m/>
    <x v="9"/>
  </r>
  <r>
    <n v="1051"/>
    <s v="COTTONEE2"/>
    <m/>
    <x v="7"/>
    <x v="9"/>
    <s v="x"/>
    <s v="x"/>
    <m/>
    <s v="x"/>
    <s v="x"/>
    <s v="x"/>
    <m/>
    <s v="x"/>
    <s v="x"/>
    <s v="x"/>
    <s v="Custom - Endless"/>
    <s v="n/a"/>
    <s v="n/a"/>
    <s v="n/a"/>
    <s v="n/a"/>
    <s v="n/a"/>
    <s v="n/a"/>
    <s v="n/a"/>
    <s v="Endless"/>
    <m/>
    <n v="1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330"/>
    <s v="Not fully evolved"/>
    <x v="1"/>
  </r>
  <r>
    <n v="1052"/>
    <s v="WHIMSICOTT2"/>
    <m/>
    <x v="7"/>
    <x v="9"/>
    <s v="x"/>
    <s v="x"/>
    <s v="x"/>
    <s v="x"/>
    <s v="x"/>
    <s v="x"/>
    <m/>
    <s v="n/a"/>
    <s v="x"/>
    <s v="x"/>
    <s v="Custom - Endless"/>
    <s v="n/a"/>
    <s v="n/a"/>
    <s v="n/a"/>
    <s v="n/a"/>
    <s v="n/a"/>
    <s v="n/a"/>
    <s v="n/a"/>
    <s v="Endless"/>
    <m/>
    <n v="1"/>
    <m/>
    <m/>
    <m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n v="5"/>
    <n v="2"/>
    <m/>
    <m/>
    <m/>
    <x v="330"/>
    <m/>
    <x v="1"/>
  </r>
  <r>
    <n v="1053"/>
    <s v="SEVIPER"/>
    <m/>
    <x v="6"/>
    <x v="11"/>
    <s v="x"/>
    <s v="x"/>
    <s v="x"/>
    <s v="x"/>
    <s v="x"/>
    <s v="x"/>
    <m/>
    <s v="x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29"/>
    <m/>
    <x v="3"/>
  </r>
  <r>
    <n v="1054"/>
    <s v="MIMIKYU2"/>
    <m/>
    <x v="8"/>
    <x v="18"/>
    <s v="x"/>
    <s v="x"/>
    <s v="x"/>
    <s v="x"/>
    <s v="x"/>
    <s v="x"/>
    <m/>
    <s v="x"/>
    <s v="x"/>
    <s v="x"/>
    <s v="75/0/0"/>
    <s v="n/a"/>
    <s v="n/a"/>
    <s v="n/a"/>
    <s v="n/a"/>
    <s v="n/a"/>
    <s v="n/a"/>
    <s v="n/a"/>
    <s v="Raffs07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331"/>
    <m/>
    <x v="6"/>
  </r>
  <r>
    <n v="1055"/>
    <s v="TOGEDEMARU"/>
    <m/>
    <x v="8"/>
    <x v="6"/>
    <s v="x"/>
    <s v="x"/>
    <s v="x"/>
    <s v="x"/>
    <s v="x"/>
    <s v="x"/>
    <m/>
    <s v="x"/>
    <s v="x"/>
    <s v="x"/>
    <s v="80/0/0"/>
    <s v="n/a"/>
    <s v="n/a"/>
    <s v="n/a"/>
    <s v="n/a"/>
    <s v="n/a"/>
    <s v="n/a"/>
    <s v="n/a"/>
    <s v="Raffs07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n v="1"/>
    <m/>
    <m/>
    <m/>
    <m/>
    <x v="303"/>
    <m/>
    <x v="6"/>
  </r>
  <r>
    <n v="1056"/>
    <s v="GROOKEY"/>
    <m/>
    <x v="16"/>
    <x v="15"/>
    <s v="x"/>
    <s v="x"/>
    <m/>
    <s v="x"/>
    <s v="x"/>
    <s v="x"/>
    <m/>
    <s v="x"/>
    <s v="x"/>
    <s v="x"/>
    <s v="Custom - Aceblade"/>
    <s v="n/a"/>
    <s v="n/a"/>
    <s v="n/a"/>
    <s v="n/a"/>
    <s v="n/a"/>
    <s v="n/a"/>
    <s v="n/a"/>
    <s v="Jos"/>
    <m/>
    <m/>
    <m/>
    <n v="1"/>
    <m/>
    <m/>
    <n v="1"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x v="332"/>
    <s v="Not fully evolved"/>
    <x v="8"/>
  </r>
  <r>
    <n v="1057"/>
    <s v="THWACKEY"/>
    <m/>
    <x v="16"/>
    <x v="15"/>
    <s v="x"/>
    <s v="x"/>
    <m/>
    <s v="x"/>
    <s v="x"/>
    <s v="x"/>
    <m/>
    <s v="n/a"/>
    <s v="x"/>
    <s v="x"/>
    <s v="Custom - Aceblade"/>
    <s v="n/a"/>
    <s v="n/a"/>
    <s v="n/a"/>
    <s v="n/a"/>
    <s v="n/a"/>
    <s v="n/a"/>
    <s v="n/a"/>
    <s v="Jos"/>
    <m/>
    <m/>
    <m/>
    <n v="1"/>
    <m/>
    <m/>
    <n v="1"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x v="332"/>
    <s v="Not fully evolved"/>
    <x v="8"/>
  </r>
  <r>
    <n v="1058"/>
    <s v="RILLABOOM"/>
    <m/>
    <x v="16"/>
    <x v="15"/>
    <s v="x"/>
    <s v="x"/>
    <s v="x"/>
    <s v="x"/>
    <s v="x"/>
    <s v="x"/>
    <m/>
    <s v="n/a"/>
    <s v="x"/>
    <s v="x"/>
    <s v="Custom - Aceblade"/>
    <s v="x"/>
    <s v="x"/>
    <s v="x"/>
    <s v="x"/>
    <s v="x"/>
    <s v="x"/>
    <s v="x"/>
    <s v="Jos"/>
    <m/>
    <m/>
    <m/>
    <n v="1"/>
    <m/>
    <m/>
    <n v="1"/>
    <m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n v="3"/>
    <n v="2"/>
    <m/>
    <m/>
    <m/>
    <x v="332"/>
    <m/>
    <x v="8"/>
  </r>
  <r>
    <n v="1059"/>
    <s v="CHARCADET"/>
    <m/>
    <x v="7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Ace"/>
    <m/>
    <m/>
    <m/>
    <m/>
    <m/>
    <m/>
    <m/>
    <m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194"/>
    <s v="Not fully evolved"/>
    <x v="9"/>
  </r>
  <r>
    <n v="1060"/>
    <s v="ARMAROUGE"/>
    <m/>
    <x v="7"/>
    <x v="12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ce"/>
    <m/>
    <m/>
    <m/>
    <m/>
    <m/>
    <m/>
    <m/>
    <m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333"/>
    <m/>
    <x v="9"/>
  </r>
  <r>
    <n v="1061"/>
    <s v="CERULEDGE"/>
    <m/>
    <x v="7"/>
    <x v="16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ce"/>
    <m/>
    <m/>
    <m/>
    <m/>
    <m/>
    <m/>
    <m/>
    <m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n v="8"/>
    <n v="1"/>
    <m/>
    <m/>
    <m/>
    <x v="310"/>
    <m/>
    <x v="9"/>
  </r>
  <r>
    <n v="1062"/>
    <s v="SPOINK"/>
    <s v="Flame Orb"/>
    <x v="0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Ace/AtteaTheSilly"/>
    <m/>
    <m/>
    <m/>
    <m/>
    <m/>
    <m/>
    <m/>
    <m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152"/>
    <s v="Not fully evolved"/>
    <x v="3"/>
  </r>
  <r>
    <n v="1063"/>
    <s v="GRUMPIG"/>
    <s v="Flame Orb"/>
    <x v="0"/>
    <x v="4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ce/AtteaTheSilly"/>
    <m/>
    <m/>
    <m/>
    <m/>
    <m/>
    <m/>
    <m/>
    <m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152"/>
    <m/>
    <x v="3"/>
  </r>
  <r>
    <s v="x"/>
    <s v="SPOINK"/>
    <s v="Toxic Orb"/>
    <x v="5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7"/>
    <s v="Not fully evolved"/>
    <x v="3"/>
  </r>
  <r>
    <s v="x"/>
    <s v="GRUMPIG"/>
    <s v="Toxic Orb"/>
    <x v="5"/>
    <x v="4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m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7"/>
    <m/>
    <x v="3"/>
  </r>
  <r>
    <n v="1064"/>
    <s v="BRUXISH"/>
    <m/>
    <x v="1"/>
    <x v="4"/>
    <s v="x"/>
    <s v="x"/>
    <s v="x"/>
    <s v="x"/>
    <s v="x"/>
    <s v="x"/>
    <m/>
    <s v="x"/>
    <s v="x"/>
    <s v="x"/>
    <s v="Custom - Zeta"/>
    <s v="n/a"/>
    <s v="n/a"/>
    <s v="n/a"/>
    <s v="n/a"/>
    <s v="n/a"/>
    <s v="n/a"/>
    <s v="n/a"/>
    <s v="AtteaTheSilly"/>
    <m/>
    <m/>
    <m/>
    <m/>
    <m/>
    <m/>
    <m/>
    <m/>
    <m/>
    <m/>
    <m/>
    <m/>
    <n v="1"/>
    <n v="1"/>
    <n v="1"/>
    <n v="1"/>
    <m/>
    <m/>
    <m/>
    <m/>
    <n v="1"/>
    <n v="1"/>
    <m/>
    <m/>
    <m/>
    <n v="1"/>
    <n v="1"/>
    <m/>
    <m/>
    <m/>
    <m/>
    <m/>
    <m/>
    <m/>
    <m/>
    <m/>
    <m/>
    <m/>
    <m/>
    <m/>
    <m/>
    <m/>
    <m/>
    <x v="174"/>
    <m/>
    <x v="6"/>
  </r>
  <r>
    <n v="1065"/>
    <s v="VOLBEAT"/>
    <m/>
    <x v="12"/>
    <x v="0"/>
    <s v="x"/>
    <s v="x"/>
    <s v="x"/>
    <s v="x"/>
    <s v="x"/>
    <s v="x"/>
    <m/>
    <s v="x"/>
    <s v="x"/>
    <s v="x"/>
    <s v="Custom - Riptidecord"/>
    <s v="n/a"/>
    <s v="n/a"/>
    <s v="n/a"/>
    <s v="n/a"/>
    <s v="n/a"/>
    <s v="n/a"/>
    <s v="n/a"/>
    <s v="Riptidecord"/>
    <m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n v="2"/>
    <m/>
    <m/>
    <m/>
    <m/>
    <x v="156"/>
    <m/>
    <x v="3"/>
  </r>
  <r>
    <n v="1066"/>
    <s v="ILLUMISE"/>
    <m/>
    <x v="12"/>
    <x v="3"/>
    <s v="x"/>
    <s v="x"/>
    <s v="x"/>
    <s v="x"/>
    <s v="x"/>
    <s v="x"/>
    <m/>
    <s v="x"/>
    <s v="x"/>
    <s v="x"/>
    <s v="Custom - Riptidecord"/>
    <s v="n/a"/>
    <s v="n/a"/>
    <s v="n/a"/>
    <s v="n/a"/>
    <s v="n/a"/>
    <s v="n/a"/>
    <s v="n/a"/>
    <s v="Riptidecord"/>
    <m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x v="91"/>
    <m/>
    <x v="3"/>
  </r>
  <r>
    <n v="1067"/>
    <s v="ONIX2"/>
    <m/>
    <x v="16"/>
    <x v="13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TrashGamer10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221"/>
    <m/>
    <x v="0"/>
  </r>
  <r>
    <n v="1068"/>
    <s v="STEELIX2"/>
    <m/>
    <x v="16"/>
    <x v="13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TrashGamer101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n v="7"/>
    <n v="1"/>
    <m/>
    <m/>
    <m/>
    <x v="221"/>
    <m/>
    <x v="2"/>
  </r>
  <r>
    <n v="1069"/>
    <s v="CHARMANDER2"/>
    <m/>
    <x v="12"/>
    <x v="4"/>
    <s v="x"/>
    <s v="x"/>
    <m/>
    <s v="x"/>
    <s v="x"/>
    <s v="x"/>
    <m/>
    <s v="x"/>
    <s v="x"/>
    <s v="x"/>
    <s v="Custom - AtteaTheSilly"/>
    <s v="n/a"/>
    <s v="n/a"/>
    <s v="n/a"/>
    <s v="n/a"/>
    <s v="n/a"/>
    <s v="n/a"/>
    <s v="n/a"/>
    <s v="Boro"/>
    <m/>
    <m/>
    <m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88"/>
    <m/>
    <x v="0"/>
  </r>
  <r>
    <n v="1070"/>
    <s v="CHARMELEON2"/>
    <m/>
    <x v="12"/>
    <x v="4"/>
    <s v="x"/>
    <s v="x"/>
    <m/>
    <s v="x"/>
    <s v="x"/>
    <s v="x"/>
    <m/>
    <s v="n/a"/>
    <s v="x"/>
    <s v="x"/>
    <s v="Custom - AtteaTheSilly"/>
    <s v="n/a"/>
    <s v="n/a"/>
    <s v="n/a"/>
    <s v="n/a"/>
    <s v="n/a"/>
    <s v="n/a"/>
    <s v="n/a"/>
    <s v="Boro"/>
    <m/>
    <m/>
    <m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x v="88"/>
    <m/>
    <x v="0"/>
  </r>
  <r>
    <n v="1071"/>
    <s v="CHARIZARD2"/>
    <m/>
    <x v="12"/>
    <x v="2"/>
    <s v="x"/>
    <s v="x"/>
    <s v="x"/>
    <s v="x"/>
    <s v="x"/>
    <s v="x"/>
    <m/>
    <s v="n/a"/>
    <s v="x"/>
    <s v="x"/>
    <s v="Custom - AtteaTheSilly"/>
    <s v="x"/>
    <s v="x"/>
    <s v="x"/>
    <s v="x"/>
    <s v="x"/>
    <s v="x"/>
    <s v="x"/>
    <s v="Boro"/>
    <m/>
    <m/>
    <m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n v="5"/>
    <m/>
    <m/>
    <m/>
    <m/>
    <x v="204"/>
    <m/>
    <x v="0"/>
  </r>
  <r>
    <n v="1072"/>
    <s v="POLTCHAGEIST2"/>
    <m/>
    <x v="16"/>
    <x v="4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Badman"/>
    <m/>
    <m/>
    <m/>
    <n v="1"/>
    <m/>
    <m/>
    <m/>
    <m/>
    <m/>
    <n v="1"/>
    <m/>
    <m/>
    <m/>
    <m/>
    <m/>
    <m/>
    <m/>
    <m/>
    <m/>
    <m/>
    <n v="1"/>
    <n v="1"/>
    <m/>
    <m/>
    <m/>
    <m/>
    <m/>
    <n v="1"/>
    <m/>
    <m/>
    <m/>
    <m/>
    <m/>
    <m/>
    <m/>
    <m/>
    <m/>
    <m/>
    <m/>
    <m/>
    <m/>
    <m/>
    <m/>
    <x v="187"/>
    <s v="Not fully evolved"/>
    <x v="9"/>
  </r>
  <r>
    <n v="1073"/>
    <s v="SINISTCHA2"/>
    <m/>
    <x v="16"/>
    <x v="5"/>
    <s v="x"/>
    <s v="x"/>
    <s v="x"/>
    <s v="x"/>
    <s v="x"/>
    <s v="x"/>
    <m/>
    <s v="n/a"/>
    <s v="x"/>
    <s v="x"/>
    <s v="Custom - Zeta"/>
    <s v="n/a"/>
    <s v="n/a"/>
    <s v="n/a"/>
    <s v="n/a"/>
    <s v="n/a"/>
    <s v="n/a"/>
    <s v="n/a"/>
    <s v="Badman"/>
    <m/>
    <m/>
    <m/>
    <n v="1"/>
    <m/>
    <m/>
    <m/>
    <m/>
    <m/>
    <n v="1"/>
    <m/>
    <m/>
    <m/>
    <m/>
    <m/>
    <m/>
    <m/>
    <m/>
    <m/>
    <m/>
    <n v="1"/>
    <n v="1"/>
    <m/>
    <m/>
    <m/>
    <m/>
    <m/>
    <n v="1"/>
    <m/>
    <m/>
    <m/>
    <m/>
    <m/>
    <m/>
    <m/>
    <m/>
    <m/>
    <m/>
    <n v="1"/>
    <m/>
    <m/>
    <m/>
    <m/>
    <x v="334"/>
    <m/>
    <x v="9"/>
  </r>
  <r>
    <n v="1074"/>
    <s v="KANGASKHAN"/>
    <m/>
    <x v="3"/>
    <x v="14"/>
    <s v="x"/>
    <s v="x"/>
    <m/>
    <s v="x"/>
    <s v="x"/>
    <s v="x"/>
    <m/>
    <s v="x"/>
    <s v="x"/>
    <s v="x"/>
    <s v="Custom - Boro"/>
    <s v="x"/>
    <s v="x"/>
    <s v="x"/>
    <s v="x"/>
    <s v="x"/>
    <s v="x"/>
    <s v="x"/>
    <s v="Boro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x v="335"/>
    <m/>
    <x v="0"/>
  </r>
  <r>
    <n v="1075"/>
    <s v="SEVIPER2"/>
    <m/>
    <x v="14"/>
    <x v="19"/>
    <s v="x"/>
    <s v="x"/>
    <m/>
    <s v="x"/>
    <s v="x"/>
    <s v="x"/>
    <m/>
    <s v="x"/>
    <s v="x"/>
    <s v="x"/>
    <s v="Custom - TrashGamer101"/>
    <s v="n/a"/>
    <s v="n/a"/>
    <s v="n/a"/>
    <s v="n/a"/>
    <s v="n/a"/>
    <s v="n/a"/>
    <s v="n/a"/>
    <s v="Hypertox"/>
    <m/>
    <m/>
    <m/>
    <n v="1"/>
    <n v="1"/>
    <m/>
    <m/>
    <m/>
    <n v="1"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x v="336"/>
    <m/>
    <x v="3"/>
  </r>
  <r>
    <n v="1076"/>
    <s v="THROH2"/>
    <m/>
    <x v="16"/>
    <x v="20"/>
    <s v="x"/>
    <s v="x"/>
    <m/>
    <s v="x"/>
    <s v="x"/>
    <s v="x"/>
    <m/>
    <s v="x"/>
    <s v="x"/>
    <s v="x"/>
    <s v="-105/0/0"/>
    <s v="n/a"/>
    <s v="n/a"/>
    <s v="n/a"/>
    <s v="n/a"/>
    <s v="n/a"/>
    <s v="n/a"/>
    <s v="n/a"/>
    <s v="TotallyNotCalledEvan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x v="106"/>
    <m/>
    <x v="1"/>
  </r>
  <r>
    <n v="1077"/>
    <s v="SAWK2"/>
    <m/>
    <x v="16"/>
    <x v="20"/>
    <s v="x"/>
    <s v="x"/>
    <m/>
    <s v="x"/>
    <s v="x"/>
    <s v="x"/>
    <m/>
    <s v="x"/>
    <s v="x"/>
    <s v="x"/>
    <s v="-105/0/0"/>
    <s v="n/a"/>
    <s v="n/a"/>
    <s v="n/a"/>
    <s v="n/a"/>
    <s v="n/a"/>
    <s v="n/a"/>
    <s v="n/a"/>
    <s v="TotallyNotCalledEvan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x v="106"/>
    <m/>
    <x v="1"/>
  </r>
  <r>
    <n v="1078"/>
    <s v="TAROUNTULA2"/>
    <m/>
    <x v="15"/>
    <x v="21"/>
    <s v="x"/>
    <s v="x"/>
    <m/>
    <s v="x"/>
    <s v="x"/>
    <s v="x"/>
    <m/>
    <s v="x"/>
    <s v="x"/>
    <s v="x"/>
    <s v="-85/0/0"/>
    <s v="n/a"/>
    <s v="n/a"/>
    <s v="n/a"/>
    <s v="n/a"/>
    <s v="n/a"/>
    <s v="n/a"/>
    <s v="n/a"/>
    <s v="TotallyNotCalledEvan"/>
    <m/>
    <m/>
    <m/>
    <m/>
    <m/>
    <n v="1"/>
    <m/>
    <m/>
    <m/>
    <m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x v="337"/>
    <m/>
    <x v="9"/>
  </r>
  <r>
    <n v="1079"/>
    <s v="SPIDOPS2"/>
    <m/>
    <x v="15"/>
    <x v="21"/>
    <s v="x"/>
    <s v="x"/>
    <m/>
    <s v="x"/>
    <s v="x"/>
    <s v="x"/>
    <m/>
    <s v="n/a"/>
    <s v="x"/>
    <s v="x"/>
    <s v="-85/0/0"/>
    <s v="n/a"/>
    <s v="n/a"/>
    <s v="n/a"/>
    <s v="n/a"/>
    <s v="n/a"/>
    <s v="n/a"/>
    <s v="n/a"/>
    <s v="TotallyNotCalledEvan"/>
    <m/>
    <m/>
    <m/>
    <m/>
    <m/>
    <n v="1"/>
    <m/>
    <m/>
    <m/>
    <m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x v="337"/>
    <m/>
    <x v="9"/>
  </r>
  <r>
    <n v="1080"/>
    <s v="PYUKUMUKU"/>
    <m/>
    <x v="12"/>
    <x v="4"/>
    <s v="x"/>
    <s v="x"/>
    <m/>
    <s v="x"/>
    <s v="x"/>
    <s v="x"/>
    <m/>
    <s v="x"/>
    <s v="x"/>
    <s v="x"/>
    <s v="Custom - YoshiGaminStuf"/>
    <s v="x"/>
    <s v="x"/>
    <s v="x"/>
    <s v="x"/>
    <s v="x"/>
    <s v="x"/>
    <s v="x"/>
    <s v="Hypertox"/>
    <m/>
    <m/>
    <m/>
    <m/>
    <m/>
    <n v="1"/>
    <n v="1"/>
    <n v="1"/>
    <n v="1"/>
    <m/>
    <m/>
    <n v="1"/>
    <m/>
    <m/>
    <m/>
    <m/>
    <m/>
    <m/>
    <m/>
    <m/>
    <m/>
    <n v="1"/>
    <m/>
    <n v="1"/>
    <n v="1"/>
    <n v="1"/>
    <n v="1"/>
    <m/>
    <m/>
    <m/>
    <m/>
    <m/>
    <m/>
    <m/>
    <m/>
    <m/>
    <m/>
    <m/>
    <m/>
    <m/>
    <m/>
    <m/>
    <m/>
    <x v="88"/>
    <m/>
    <x v="6"/>
  </r>
  <r>
    <n v="1081"/>
    <s v="FIDOUGH"/>
    <m/>
    <x v="18"/>
    <x v="4"/>
    <s v="x"/>
    <s v="x"/>
    <m/>
    <s v="x"/>
    <s v="x"/>
    <s v="x"/>
    <m/>
    <s v="x"/>
    <s v="x"/>
    <s v="x"/>
    <s v="Custom - YoshiGaminStuf"/>
    <s v="n/a"/>
    <s v="n/a"/>
    <s v="n/a"/>
    <s v="n/a"/>
    <s v="n/a"/>
    <s v="n/a"/>
    <s v="n/a"/>
    <s v="TotallyNotCalledEvan"/>
    <m/>
    <n v="1"/>
    <m/>
    <m/>
    <m/>
    <m/>
    <m/>
    <m/>
    <m/>
    <m/>
    <m/>
    <m/>
    <m/>
    <m/>
    <m/>
    <m/>
    <m/>
    <m/>
    <n v="1"/>
    <m/>
    <m/>
    <m/>
    <n v="1"/>
    <m/>
    <m/>
    <m/>
    <m/>
    <m/>
    <m/>
    <m/>
    <m/>
    <m/>
    <m/>
    <m/>
    <m/>
    <m/>
    <m/>
    <m/>
    <m/>
    <m/>
    <m/>
    <m/>
    <m/>
    <x v="86"/>
    <m/>
    <x v="9"/>
  </r>
  <r>
    <n v="1082"/>
    <s v="DACHSBUN"/>
    <m/>
    <x v="18"/>
    <x v="13"/>
    <s v="x"/>
    <s v="x"/>
    <m/>
    <s v="x"/>
    <s v="x"/>
    <s v="x"/>
    <m/>
    <s v="n/a"/>
    <s v="x"/>
    <s v="x"/>
    <s v="Custom - YoshiGaminStuf"/>
    <s v="n/a"/>
    <s v="n/a"/>
    <s v="n/a"/>
    <s v="n/a"/>
    <s v="n/a"/>
    <s v="n/a"/>
    <s v="n/a"/>
    <s v="TotallyNotCalledEvan"/>
    <m/>
    <n v="1"/>
    <m/>
    <m/>
    <m/>
    <m/>
    <m/>
    <m/>
    <m/>
    <m/>
    <m/>
    <m/>
    <m/>
    <m/>
    <m/>
    <m/>
    <m/>
    <m/>
    <n v="1"/>
    <m/>
    <m/>
    <m/>
    <n v="1"/>
    <m/>
    <m/>
    <m/>
    <m/>
    <m/>
    <m/>
    <m/>
    <m/>
    <m/>
    <m/>
    <m/>
    <m/>
    <m/>
    <m/>
    <m/>
    <m/>
    <n v="4"/>
    <m/>
    <m/>
    <m/>
    <x v="338"/>
    <m/>
    <x v="9"/>
  </r>
  <r>
    <n v="1083"/>
    <s v="BULBASAUR2"/>
    <m/>
    <x v="13"/>
    <x v="5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PDM20"/>
    <m/>
    <m/>
    <m/>
    <m/>
    <m/>
    <n v="1"/>
    <m/>
    <m/>
    <m/>
    <m/>
    <m/>
    <m/>
    <m/>
    <m/>
    <m/>
    <m/>
    <m/>
    <m/>
    <m/>
    <n v="1"/>
    <m/>
    <m/>
    <n v="1"/>
    <n v="1"/>
    <m/>
    <n v="1"/>
    <n v="1"/>
    <m/>
    <m/>
    <m/>
    <m/>
    <m/>
    <m/>
    <m/>
    <m/>
    <m/>
    <m/>
    <m/>
    <m/>
    <m/>
    <m/>
    <m/>
    <m/>
    <x v="314"/>
    <m/>
    <x v="0"/>
  </r>
  <r>
    <n v="1084"/>
    <s v="IVYSAUR2"/>
    <m/>
    <x v="13"/>
    <x v="5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PDM20"/>
    <m/>
    <m/>
    <m/>
    <m/>
    <m/>
    <n v="1"/>
    <m/>
    <m/>
    <m/>
    <m/>
    <m/>
    <m/>
    <m/>
    <m/>
    <m/>
    <m/>
    <m/>
    <m/>
    <m/>
    <n v="1"/>
    <m/>
    <m/>
    <n v="1"/>
    <n v="1"/>
    <m/>
    <n v="1"/>
    <n v="1"/>
    <m/>
    <m/>
    <m/>
    <m/>
    <m/>
    <m/>
    <m/>
    <m/>
    <m/>
    <m/>
    <m/>
    <m/>
    <m/>
    <m/>
    <m/>
    <m/>
    <x v="314"/>
    <m/>
    <x v="0"/>
  </r>
  <r>
    <n v="1085"/>
    <s v="VENUSAUR2"/>
    <m/>
    <x v="13"/>
    <x v="5"/>
    <s v="x"/>
    <s v="x"/>
    <m/>
    <s v="x"/>
    <s v="x"/>
    <s v="x"/>
    <m/>
    <s v="n/a"/>
    <s v="x"/>
    <s v="x"/>
    <s v="Custom - PDM20"/>
    <s v="x"/>
    <s v="x"/>
    <s v="x"/>
    <s v="x"/>
    <s v="x"/>
    <s v="x"/>
    <s v="x"/>
    <s v="PDM20"/>
    <m/>
    <m/>
    <m/>
    <m/>
    <m/>
    <n v="1"/>
    <m/>
    <m/>
    <m/>
    <m/>
    <m/>
    <m/>
    <m/>
    <m/>
    <m/>
    <m/>
    <m/>
    <m/>
    <m/>
    <n v="1"/>
    <m/>
    <m/>
    <n v="1"/>
    <n v="1"/>
    <m/>
    <n v="1"/>
    <n v="1"/>
    <m/>
    <m/>
    <m/>
    <m/>
    <m/>
    <m/>
    <m/>
    <m/>
    <m/>
    <m/>
    <m/>
    <m/>
    <n v="3"/>
    <m/>
    <m/>
    <m/>
    <x v="314"/>
    <m/>
    <x v="0"/>
  </r>
  <r>
    <n v="1086"/>
    <s v="GIRAFARIG"/>
    <m/>
    <x v="11"/>
    <x v="4"/>
    <s v="x"/>
    <s v="x"/>
    <m/>
    <s v="x"/>
    <s v="x"/>
    <s v="x"/>
    <m/>
    <s v="x"/>
    <s v="x"/>
    <s v="x"/>
    <s v="-90/0/0"/>
    <s v="n/a"/>
    <s v="n/a"/>
    <s v="n/a"/>
    <s v="n/a"/>
    <s v="n/a"/>
    <s v="n/a"/>
    <s v="n/a"/>
    <s v="TotallyNotCalledEvan / Pipsqueak737 / kingofthexroad5 / CarnekVT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20"/>
    <m/>
    <x v="2"/>
  </r>
  <r>
    <n v="1087"/>
    <s v="FARIGIRAF"/>
    <m/>
    <x v="11"/>
    <x v="10"/>
    <s v="x"/>
    <s v="x"/>
    <m/>
    <s v="x"/>
    <s v="x"/>
    <s v="x"/>
    <m/>
    <s v="n/a"/>
    <s v="x"/>
    <s v="x"/>
    <s v="-90/0/0"/>
    <s v="n/a"/>
    <s v="n/a"/>
    <s v="n/a"/>
    <s v="n/a"/>
    <s v="n/a"/>
    <s v="n/a"/>
    <s v="n/a"/>
    <s v="TotallyNotCalledEvan / Pipsqueak737 / kingofthexroad5 / CarnekVT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n v="1"/>
    <m/>
    <m/>
    <m/>
    <x v="122"/>
    <m/>
    <x v="9"/>
  </r>
  <r>
    <n v="1088"/>
    <s v="COMFEY2"/>
    <m/>
    <x v="9"/>
    <x v="19"/>
    <s v="x"/>
    <s v="x"/>
    <m/>
    <s v="x"/>
    <s v="x"/>
    <s v="x"/>
    <m/>
    <s v="x"/>
    <s v="x"/>
    <s v="x"/>
    <s v="110/0/0"/>
    <s v="n/a"/>
    <s v="n/a"/>
    <s v="n/a"/>
    <s v="n/a"/>
    <s v="n/a"/>
    <s v="n/a"/>
    <s v="n/a"/>
    <s v="TotallyNotCalledEvan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x v="233"/>
    <m/>
    <x v="6"/>
  </r>
  <r>
    <n v="1089"/>
    <s v="KLEAVOR2"/>
    <m/>
    <x v="12"/>
    <x v="7"/>
    <s v="x"/>
    <s v="x"/>
    <m/>
    <s v="x"/>
    <s v="x"/>
    <s v="x"/>
    <m/>
    <s v="x"/>
    <s v="x"/>
    <s v="x"/>
    <s v="Custom - PDM20"/>
    <s v="x"/>
    <s v="x"/>
    <s v="x"/>
    <s v="x"/>
    <s v="x"/>
    <s v="x"/>
    <s v="x"/>
    <s v="PDM20/YoshiGaminStuf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n v="2"/>
    <m/>
    <m/>
    <m/>
    <x v="24"/>
    <m/>
    <x v="8"/>
  </r>
  <r>
    <n v="1090"/>
    <s v="SEWADDLE2"/>
    <m/>
    <x v="12"/>
    <x v="5"/>
    <s v="x"/>
    <s v="x"/>
    <m/>
    <s v="x"/>
    <s v="x"/>
    <s v="x"/>
    <m/>
    <s v="x"/>
    <s v="x"/>
    <s v="x"/>
    <s v="125/0/0"/>
    <s v="n/a"/>
    <s v="n/a"/>
    <s v="n/a"/>
    <s v="n/a"/>
    <s v="n/a"/>
    <s v="n/a"/>
    <s v="n/a"/>
    <s v="Badman"/>
    <m/>
    <m/>
    <m/>
    <m/>
    <m/>
    <m/>
    <n v="1"/>
    <n v="1"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8"/>
    <m/>
    <x v="1"/>
  </r>
  <r>
    <n v="1091"/>
    <s v="SWADLOON2"/>
    <m/>
    <x v="12"/>
    <x v="5"/>
    <s v="x"/>
    <s v="x"/>
    <m/>
    <s v="x"/>
    <s v="x"/>
    <s v="x"/>
    <m/>
    <s v="n/a"/>
    <s v="x"/>
    <s v="x"/>
    <s v="125/0/0"/>
    <s v="n/a"/>
    <s v="n/a"/>
    <s v="n/a"/>
    <s v="n/a"/>
    <s v="n/a"/>
    <s v="n/a"/>
    <s v="n/a"/>
    <s v="Badman"/>
    <m/>
    <m/>
    <m/>
    <m/>
    <m/>
    <m/>
    <n v="1"/>
    <n v="1"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x v="28"/>
    <m/>
    <x v="1"/>
  </r>
  <r>
    <n v="1092"/>
    <s v="LEAVANNY2"/>
    <m/>
    <x v="12"/>
    <x v="5"/>
    <s v="x"/>
    <s v="x"/>
    <m/>
    <s v="x"/>
    <s v="x"/>
    <s v="x"/>
    <m/>
    <s v="n/a"/>
    <s v="x"/>
    <s v="x"/>
    <s v="125/0/0"/>
    <s v="n/a"/>
    <s v="n/a"/>
    <s v="n/a"/>
    <s v="n/a"/>
    <s v="n/a"/>
    <s v="n/a"/>
    <s v="n/a"/>
    <s v="Badman"/>
    <m/>
    <m/>
    <m/>
    <m/>
    <m/>
    <m/>
    <n v="1"/>
    <n v="1"/>
    <n v="1"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n v="1"/>
    <m/>
    <m/>
    <m/>
    <x v="28"/>
    <m/>
    <x v="1"/>
  </r>
  <r>
    <n v="1093"/>
    <s v="SENTRET2"/>
    <m/>
    <x v="1"/>
    <x v="17"/>
    <s v="x"/>
    <s v="x"/>
    <m/>
    <s v="x"/>
    <s v="x"/>
    <s v="x"/>
    <m/>
    <s v="x"/>
    <s v="x"/>
    <s v="x"/>
    <s v="-90/0/0"/>
    <s v="n/a"/>
    <s v="n/a"/>
    <s v="n/a"/>
    <s v="n/a"/>
    <s v="n/a"/>
    <s v="n/a"/>
    <s v="n/a"/>
    <s v="Ignotus68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39"/>
    <m/>
    <x v="2"/>
  </r>
  <r>
    <n v="1094"/>
    <s v="FURRET2"/>
    <m/>
    <x v="1"/>
    <x v="17"/>
    <s v="x"/>
    <s v="x"/>
    <m/>
    <s v="x"/>
    <s v="x"/>
    <s v="x"/>
    <m/>
    <s v="n/a"/>
    <s v="x"/>
    <s v="x"/>
    <s v="-90/0/0"/>
    <s v="x"/>
    <s v="x"/>
    <s v="x"/>
    <s v="x"/>
    <s v="x"/>
    <s v="x"/>
    <s v="x"/>
    <s v="Ignotus68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n v="5"/>
    <n v="2"/>
    <m/>
    <m/>
    <m/>
    <x v="239"/>
    <m/>
    <x v="2"/>
  </r>
  <r>
    <n v="1095"/>
    <s v="NIDORANfE"/>
    <m/>
    <x v="0"/>
    <x v="4"/>
    <s v="x"/>
    <s v="x"/>
    <m/>
    <s v="x"/>
    <s v="x"/>
    <s v="x"/>
    <m/>
    <s v="x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x v="152"/>
    <m/>
    <x v="0"/>
  </r>
  <r>
    <n v="1096"/>
    <s v="NIDORINA"/>
    <m/>
    <x v="0"/>
    <x v="4"/>
    <s v="x"/>
    <s v="x"/>
    <m/>
    <s v="x"/>
    <s v="x"/>
    <s v="x"/>
    <m/>
    <s v="n/a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x v="152"/>
    <m/>
    <x v="0"/>
  </r>
  <r>
    <n v="1097"/>
    <s v="NIDOQUEEN"/>
    <m/>
    <x v="0"/>
    <x v="4"/>
    <s v="x"/>
    <s v="x"/>
    <m/>
    <s v="x"/>
    <s v="x"/>
    <s v="x"/>
    <m/>
    <s v="n/a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n v="3"/>
    <m/>
    <m/>
    <m/>
    <x v="152"/>
    <m/>
    <x v="0"/>
  </r>
  <r>
    <n v="1098"/>
    <s v="NIDORANmA"/>
    <m/>
    <x v="2"/>
    <x v="4"/>
    <s v="x"/>
    <s v="x"/>
    <m/>
    <s v="x"/>
    <s v="x"/>
    <s v="x"/>
    <m/>
    <s v="x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52"/>
    <m/>
    <x v="0"/>
  </r>
  <r>
    <n v="1099"/>
    <s v="NIDORINO"/>
    <m/>
    <x v="2"/>
    <x v="4"/>
    <s v="x"/>
    <s v="x"/>
    <m/>
    <s v="x"/>
    <s v="x"/>
    <s v="x"/>
    <m/>
    <s v="n/a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x v="52"/>
    <m/>
    <x v="0"/>
  </r>
  <r>
    <n v="1100"/>
    <s v="NIDOKING"/>
    <m/>
    <x v="2"/>
    <x v="4"/>
    <s v="x"/>
    <s v="x"/>
    <m/>
    <s v="x"/>
    <s v="x"/>
    <s v="x"/>
    <m/>
    <s v="n/a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n v="1"/>
    <m/>
    <m/>
    <m/>
    <x v="52"/>
    <m/>
    <x v="0"/>
  </r>
  <r>
    <n v="1101"/>
    <s v="GROOKEY2"/>
    <m/>
    <x v="0"/>
    <x v="4"/>
    <s v="x"/>
    <s v="x"/>
    <m/>
    <s v="x"/>
    <s v="x"/>
    <s v="x"/>
    <m/>
    <s v="x"/>
    <s v="x"/>
    <s v="x"/>
    <s v="100/0/0"/>
    <s v="n/a"/>
    <s v="n/a"/>
    <s v="n/a"/>
    <s v="n/a"/>
    <s v="n/a"/>
    <s v="n/a"/>
    <s v="n/a"/>
    <s v="Ignotus68"/>
    <m/>
    <m/>
    <m/>
    <m/>
    <m/>
    <m/>
    <n v="1"/>
    <n v="1"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152"/>
    <m/>
    <x v="8"/>
  </r>
  <r>
    <n v="1102"/>
    <s v="THWACKEY2"/>
    <m/>
    <x v="0"/>
    <x v="14"/>
    <s v="x"/>
    <s v="x"/>
    <m/>
    <s v="x"/>
    <s v="x"/>
    <s v="x"/>
    <m/>
    <s v="n/a"/>
    <s v="x"/>
    <s v="x"/>
    <s v="100/0/0"/>
    <s v="n/a"/>
    <s v="n/a"/>
    <s v="n/a"/>
    <s v="n/a"/>
    <s v="n/a"/>
    <s v="n/a"/>
    <s v="n/a"/>
    <s v="Ignotus68"/>
    <m/>
    <m/>
    <m/>
    <m/>
    <m/>
    <m/>
    <n v="1"/>
    <n v="1"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m/>
    <m/>
    <m/>
    <m/>
    <x v="245"/>
    <m/>
    <x v="8"/>
  </r>
  <r>
    <n v="1103"/>
    <s v="RILLABOOM2"/>
    <m/>
    <x v="0"/>
    <x v="14"/>
    <s v="x"/>
    <s v="x"/>
    <m/>
    <s v="x"/>
    <s v="x"/>
    <s v="x"/>
    <m/>
    <s v="n/a"/>
    <s v="x"/>
    <s v="x"/>
    <s v="100/0/0"/>
    <s v="n/a"/>
    <s v="n/a"/>
    <s v="n/a"/>
    <s v="n/a"/>
    <s v="n/a"/>
    <s v="n/a"/>
    <s v="n/a"/>
    <s v="Ignotus68"/>
    <m/>
    <m/>
    <m/>
    <m/>
    <m/>
    <m/>
    <n v="1"/>
    <n v="1"/>
    <n v="1"/>
    <m/>
    <m/>
    <m/>
    <m/>
    <m/>
    <m/>
    <m/>
    <m/>
    <m/>
    <m/>
    <m/>
    <m/>
    <m/>
    <m/>
    <m/>
    <n v="1"/>
    <n v="1"/>
    <n v="1"/>
    <m/>
    <m/>
    <m/>
    <m/>
    <m/>
    <m/>
    <m/>
    <m/>
    <m/>
    <m/>
    <m/>
    <m/>
    <n v="4"/>
    <m/>
    <m/>
    <m/>
    <x v="245"/>
    <m/>
    <x v="8"/>
  </r>
  <r>
    <n v="1104"/>
    <s v="CHATOT"/>
    <m/>
    <x v="9"/>
    <x v="8"/>
    <s v="x"/>
    <s v="x"/>
    <m/>
    <s v="x"/>
    <s v="x"/>
    <s v="x"/>
    <m/>
    <s v="x"/>
    <s v="x"/>
    <s v="x"/>
    <s v="-60/0/0"/>
    <s v="n/a"/>
    <s v="n/a"/>
    <s v="n/a"/>
    <s v="n/a"/>
    <s v="n/a"/>
    <s v="n/a"/>
    <s v="n/a"/>
    <s v="Boro"/>
    <m/>
    <m/>
    <n v="1"/>
    <n v="1"/>
    <m/>
    <m/>
    <m/>
    <m/>
    <m/>
    <m/>
    <m/>
    <n v="1"/>
    <m/>
    <m/>
    <m/>
    <m/>
    <m/>
    <m/>
    <m/>
    <m/>
    <m/>
    <m/>
    <m/>
    <m/>
    <m/>
    <n v="1"/>
    <m/>
    <m/>
    <m/>
    <m/>
    <m/>
    <m/>
    <m/>
    <m/>
    <m/>
    <m/>
    <m/>
    <n v="5"/>
    <m/>
    <m/>
    <m/>
    <m/>
    <m/>
    <x v="231"/>
    <m/>
    <x v="5"/>
  </r>
  <r>
    <n v="1105"/>
    <s v="KECLEON"/>
    <m/>
    <x v="16"/>
    <x v="17"/>
    <s v="x"/>
    <s v="x"/>
    <m/>
    <s v="x"/>
    <s v="x"/>
    <s v="x"/>
    <m/>
    <s v="x"/>
    <s v="x"/>
    <s v="x"/>
    <s v="-50/0/0"/>
    <s v="n/a"/>
    <s v="n/a"/>
    <s v="n/a"/>
    <s v="n/a"/>
    <s v="n/a"/>
    <s v="n/a"/>
    <s v="n/a"/>
    <s v="Jos/Boro/Raffs07"/>
    <m/>
    <m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n v="5"/>
    <m/>
    <m/>
    <m/>
    <m/>
    <m/>
    <x v="160"/>
    <m/>
    <x v="3"/>
  </r>
  <r>
    <n v="1106"/>
    <s v="PAWNIARD2"/>
    <m/>
    <x v="1"/>
    <x v="4"/>
    <s v="x"/>
    <s v="x"/>
    <m/>
    <s v="x"/>
    <s v="x"/>
    <s v="x"/>
    <m/>
    <s v="x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74"/>
    <m/>
    <x v="1"/>
  </r>
  <r>
    <n v="1107"/>
    <s v="BISHARP2"/>
    <m/>
    <x v="1"/>
    <x v="10"/>
    <s v="x"/>
    <s v="x"/>
    <m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x v="178"/>
    <m/>
    <x v="1"/>
  </r>
  <r>
    <n v="1108"/>
    <s v="KINGAMBIT2"/>
    <m/>
    <x v="1"/>
    <x v="10"/>
    <s v="x"/>
    <s v="x"/>
    <m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n v="3"/>
    <m/>
    <m/>
    <m/>
    <x v="178"/>
    <m/>
    <x v="9"/>
  </r>
  <r>
    <n v="1109"/>
    <s v="CASTFORM"/>
    <m/>
    <x v="4"/>
    <x v="4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Hypertox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x v="3"/>
  </r>
  <r>
    <n v="1110"/>
    <s v="CLAUNCHER"/>
    <m/>
    <x v="7"/>
    <x v="4"/>
    <s v="x"/>
    <s v="x"/>
    <m/>
    <s v="x"/>
    <s v="x"/>
    <s v="x"/>
    <m/>
    <s v="x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94"/>
    <m/>
    <x v="4"/>
  </r>
  <r>
    <n v="1111"/>
    <s v="CLAWITZER"/>
    <m/>
    <x v="7"/>
    <x v="4"/>
    <s v="x"/>
    <s v="x"/>
    <m/>
    <s v="x"/>
    <s v="x"/>
    <s v="x"/>
    <m/>
    <s v="n/a"/>
    <s v="x"/>
    <s v="x"/>
    <s v="Custom - Boro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94"/>
    <m/>
    <x v="4"/>
  </r>
  <r>
    <n v="1112"/>
    <s v="SHROOMISH2"/>
    <m/>
    <x v="17"/>
    <x v="4"/>
    <s v="x"/>
    <s v="x"/>
    <m/>
    <s v="x"/>
    <s v="x"/>
    <s v="x"/>
    <m/>
    <s v="x"/>
    <s v="x"/>
    <s v="x"/>
    <s v="Custom - AtteaTheSilly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71"/>
    <m/>
    <x v="3"/>
  </r>
  <r>
    <n v="1113"/>
    <s v="BRELOOM2"/>
    <m/>
    <x v="17"/>
    <x v="2"/>
    <s v="x"/>
    <s v="x"/>
    <m/>
    <s v="x"/>
    <s v="x"/>
    <s v="x"/>
    <s v="x"/>
    <s v="n/a"/>
    <s v="x"/>
    <s v="x"/>
    <s v="Custom - AtteaTheSilly"/>
    <s v="n/a"/>
    <s v="n/a"/>
    <s v="n/a"/>
    <s v="n/a"/>
    <s v="n/a"/>
    <s v="n/a"/>
    <s v="n/a"/>
    <s v="AtteaTheSilly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n v="1"/>
    <m/>
    <m/>
    <m/>
    <x v="168"/>
    <m/>
    <x v="3"/>
  </r>
  <r>
    <n v="1114"/>
    <s v="MUNCHLAX2"/>
    <m/>
    <x v="17"/>
    <x v="2"/>
    <s v="x"/>
    <s v="x"/>
    <m/>
    <s v="x"/>
    <s v="x"/>
    <s v="x"/>
    <m/>
    <s v="x"/>
    <s v="x"/>
    <s v="x"/>
    <s v="Custom - Jos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168"/>
    <m/>
    <x v="5"/>
  </r>
  <r>
    <n v="1115"/>
    <s v="SNORLAX2"/>
    <m/>
    <x v="17"/>
    <x v="2"/>
    <s v="x"/>
    <s v="x"/>
    <m/>
    <s v="x"/>
    <s v="x"/>
    <s v="x"/>
    <s v="x"/>
    <s v="n/a"/>
    <s v="x"/>
    <s v="x"/>
    <s v="Custom - Jos"/>
    <s v="x"/>
    <s v="x"/>
    <s v="x"/>
    <s v="x"/>
    <s v="x"/>
    <s v="x"/>
    <s v="x"/>
    <s v="Ignotus68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n v="4"/>
    <m/>
    <m/>
    <m/>
    <x v="168"/>
    <m/>
    <x v="0"/>
  </r>
  <r>
    <n v="1116"/>
    <s v="ALOMOMOLA"/>
    <m/>
    <x v="1"/>
    <x v="19"/>
    <s v="x"/>
    <s v="x"/>
    <m/>
    <s v="x"/>
    <s v="x"/>
    <s v="x"/>
    <m/>
    <s v="x"/>
    <s v="x"/>
    <s v="x"/>
    <s v="Custom - Hypertox"/>
    <s v="n/a"/>
    <s v="n/a"/>
    <s v="n/a"/>
    <s v="n/a"/>
    <s v="n/a"/>
    <s v="n/a"/>
    <s v="n/a"/>
    <s v="Hypertox"/>
    <m/>
    <m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n v="1"/>
    <m/>
    <m/>
    <m/>
    <x v="339"/>
    <m/>
    <x v="1"/>
  </r>
  <r>
    <n v="1117"/>
    <s v="VAROOM"/>
    <m/>
    <x v="15"/>
    <x v="5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PDM20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49"/>
    <m/>
    <x v="9"/>
  </r>
  <r>
    <n v="1118"/>
    <s v="REVAVROOM"/>
    <m/>
    <x v="15"/>
    <x v="5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PDM20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x v="149"/>
    <m/>
    <x v="9"/>
  </r>
  <r>
    <n v="1119"/>
    <s v="VELUZA"/>
    <m/>
    <x v="18"/>
    <x v="14"/>
    <s v="x"/>
    <s v="x"/>
    <m/>
    <s v="x"/>
    <s v="x"/>
    <s v="x"/>
    <m/>
    <s v="n/a"/>
    <s v="x"/>
    <s v="x"/>
    <s v="Custom - Endless"/>
    <s v="n/a"/>
    <s v="n/a"/>
    <s v="n/a"/>
    <s v="n/a"/>
    <s v="n/a"/>
    <s v="n/a"/>
    <s v="n/a"/>
    <s v="Endless"/>
    <m/>
    <m/>
    <m/>
    <m/>
    <m/>
    <m/>
    <m/>
    <m/>
    <m/>
    <m/>
    <n v="1"/>
    <m/>
    <n v="1"/>
    <m/>
    <m/>
    <n v="1"/>
    <m/>
    <m/>
    <m/>
    <m/>
    <m/>
    <m/>
    <m/>
    <m/>
    <m/>
    <m/>
    <m/>
    <m/>
    <m/>
    <m/>
    <m/>
    <m/>
    <m/>
    <m/>
    <m/>
    <m/>
    <m/>
    <m/>
    <m/>
    <n v="2"/>
    <m/>
    <m/>
    <m/>
    <x v="340"/>
    <m/>
    <x v="9"/>
  </r>
  <r>
    <n v="1120"/>
    <s v="APPLIN2"/>
    <m/>
    <x v="10"/>
    <x v="12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41"/>
    <m/>
    <x v="8"/>
  </r>
  <r>
    <n v="1121"/>
    <s v="FLAPPLE2"/>
    <m/>
    <x v="10"/>
    <x v="12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n v="1"/>
    <m/>
    <m/>
    <m/>
    <x v="341"/>
    <m/>
    <x v="8"/>
  </r>
  <r>
    <n v="1122"/>
    <s v="APPLETUN2"/>
    <m/>
    <x v="10"/>
    <x v="12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41"/>
    <m/>
    <x v="8"/>
  </r>
  <r>
    <n v="1123"/>
    <s v="DIPPLIN2"/>
    <m/>
    <x v="10"/>
    <x v="12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41"/>
    <m/>
    <x v="9"/>
  </r>
  <r>
    <n v="1124"/>
    <s v="HYDRAPPLE2"/>
    <m/>
    <x v="10"/>
    <x v="12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n v="3"/>
    <m/>
    <m/>
    <m/>
    <x v="341"/>
    <m/>
    <x v="9"/>
  </r>
  <r>
    <n v="1125"/>
    <s v="WIMPOD2"/>
    <m/>
    <x v="2"/>
    <x v="11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m/>
    <x v="342"/>
    <m/>
    <x v="6"/>
  </r>
  <r>
    <n v="1126"/>
    <s v="GOLISOPOD2"/>
    <m/>
    <x v="2"/>
    <x v="11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m/>
    <x v="342"/>
    <m/>
    <x v="6"/>
  </r>
  <r>
    <n v="1127"/>
    <s v="FLITTLE"/>
    <m/>
    <x v="2"/>
    <x v="12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Hypertox"/>
    <m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x v="55"/>
    <m/>
    <x v="9"/>
  </r>
  <r>
    <n v="1128"/>
    <s v="ESPATHRA"/>
    <m/>
    <x v="2"/>
    <x v="12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Hypertox"/>
    <m/>
    <m/>
    <m/>
    <m/>
    <m/>
    <m/>
    <m/>
    <m/>
    <m/>
    <m/>
    <m/>
    <m/>
    <m/>
    <m/>
    <m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x v="55"/>
    <m/>
    <x v="9"/>
  </r>
  <r>
    <n v="1129"/>
    <s v="CARNIVINE2"/>
    <m/>
    <x v="8"/>
    <x v="12"/>
    <s v="x"/>
    <s v="x"/>
    <m/>
    <s v="x"/>
    <s v="x"/>
    <s v="x"/>
    <m/>
    <s v="x"/>
    <s v="x"/>
    <s v="x"/>
    <s v="Custom - TotallyNotCalledEvan"/>
    <s v="n/a"/>
    <s v="n/a"/>
    <s v="n/a"/>
    <s v="n/a"/>
    <s v="n/a"/>
    <s v="n/a"/>
    <s v="n/a"/>
    <s v="TotallyNotCalledEv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343"/>
    <m/>
    <x v="5"/>
  </r>
  <r>
    <n v="1130"/>
    <s v="YUNGOOS"/>
    <m/>
    <x v="17"/>
    <x v="18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Riptidecord / Ignotus68"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86"/>
    <m/>
    <x v="6"/>
  </r>
  <r>
    <n v="1131"/>
    <s v="GUMSHOOS"/>
    <m/>
    <x v="17"/>
    <x v="18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Riptidecord / Ignotus68"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86"/>
    <m/>
    <x v="6"/>
  </r>
  <r>
    <n v="1132"/>
    <s v="ZANGOOSE"/>
    <m/>
    <x v="8"/>
    <x v="14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Ignotus68"/>
    <m/>
    <m/>
    <m/>
    <m/>
    <m/>
    <m/>
    <m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n v="1"/>
    <m/>
    <m/>
    <m/>
    <x v="41"/>
    <m/>
    <x v="3"/>
  </r>
  <r>
    <n v="1133"/>
    <s v="MORPEKO"/>
    <m/>
    <x v="11"/>
    <x v="4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x v="120"/>
    <m/>
    <x v="8"/>
  </r>
  <r>
    <n v="1134"/>
    <s v="MAWILE"/>
    <m/>
    <x v="10"/>
    <x v="4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Boro"/>
    <m/>
    <n v="1"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17"/>
    <m/>
    <x v="3"/>
  </r>
  <r>
    <n v="1135"/>
    <s v="SKRELP2"/>
    <m/>
    <x v="18"/>
    <x v="4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x v="86"/>
    <m/>
    <x v="4"/>
  </r>
  <r>
    <n v="1136"/>
    <s v="DRAGALGE2"/>
    <m/>
    <x v="18"/>
    <x v="4"/>
    <s v="x"/>
    <s v="x"/>
    <m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1"/>
    <m/>
    <m/>
    <m/>
    <x v="86"/>
    <m/>
    <x v="4"/>
  </r>
  <r>
    <n v="1137"/>
    <s v="MAREEP2"/>
    <m/>
    <x v="19"/>
    <x v="10"/>
    <s v="x"/>
    <s v="x"/>
    <m/>
    <s v="x"/>
    <s v="x"/>
    <s v="x"/>
    <m/>
    <s v="x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x v="282"/>
    <m/>
    <x v="2"/>
  </r>
  <r>
    <n v="1138"/>
    <s v="FLAAFFY2"/>
    <m/>
    <x v="19"/>
    <x v="10"/>
    <s v="x"/>
    <s v="x"/>
    <m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x v="282"/>
    <m/>
    <x v="2"/>
  </r>
  <r>
    <n v="1139"/>
    <s v="AMPHAROS2"/>
    <m/>
    <x v="19"/>
    <x v="10"/>
    <s v="x"/>
    <s v="x"/>
    <m/>
    <s v="x"/>
    <s v="x"/>
    <s v="x"/>
    <m/>
    <s v="n/a"/>
    <s v="x"/>
    <s v="x"/>
    <s v="Custom - Badman"/>
    <s v="x"/>
    <s v="x"/>
    <s v="x"/>
    <s v="x"/>
    <s v="x"/>
    <s v="x"/>
    <s v="x"/>
    <s v="Badman"/>
    <m/>
    <m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n v="3"/>
    <m/>
    <m/>
    <m/>
    <x v="282"/>
    <m/>
    <x v="2"/>
  </r>
  <r>
    <n v="1140"/>
    <s v="DWEBBLE2"/>
    <m/>
    <x v="19"/>
    <x v="3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Zeta"/>
    <m/>
    <m/>
    <m/>
    <m/>
    <n v="1"/>
    <m/>
    <m/>
    <m/>
    <m/>
    <n v="1"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344"/>
    <m/>
    <x v="1"/>
  </r>
  <r>
    <n v="1141"/>
    <s v="CRUSTLE2"/>
    <m/>
    <x v="19"/>
    <x v="3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Zeta"/>
    <m/>
    <m/>
    <m/>
    <m/>
    <n v="1"/>
    <m/>
    <m/>
    <m/>
    <m/>
    <n v="1"/>
    <m/>
    <n v="1"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x v="344"/>
    <m/>
    <x v="1"/>
  </r>
  <r>
    <n v="1142"/>
    <s v="RELLOR"/>
    <m/>
    <x v="11"/>
    <x v="4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TrashGamer10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120"/>
    <m/>
    <x v="9"/>
  </r>
  <r>
    <n v="1143"/>
    <s v="RABSCA"/>
    <m/>
    <x v="11"/>
    <x v="8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TrashGamer101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40"/>
    <m/>
    <x v="9"/>
  </r>
  <r>
    <n v="1144"/>
    <s v="MAWILE2"/>
    <m/>
    <x v="9"/>
    <x v="18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Zeta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06"/>
    <m/>
    <x v="3"/>
  </r>
  <r>
    <n v="1145"/>
    <s v="SCATTERBUG"/>
    <m/>
    <x v="3"/>
    <x v="4"/>
    <s v="x"/>
    <s v="x"/>
    <m/>
    <s v="x"/>
    <s v="x"/>
    <s v="x"/>
    <m/>
    <s v="x"/>
    <s v="x"/>
    <s v="x"/>
    <s v="Custom - Hypertox"/>
    <s v="n/a"/>
    <s v="n/a"/>
    <s v="n/a"/>
    <s v="n/a"/>
    <s v="n/a"/>
    <s v="n/a"/>
    <s v="n/a"/>
    <s v="Hypertox"/>
    <m/>
    <m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x v="119"/>
    <m/>
    <x v="4"/>
  </r>
  <r>
    <n v="1146"/>
    <s v="SPEWPA"/>
    <m/>
    <x v="3"/>
    <x v="11"/>
    <s v="x"/>
    <s v="x"/>
    <m/>
    <s v="x"/>
    <s v="x"/>
    <s v="x"/>
    <m/>
    <s v="n/a"/>
    <s v="x"/>
    <s v="x"/>
    <s v="Custom - Hypertox"/>
    <s v="n/a"/>
    <s v="n/a"/>
    <s v="n/a"/>
    <s v="n/a"/>
    <s v="n/a"/>
    <s v="n/a"/>
    <s v="n/a"/>
    <s v="Hypertox"/>
    <m/>
    <m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x v="179"/>
    <m/>
    <x v="4"/>
  </r>
  <r>
    <n v="1147"/>
    <s v="VIVILLON"/>
    <m/>
    <x v="3"/>
    <x v="11"/>
    <s v="x"/>
    <s v="x"/>
    <m/>
    <s v="x"/>
    <s v="x"/>
    <s v="x"/>
    <m/>
    <s v="n/a"/>
    <s v="x"/>
    <s v="x"/>
    <s v="Custom - Hypertox"/>
    <s v="n/a"/>
    <s v="n/a"/>
    <s v="n/a"/>
    <s v="n/a"/>
    <s v="n/a"/>
    <s v="n/a"/>
    <s v="n/a"/>
    <s v="Hypertox"/>
    <m/>
    <m/>
    <m/>
    <m/>
    <m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x v="179"/>
    <m/>
    <x v="4"/>
  </r>
  <r>
    <n v="1148"/>
    <s v="CRABRAWLER"/>
    <m/>
    <x v="8"/>
    <x v="4"/>
    <s v="x"/>
    <s v="x"/>
    <m/>
    <s v="x"/>
    <s v="x"/>
    <s v="x"/>
    <m/>
    <s v="x"/>
    <s v="x"/>
    <s v="x"/>
    <s v="Custom - PDM20"/>
    <s v="n/a"/>
    <s v="n/a"/>
    <s v="n/a"/>
    <s v="n/a"/>
    <s v="n/a"/>
    <s v="n/a"/>
    <s v="n/a"/>
    <s v="Badman"/>
    <m/>
    <m/>
    <m/>
    <m/>
    <m/>
    <n v="1"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40"/>
    <m/>
    <x v="6"/>
  </r>
  <r>
    <n v="1149"/>
    <s v="CRABOMINABLE"/>
    <m/>
    <x v="8"/>
    <x v="4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Badman"/>
    <m/>
    <m/>
    <m/>
    <m/>
    <m/>
    <n v="1"/>
    <m/>
    <m/>
    <m/>
    <m/>
    <m/>
    <m/>
    <m/>
    <m/>
    <m/>
    <m/>
    <m/>
    <m/>
    <m/>
    <m/>
    <n v="1"/>
    <m/>
    <m/>
    <m/>
    <m/>
    <n v="1"/>
    <n v="1"/>
    <m/>
    <m/>
    <m/>
    <m/>
    <m/>
    <m/>
    <m/>
    <m/>
    <m/>
    <m/>
    <m/>
    <m/>
    <m/>
    <m/>
    <m/>
    <m/>
    <x v="40"/>
    <m/>
    <x v="6"/>
  </r>
  <r>
    <n v="1150"/>
    <s v="MEOWTH2"/>
    <m/>
    <x v="11"/>
    <x v="1"/>
    <s v="x"/>
    <s v="x"/>
    <m/>
    <s v="x"/>
    <s v="x"/>
    <s v="x"/>
    <m/>
    <s v="n/a"/>
    <s v="x"/>
    <s v="x"/>
    <s v="Custom - CrystalStar"/>
    <s v="n/a"/>
    <s v="n/a"/>
    <s v="n/a"/>
    <s v="n/a"/>
    <s v="n/a"/>
    <s v="n/a"/>
    <s v="n/a"/>
    <s v="Ignotus68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45"/>
    <m/>
    <x v="0"/>
  </r>
  <r>
    <n v="1151"/>
    <s v="PERSIAN2"/>
    <m/>
    <x v="11"/>
    <x v="1"/>
    <s v="x"/>
    <s v="x"/>
    <m/>
    <s v="x"/>
    <s v="x"/>
    <s v="x"/>
    <m/>
    <s v="n/a"/>
    <s v="x"/>
    <s v="x"/>
    <s v="Custom - CrystalStar"/>
    <s v="n/a"/>
    <s v="n/a"/>
    <s v="n/a"/>
    <s v="n/a"/>
    <s v="n/a"/>
    <s v="n/a"/>
    <s v="n/a"/>
    <s v="Ignotus68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45"/>
    <m/>
    <x v="0"/>
  </r>
  <r>
    <n v="1152"/>
    <s v="PERRSERKER2"/>
    <m/>
    <x v="11"/>
    <x v="5"/>
    <s v="x"/>
    <s v="x"/>
    <m/>
    <s v="x"/>
    <s v="x"/>
    <s v="x"/>
    <m/>
    <s v="n/a"/>
    <s v="x"/>
    <s v="x"/>
    <s v="Custom - CrystalStar"/>
    <s v="n/a"/>
    <s v="n/a"/>
    <s v="n/a"/>
    <s v="n/a"/>
    <s v="n/a"/>
    <s v="n/a"/>
    <s v="n/a"/>
    <s v="Ignotus68"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x v="247"/>
    <m/>
    <x v="8"/>
  </r>
  <r>
    <n v="1153"/>
    <s v="SHROODLE"/>
    <m/>
    <x v="8"/>
    <x v="4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Hypertox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40"/>
    <m/>
    <x v="9"/>
  </r>
  <r>
    <n v="1154"/>
    <s v="GRAFAIAI"/>
    <m/>
    <x v="8"/>
    <x v="10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Hypertox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x v="267"/>
    <m/>
    <x v="9"/>
  </r>
  <r>
    <n v="1155"/>
    <s v="KLEAVOR"/>
    <m/>
    <x v="10"/>
    <x v="5"/>
    <s v="x"/>
    <s v="x"/>
    <m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n v="1"/>
    <m/>
    <m/>
    <m/>
    <x v="346"/>
    <m/>
    <x v="8"/>
  </r>
  <r>
    <n v="1156"/>
    <s v="PINCURCHIN2"/>
    <m/>
    <x v="4"/>
    <x v="4"/>
    <s v="x"/>
    <s v="x"/>
    <m/>
    <s v="x"/>
    <s v="x"/>
    <s v="x"/>
    <m/>
    <s v="n/a"/>
    <s v="x"/>
    <s v="x"/>
    <s v="Don't remember hue shift"/>
    <s v="n/a"/>
    <s v="n/a"/>
    <s v="n/a"/>
    <s v="n/a"/>
    <s v="n/a"/>
    <s v="n/a"/>
    <s v="n/a"/>
    <s v="Raffs07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x v="17"/>
    <m/>
    <x v="8"/>
  </r>
  <r>
    <n v="1157"/>
    <s v="LECHONK"/>
    <m/>
    <x v="9"/>
    <x v="10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Zeta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84"/>
    <m/>
    <x v="9"/>
  </r>
  <r>
    <n v="1158"/>
    <s v="OINKOLOGNE"/>
    <m/>
    <x v="9"/>
    <x v="10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Zeta"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84"/>
    <m/>
    <x v="9"/>
  </r>
  <r>
    <n v="1159"/>
    <s v="KYUREM"/>
    <m/>
    <x v="0"/>
    <x v="5"/>
    <s v="x"/>
    <s v="x"/>
    <m/>
    <s v="x"/>
    <s v="x"/>
    <s v="x"/>
    <m/>
    <s v="n/a"/>
    <s v="x"/>
    <s v="x"/>
    <s v="Custom - PDM20"/>
    <s v="n/a"/>
    <s v="n/a"/>
    <s v="n/a"/>
    <s v="n/a"/>
    <s v="n/a"/>
    <s v="n/a"/>
    <s v="n/a"/>
    <s v="Boro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n v="1"/>
    <m/>
    <m/>
    <m/>
    <x v="153"/>
    <m/>
    <x v="1"/>
  </r>
  <r>
    <n v="1160"/>
    <s v="ROCKRUFF2"/>
    <m/>
    <x v="2"/>
    <x v="17"/>
    <s v="x"/>
    <s v="x"/>
    <m/>
    <s v="x"/>
    <s v="x"/>
    <s v="x"/>
    <m/>
    <s v="x"/>
    <s v="x"/>
    <s v="x"/>
    <s v="Custom - Hypertox"/>
    <s v="n/a"/>
    <s v="n/a"/>
    <s v="n/a"/>
    <s v="n/a"/>
    <s v="n/a"/>
    <s v="n/a"/>
    <s v="n/a"/>
    <s v="Zeta"/>
    <m/>
    <m/>
    <m/>
    <m/>
    <m/>
    <n v="1"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x v="251"/>
    <m/>
    <x v="6"/>
  </r>
  <r>
    <n v="1161"/>
    <s v="LYCANROC2"/>
    <m/>
    <x v="2"/>
    <x v="17"/>
    <s v="x"/>
    <s v="x"/>
    <m/>
    <s v="x"/>
    <s v="x"/>
    <s v="x"/>
    <m/>
    <s v="n/a"/>
    <s v="x"/>
    <s v="x"/>
    <s v="Custom - Hypertox"/>
    <s v="n/a"/>
    <s v="n/a"/>
    <s v="n/a"/>
    <s v="n/a"/>
    <s v="n/a"/>
    <s v="n/a"/>
    <s v="n/a"/>
    <s v="Zeta"/>
    <m/>
    <m/>
    <m/>
    <m/>
    <m/>
    <n v="1"/>
    <m/>
    <m/>
    <m/>
    <m/>
    <m/>
    <m/>
    <m/>
    <m/>
    <m/>
    <m/>
    <n v="1"/>
    <n v="1"/>
    <n v="1"/>
    <n v="1"/>
    <m/>
    <m/>
    <m/>
    <m/>
    <m/>
    <m/>
    <m/>
    <m/>
    <m/>
    <m/>
    <m/>
    <m/>
    <m/>
    <m/>
    <m/>
    <m/>
    <m/>
    <m/>
    <m/>
    <n v="1"/>
    <m/>
    <m/>
    <m/>
    <x v="251"/>
    <m/>
    <x v="6"/>
  </r>
  <r>
    <n v="1162"/>
    <s v="STARYU2"/>
    <m/>
    <x v="5"/>
    <x v="13"/>
    <s v="x"/>
    <s v="x"/>
    <m/>
    <s v="x"/>
    <s v="x"/>
    <s v="x"/>
    <m/>
    <s v="x"/>
    <s v="x"/>
    <s v="x"/>
    <s v="Custom - Hypertox"/>
    <s v="n/a"/>
    <s v="n/a"/>
    <s v="n/a"/>
    <s v="n/a"/>
    <s v="n/a"/>
    <s v="n/a"/>
    <s v="n/a"/>
    <s v="Jos"/>
    <m/>
    <m/>
    <m/>
    <n v="1"/>
    <n v="1"/>
    <m/>
    <m/>
    <m/>
    <m/>
    <m/>
    <m/>
    <m/>
    <m/>
    <n v="1"/>
    <n v="1"/>
    <m/>
    <m/>
    <m/>
    <m/>
    <m/>
    <m/>
    <m/>
    <n v="1"/>
    <m/>
    <m/>
    <m/>
    <m/>
    <n v="1"/>
    <m/>
    <m/>
    <m/>
    <m/>
    <m/>
    <m/>
    <m/>
    <m/>
    <m/>
    <m/>
    <m/>
    <m/>
    <m/>
    <m/>
    <m/>
    <x v="347"/>
    <m/>
    <x v="0"/>
  </r>
  <r>
    <n v="1163"/>
    <s v="STARMIE2"/>
    <m/>
    <x v="5"/>
    <x v="13"/>
    <s v="x"/>
    <s v="x"/>
    <m/>
    <s v="x"/>
    <s v="x"/>
    <s v="x"/>
    <m/>
    <s v="n/a"/>
    <s v="x"/>
    <s v="x"/>
    <s v="Custom - Hypertox"/>
    <s v="n/a"/>
    <s v="n/a"/>
    <s v="n/a"/>
    <s v="n/a"/>
    <s v="n/a"/>
    <s v="n/a"/>
    <s v="n/a"/>
    <s v="Jos"/>
    <m/>
    <m/>
    <m/>
    <n v="1"/>
    <n v="1"/>
    <m/>
    <m/>
    <m/>
    <m/>
    <m/>
    <m/>
    <m/>
    <m/>
    <n v="1"/>
    <n v="1"/>
    <m/>
    <m/>
    <m/>
    <m/>
    <m/>
    <m/>
    <m/>
    <n v="1"/>
    <m/>
    <m/>
    <m/>
    <m/>
    <n v="1"/>
    <m/>
    <m/>
    <m/>
    <m/>
    <m/>
    <m/>
    <m/>
    <m/>
    <m/>
    <m/>
    <m/>
    <m/>
    <m/>
    <m/>
    <m/>
    <x v="347"/>
    <m/>
    <x v="0"/>
  </r>
  <r>
    <n v="1164"/>
    <s v="LITWICK2"/>
    <m/>
    <x v="0"/>
    <x v="1"/>
    <s v="x"/>
    <s v="x"/>
    <m/>
    <s v="x"/>
    <s v="x"/>
    <s v="x"/>
    <m/>
    <s v="x"/>
    <s v="x"/>
    <s v="x"/>
    <s v="Custom - Zeta"/>
    <s v="n/a"/>
    <s v="n/a"/>
    <s v="n/a"/>
    <s v="n/a"/>
    <s v="n/a"/>
    <s v="n/a"/>
    <s v="n/a"/>
    <s v="Badman"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90"/>
    <m/>
    <x v="1"/>
  </r>
  <r>
    <n v="1165"/>
    <s v="LAMPENT2"/>
    <m/>
    <x v="0"/>
    <x v="1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Badman"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90"/>
    <m/>
    <x v="1"/>
  </r>
  <r>
    <n v="1166"/>
    <s v="CHANDELURE2"/>
    <m/>
    <x v="0"/>
    <x v="1"/>
    <s v="x"/>
    <s v="x"/>
    <m/>
    <s v="x"/>
    <s v="x"/>
    <s v="x"/>
    <m/>
    <s v="n/a"/>
    <s v="x"/>
    <s v="x"/>
    <s v="Custom - Zeta"/>
    <s v="n/a"/>
    <s v="n/a"/>
    <s v="n/a"/>
    <s v="n/a"/>
    <s v="n/a"/>
    <s v="n/a"/>
    <s v="n/a"/>
    <s v="Badman"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x v="290"/>
    <m/>
    <x v="1"/>
  </r>
  <r>
    <n v="1167"/>
    <s v="CYCLIZAR2"/>
    <m/>
    <x v="3"/>
    <x v="0"/>
    <s v="x"/>
    <s v="x"/>
    <m/>
    <s v="x"/>
    <s v="x"/>
    <s v="x"/>
    <m/>
    <s v="x"/>
    <s v="x"/>
    <s v="x"/>
    <s v="Custom - Hypertox"/>
    <s v="n/a"/>
    <s v="n/a"/>
    <s v="n/a"/>
    <s v="n/a"/>
    <s v="n/a"/>
    <s v="n/a"/>
    <s v="n/a"/>
    <s v="Badman"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"/>
    <m/>
    <m/>
    <m/>
    <x v="265"/>
    <m/>
    <x v="9"/>
  </r>
  <r>
    <n v="1168"/>
    <s v="GOOMY2"/>
    <m/>
    <x v="0"/>
    <x v="4"/>
    <s v="x"/>
    <s v="x"/>
    <m/>
    <s v="x"/>
    <s v="x"/>
    <s v="x"/>
    <m/>
    <s v="x"/>
    <s v="x"/>
    <s v="x"/>
    <s v="Custom - Badman"/>
    <s v="n/a"/>
    <s v="n/a"/>
    <s v="n/a"/>
    <s v="n/a"/>
    <s v="n/a"/>
    <s v="n/a"/>
    <s v="n/a"/>
    <s v="Badman"/>
    <m/>
    <m/>
    <m/>
    <m/>
    <m/>
    <m/>
    <n v="1"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n v="1"/>
    <m/>
    <m/>
    <m/>
    <x v="152"/>
    <m/>
    <x v="4"/>
  </r>
  <r>
    <n v="1169"/>
    <s v="SLIGGOO2"/>
    <m/>
    <x v="0"/>
    <x v="4"/>
    <s v="x"/>
    <s v="x"/>
    <m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m/>
    <n v="1"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n v="1"/>
    <m/>
    <m/>
    <m/>
    <x v="152"/>
    <m/>
    <x v="4"/>
  </r>
  <r>
    <n v="1170"/>
    <s v="GOODRA2"/>
    <m/>
    <x v="0"/>
    <x v="4"/>
    <s v="x"/>
    <s v="x"/>
    <m/>
    <s v="x"/>
    <s v="x"/>
    <s v="x"/>
    <m/>
    <s v="n/a"/>
    <s v="x"/>
    <s v="x"/>
    <s v="Custom - Badman"/>
    <s v="n/a"/>
    <s v="n/a"/>
    <s v="n/a"/>
    <s v="n/a"/>
    <s v="n/a"/>
    <s v="n/a"/>
    <s v="n/a"/>
    <s v="Badman"/>
    <m/>
    <m/>
    <m/>
    <m/>
    <m/>
    <m/>
    <n v="1"/>
    <m/>
    <m/>
    <m/>
    <m/>
    <m/>
    <m/>
    <m/>
    <m/>
    <m/>
    <m/>
    <m/>
    <m/>
    <m/>
    <m/>
    <m/>
    <m/>
    <m/>
    <n v="1"/>
    <m/>
    <n v="1"/>
    <m/>
    <m/>
    <m/>
    <m/>
    <m/>
    <m/>
    <m/>
    <m/>
    <m/>
    <m/>
    <m/>
    <m/>
    <n v="1"/>
    <m/>
    <m/>
    <m/>
    <x v="152"/>
    <m/>
    <x v="4"/>
  </r>
  <r>
    <m/>
    <m/>
    <m/>
    <x v="21"/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48"/>
    <m/>
    <x v="10"/>
  </r>
  <r>
    <m/>
    <m/>
    <m/>
    <x v="21"/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48"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4:Y28" firstHeaderRow="1" firstDataRow="2" firstDataCol="1" rowPageCount="1" colPageCount="1"/>
  <pivotFields count="70">
    <pivotField showAll="0" defaultSubtotal="0"/>
    <pivotField dataField="1" showAll="0"/>
    <pivotField showAll="0" defaultSubtotal="0"/>
    <pivotField axis="axisRow" showAll="0" sortType="ascending">
      <items count="28">
        <item x="12"/>
        <item x="3"/>
        <item x="10"/>
        <item m="1" x="25"/>
        <item x="14"/>
        <item x="7"/>
        <item x="15"/>
        <item x="19"/>
        <item x="0"/>
        <item x="18"/>
        <item m="1" x="22"/>
        <item x="6"/>
        <item x="9"/>
        <item x="4"/>
        <item x="2"/>
        <item x="11"/>
        <item x="17"/>
        <item x="5"/>
        <item x="16"/>
        <item x="13"/>
        <item m="1" x="24"/>
        <item m="1" x="26"/>
        <item m="1" x="23"/>
        <item x="20"/>
        <item x="8"/>
        <item x="1"/>
        <item x="21"/>
        <item t="default"/>
      </items>
    </pivotField>
    <pivotField axis="axisCol" showAll="0" sortType="ascending">
      <items count="24">
        <item x="4"/>
        <item x="21"/>
        <item x="13"/>
        <item x="10"/>
        <item x="17"/>
        <item x="7"/>
        <item x="12"/>
        <item x="14"/>
        <item x="11"/>
        <item x="2"/>
        <item x="18"/>
        <item x="9"/>
        <item x="15"/>
        <item x="16"/>
        <item x="19"/>
        <item x="20"/>
        <item x="0"/>
        <item x="1"/>
        <item x="3"/>
        <item x="8"/>
        <item x="5"/>
        <item x="6"/>
        <item x="22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60">
        <item x="88"/>
        <item x="60"/>
        <item x="39"/>
        <item x="81"/>
        <item x="91"/>
        <item x="28"/>
        <item x="217"/>
        <item x="329"/>
        <item x="36"/>
        <item x="181"/>
        <item x="46"/>
        <item x="18"/>
        <item x="89"/>
        <item x="30"/>
        <item x="48"/>
        <item x="42"/>
        <item x="10"/>
        <item x="19"/>
        <item x="76"/>
        <item x="87"/>
        <item m="1" x="356"/>
        <item x="152"/>
        <item x="70"/>
        <item x="12"/>
        <item x="84"/>
        <item x="321"/>
        <item x="132"/>
        <item x="62"/>
        <item x="47"/>
        <item x="29"/>
        <item x="23"/>
        <item x="9"/>
        <item x="16"/>
        <item x="13"/>
        <item x="32"/>
        <item x="17"/>
        <item x="54"/>
        <item x="15"/>
        <item x="4"/>
        <item x="83"/>
        <item x="52"/>
        <item x="20"/>
        <item x="55"/>
        <item x="2"/>
        <item x="219"/>
        <item x="25"/>
        <item x="43"/>
        <item x="71"/>
        <item x="7"/>
        <item x="77"/>
        <item x="49"/>
        <item x="27"/>
        <item x="45"/>
        <item x="249"/>
        <item x="38"/>
        <item x="40"/>
        <item x="73"/>
        <item x="11"/>
        <item x="41"/>
        <item x="57"/>
        <item x="22"/>
        <item x="138"/>
        <item x="37"/>
        <item x="65"/>
        <item x="1"/>
        <item x="86"/>
        <item x="67"/>
        <item m="1" x="358"/>
        <item x="56"/>
        <item x="69"/>
        <item x="74"/>
        <item x="319"/>
        <item x="72"/>
        <item x="85"/>
        <item x="104"/>
        <item x="92"/>
        <item x="78"/>
        <item x="126"/>
        <item x="205"/>
        <item x="127"/>
        <item x="125"/>
        <item x="348"/>
        <item x="33"/>
        <item x="175"/>
        <item x="5"/>
        <item x="34"/>
        <item x="35"/>
        <item x="252"/>
        <item x="14"/>
        <item x="128"/>
        <item x="129"/>
        <item x="105"/>
        <item x="111"/>
        <item x="131"/>
        <item x="112"/>
        <item x="124"/>
        <item x="133"/>
        <item x="113"/>
        <item x="109"/>
        <item x="135"/>
        <item x="137"/>
        <item x="26"/>
        <item x="145"/>
        <item x="106"/>
        <item x="119"/>
        <item x="21"/>
        <item x="51"/>
        <item x="59"/>
        <item x="75"/>
        <item x="212"/>
        <item x="120"/>
        <item x="93"/>
        <item x="94"/>
        <item x="95"/>
        <item x="96"/>
        <item x="97"/>
        <item x="98"/>
        <item x="99"/>
        <item x="100"/>
        <item x="101"/>
        <item x="239"/>
        <item x="139"/>
        <item x="140"/>
        <item m="1" x="357"/>
        <item x="142"/>
        <item x="143"/>
        <item m="1" x="351"/>
        <item x="107"/>
        <item x="270"/>
        <item x="178"/>
        <item x="148"/>
        <item x="149"/>
        <item x="150"/>
        <item x="151"/>
        <item x="173"/>
        <item x="194"/>
        <item x="186"/>
        <item x="156"/>
        <item x="157"/>
        <item x="24"/>
        <item x="153"/>
        <item x="160"/>
        <item x="154"/>
        <item x="110"/>
        <item x="158"/>
        <item x="159"/>
        <item x="161"/>
        <item x="163"/>
        <item x="164"/>
        <item x="165"/>
        <item x="166"/>
        <item x="162"/>
        <item x="167"/>
        <item x="122"/>
        <item x="115"/>
        <item x="233"/>
        <item x="168"/>
        <item x="108"/>
        <item x="169"/>
        <item x="123"/>
        <item x="230"/>
        <item x="170"/>
        <item x="117"/>
        <item x="155"/>
        <item x="172"/>
        <item x="116"/>
        <item x="174"/>
        <item x="176"/>
        <item x="177"/>
        <item x="79"/>
        <item x="80"/>
        <item x="179"/>
        <item x="180"/>
        <item x="182"/>
        <item x="183"/>
        <item x="3"/>
        <item x="184"/>
        <item x="185"/>
        <item x="187"/>
        <item x="136"/>
        <item x="188"/>
        <item x="190"/>
        <item x="146"/>
        <item x="171"/>
        <item x="191"/>
        <item x="192"/>
        <item x="68"/>
        <item x="118"/>
        <item x="193"/>
        <item x="289"/>
        <item x="189"/>
        <item x="195"/>
        <item x="114"/>
        <item x="196"/>
        <item x="197"/>
        <item x="198"/>
        <item x="201"/>
        <item x="202"/>
        <item x="203"/>
        <item x="121"/>
        <item x="204"/>
        <item x="200"/>
        <item x="206"/>
        <item x="199"/>
        <item x="207"/>
        <item x="208"/>
        <item x="58"/>
        <item x="209"/>
        <item x="210"/>
        <item x="211"/>
        <item x="213"/>
        <item x="214"/>
        <item x="227"/>
        <item x="216"/>
        <item x="218"/>
        <item x="134"/>
        <item x="268"/>
        <item x="221"/>
        <item x="222"/>
        <item x="223"/>
        <item x="296"/>
        <item x="66"/>
        <item x="224"/>
        <item x="220"/>
        <item x="291"/>
        <item x="225"/>
        <item x="130"/>
        <item x="6"/>
        <item x="323"/>
        <item x="31"/>
        <item x="44"/>
        <item x="50"/>
        <item x="53"/>
        <item x="63"/>
        <item x="64"/>
        <item x="90"/>
        <item x="215"/>
        <item x="226"/>
        <item x="228"/>
        <item x="229"/>
        <item x="231"/>
        <item x="232"/>
        <item x="61"/>
        <item x="234"/>
        <item x="235"/>
        <item x="236"/>
        <item x="314"/>
        <item x="8"/>
        <item x="147"/>
        <item x="240"/>
        <item m="1" x="352"/>
        <item x="241"/>
        <item x="242"/>
        <item x="243"/>
        <item x="244"/>
        <item x="245"/>
        <item x="246"/>
        <item x="247"/>
        <item x="248"/>
        <item m="1" x="353"/>
        <item x="251"/>
        <item x="253"/>
        <item x="254"/>
        <item x="255"/>
        <item x="256"/>
        <item x="257"/>
        <item x="258"/>
        <item x="250"/>
        <item x="260"/>
        <item x="259"/>
        <item x="261"/>
        <item x="262"/>
        <item x="263"/>
        <item x="264"/>
        <item x="238"/>
        <item x="265"/>
        <item x="266"/>
        <item x="267"/>
        <item x="269"/>
        <item x="237"/>
        <item x="271"/>
        <item m="1" x="354"/>
        <item m="1" x="355"/>
        <item x="0"/>
        <item m="1" x="350"/>
        <item x="286"/>
        <item x="141"/>
        <item x="144"/>
        <item x="272"/>
        <item x="273"/>
        <item x="274"/>
        <item x="275"/>
        <item x="276"/>
        <item x="277"/>
        <item x="82"/>
        <item x="278"/>
        <item x="279"/>
        <item x="280"/>
        <item x="281"/>
        <item x="282"/>
        <item x="284"/>
        <item x="285"/>
        <item x="287"/>
        <item x="283"/>
        <item x="288"/>
        <item x="290"/>
        <item x="292"/>
        <item x="294"/>
        <item x="295"/>
        <item x="297"/>
        <item x="298"/>
        <item x="299"/>
        <item x="300"/>
        <item x="301"/>
        <item x="302"/>
        <item x="293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02"/>
        <item x="315"/>
        <item x="316"/>
        <item x="318"/>
        <item x="317"/>
        <item x="320"/>
        <item x="322"/>
        <item x="340"/>
        <item x="325"/>
        <item x="324"/>
        <item x="326"/>
        <item m="1" x="349"/>
        <item x="328"/>
        <item x="330"/>
        <item x="331"/>
        <item x="332"/>
        <item x="333"/>
        <item x="334"/>
        <item x="327"/>
        <item x="335"/>
        <item x="336"/>
        <item x="337"/>
        <item x="338"/>
        <item x="103"/>
        <item x="339"/>
        <item x="341"/>
        <item x="342"/>
        <item x="343"/>
        <item x="344"/>
        <item x="345"/>
        <item x="346"/>
        <item x="347"/>
        <item t="default"/>
      </items>
    </pivotField>
    <pivotField showAll="0"/>
    <pivotField showAll="0"/>
  </pivotFields>
  <rowFields count="1">
    <field x="3"/>
  </rowFields>
  <rowItems count="2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3"/>
    </i>
    <i>
      <x v="24"/>
    </i>
    <i>
      <x v="25"/>
    </i>
    <i>
      <x v="26"/>
    </i>
    <i t="grand">
      <x/>
    </i>
  </rowItems>
  <colFields count="1">
    <field x="4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pageFields count="1">
    <pageField fld="67" hier="-1"/>
  </pageFields>
  <dataFields count="1">
    <dataField name="Count of Pokemon" fld="1" subtotal="count" baseField="3" baseItem="7"/>
  </dataFields>
  <formats count="264">
    <format dxfId="264">
      <pivotArea collapsedLevelsAreSubtotals="1"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263">
      <pivotArea collapsedLevelsAreSubtotals="1" fieldPosition="0">
        <references count="2">
          <reference field="3" count="1">
            <x v="1"/>
          </reference>
          <reference field="4" count="1" selected="0">
            <x v="2"/>
          </reference>
        </references>
      </pivotArea>
    </format>
    <format dxfId="262">
      <pivotArea collapsedLevelsAreSubtotals="1" fieldPosition="0">
        <references count="2">
          <reference field="3" count="1">
            <x v="2"/>
          </reference>
          <reference field="4" count="1" selected="0">
            <x v="3"/>
          </reference>
        </references>
      </pivotArea>
    </format>
    <format dxfId="261">
      <pivotArea collapsedLevelsAreSubtotals="1" fieldPosition="0">
        <references count="2">
          <reference field="3" count="1">
            <x v="4"/>
          </reference>
          <reference field="4" count="1" selected="0">
            <x v="4"/>
          </reference>
        </references>
      </pivotArea>
    </format>
    <format dxfId="260">
      <pivotArea collapsedLevelsAreSubtotals="1" fieldPosition="0">
        <references count="2">
          <reference field="3" count="1">
            <x v="5"/>
          </reference>
          <reference field="4" count="1" selected="0">
            <x v="5"/>
          </reference>
        </references>
      </pivotArea>
    </format>
    <format dxfId="259">
      <pivotArea collapsedLevelsAreSubtotals="1" fieldPosition="0">
        <references count="2">
          <reference field="3" count="1">
            <x v="6"/>
          </reference>
          <reference field="4" count="1" selected="0">
            <x v="6"/>
          </reference>
        </references>
      </pivotArea>
    </format>
    <format dxfId="258">
      <pivotArea collapsedLevelsAreSubtotals="1" fieldPosition="0">
        <references count="2">
          <reference field="3" count="1">
            <x v="7"/>
          </reference>
          <reference field="4" count="1" selected="0">
            <x v="7"/>
          </reference>
        </references>
      </pivotArea>
    </format>
    <format dxfId="257">
      <pivotArea collapsedLevelsAreSubtotals="1" fieldPosition="0">
        <references count="2">
          <reference field="3" count="1">
            <x v="8"/>
          </reference>
          <reference field="4" count="1" selected="0">
            <x v="8"/>
          </reference>
        </references>
      </pivotArea>
    </format>
    <format dxfId="256">
      <pivotArea collapsedLevelsAreSubtotals="1" fieldPosition="0">
        <references count="2">
          <reference field="3" count="1">
            <x v="9"/>
          </reference>
          <reference field="4" count="1" selected="0">
            <x v="9"/>
          </reference>
        </references>
      </pivotArea>
    </format>
    <format dxfId="255">
      <pivotArea collapsedLevelsAreSubtotals="1" fieldPosition="0">
        <references count="2">
          <reference field="3" count="1">
            <x v="11"/>
          </reference>
          <reference field="4" count="1" selected="0">
            <x v="10"/>
          </reference>
        </references>
      </pivotArea>
    </format>
    <format dxfId="254">
      <pivotArea collapsedLevelsAreSubtotals="1" fieldPosition="0">
        <references count="2">
          <reference field="3" count="1">
            <x v="12"/>
          </reference>
          <reference field="4" count="1" selected="0">
            <x v="11"/>
          </reference>
        </references>
      </pivotArea>
    </format>
    <format dxfId="253">
      <pivotArea collapsedLevelsAreSubtotals="1" fieldPosition="0">
        <references count="2">
          <reference field="3" count="1">
            <x v="13"/>
          </reference>
          <reference field="4" count="1" selected="0">
            <x v="12"/>
          </reference>
        </references>
      </pivotArea>
    </format>
    <format dxfId="252">
      <pivotArea collapsedLevelsAreSubtotals="1" fieldPosition="0">
        <references count="2">
          <reference field="3" count="1">
            <x v="14"/>
          </reference>
          <reference field="4" count="1" selected="0">
            <x v="13"/>
          </reference>
        </references>
      </pivotArea>
    </format>
    <format dxfId="251">
      <pivotArea collapsedLevelsAreSubtotals="1" fieldPosition="0">
        <references count="2">
          <reference field="3" count="1">
            <x v="15"/>
          </reference>
          <reference field="4" count="1" selected="0">
            <x v="14"/>
          </reference>
        </references>
      </pivotArea>
    </format>
    <format dxfId="250">
      <pivotArea collapsedLevelsAreSubtotals="1" fieldPosition="0">
        <references count="2">
          <reference field="3" count="1">
            <x v="16"/>
          </reference>
          <reference field="4" count="1" selected="0">
            <x v="15"/>
          </reference>
        </references>
      </pivotArea>
    </format>
    <format dxfId="249">
      <pivotArea collapsedLevelsAreSubtotals="1" fieldPosition="0">
        <references count="2">
          <reference field="3" count="1">
            <x v="17"/>
          </reference>
          <reference field="4" count="1" selected="0">
            <x v="16"/>
          </reference>
        </references>
      </pivotArea>
    </format>
    <format dxfId="248">
      <pivotArea collapsedLevelsAreSubtotals="1" fieldPosition="0">
        <references count="2">
          <reference field="3" count="1">
            <x v="18"/>
          </reference>
          <reference field="4" count="1" selected="0">
            <x v="17"/>
          </reference>
        </references>
      </pivotArea>
    </format>
    <format dxfId="247">
      <pivotArea collapsedLevelsAreSubtotals="1" fieldPosition="0">
        <references count="2">
          <reference field="3" count="1">
            <x v="19"/>
          </reference>
          <reference field="4" count="1" selected="0">
            <x v="18"/>
          </reference>
        </references>
      </pivotArea>
    </format>
    <format dxfId="246">
      <pivotArea collapsedLevelsAreSubtotals="1" fieldPosition="0">
        <references count="2">
          <reference field="3" count="1">
            <x v="23"/>
          </reference>
          <reference field="4" count="1" selected="0">
            <x v="19"/>
          </reference>
        </references>
      </pivotArea>
    </format>
    <format dxfId="245">
      <pivotArea collapsedLevelsAreSubtotals="1" fieldPosition="0">
        <references count="2">
          <reference field="3" count="1">
            <x v="24"/>
          </reference>
          <reference field="4" count="1" selected="0">
            <x v="20"/>
          </reference>
        </references>
      </pivotArea>
    </format>
    <format dxfId="244">
      <pivotArea collapsedLevelsAreSubtotals="1" fieldPosition="0">
        <references count="2">
          <reference field="3" count="1">
            <x v="25"/>
          </reference>
          <reference field="4" count="1" selected="0">
            <x v="21"/>
          </reference>
        </references>
      </pivotArea>
    </format>
    <format dxfId="243">
      <pivotArea collapsedLevelsAreSubtotals="1"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242">
      <pivotArea collapsedLevelsAreSubtotals="1" fieldPosition="0">
        <references count="2">
          <reference field="3" count="1">
            <x v="1"/>
          </reference>
          <reference field="4" count="1" selected="0">
            <x v="2"/>
          </reference>
        </references>
      </pivotArea>
    </format>
    <format dxfId="241">
      <pivotArea collapsedLevelsAreSubtotals="1" fieldPosition="0">
        <references count="2">
          <reference field="3" count="1">
            <x v="2"/>
          </reference>
          <reference field="4" count="1" selected="0">
            <x v="3"/>
          </reference>
        </references>
      </pivotArea>
    </format>
    <format dxfId="240">
      <pivotArea collapsedLevelsAreSubtotals="1" fieldPosition="0">
        <references count="2">
          <reference field="3" count="1">
            <x v="4"/>
          </reference>
          <reference field="4" count="1" selected="0">
            <x v="4"/>
          </reference>
        </references>
      </pivotArea>
    </format>
    <format dxfId="239">
      <pivotArea collapsedLevelsAreSubtotals="1" fieldPosition="0">
        <references count="2">
          <reference field="3" count="1">
            <x v="5"/>
          </reference>
          <reference field="4" count="1" selected="0">
            <x v="5"/>
          </reference>
        </references>
      </pivotArea>
    </format>
    <format dxfId="238">
      <pivotArea collapsedLevelsAreSubtotals="1" fieldPosition="0">
        <references count="2">
          <reference field="3" count="1">
            <x v="6"/>
          </reference>
          <reference field="4" count="1" selected="0">
            <x v="6"/>
          </reference>
        </references>
      </pivotArea>
    </format>
    <format dxfId="237">
      <pivotArea collapsedLevelsAreSubtotals="1" fieldPosition="0">
        <references count="2">
          <reference field="3" count="1">
            <x v="6"/>
          </reference>
          <reference field="4" count="1" selected="0">
            <x v="7"/>
          </reference>
        </references>
      </pivotArea>
    </format>
    <format dxfId="236">
      <pivotArea collapsedLevelsAreSubtotals="1" fieldPosition="0">
        <references count="2">
          <reference field="3" count="1">
            <x v="7"/>
          </reference>
          <reference field="4" count="1" selected="0">
            <x v="7"/>
          </reference>
        </references>
      </pivotArea>
    </format>
    <format dxfId="235">
      <pivotArea collapsedLevelsAreSubtotals="1" fieldPosition="0">
        <references count="2">
          <reference field="3" count="1">
            <x v="8"/>
          </reference>
          <reference field="4" count="1" selected="0">
            <x v="8"/>
          </reference>
        </references>
      </pivotArea>
    </format>
    <format dxfId="234">
      <pivotArea collapsedLevelsAreSubtotals="1" fieldPosition="0">
        <references count="2">
          <reference field="3" count="1">
            <x v="9"/>
          </reference>
          <reference field="4" count="1" selected="0">
            <x v="9"/>
          </reference>
        </references>
      </pivotArea>
    </format>
    <format dxfId="233">
      <pivotArea collapsedLevelsAreSubtotals="1" fieldPosition="0">
        <references count="2">
          <reference field="3" count="1">
            <x v="11"/>
          </reference>
          <reference field="4" count="1" selected="0">
            <x v="10"/>
          </reference>
        </references>
      </pivotArea>
    </format>
    <format dxfId="232">
      <pivotArea collapsedLevelsAreSubtotals="1" fieldPosition="0">
        <references count="2">
          <reference field="3" count="1">
            <x v="12"/>
          </reference>
          <reference field="4" count="1" selected="0">
            <x v="11"/>
          </reference>
        </references>
      </pivotArea>
    </format>
    <format dxfId="231">
      <pivotArea collapsedLevelsAreSubtotals="1" fieldPosition="0">
        <references count="2">
          <reference field="3" count="1">
            <x v="13"/>
          </reference>
          <reference field="4" count="1" selected="0">
            <x v="12"/>
          </reference>
        </references>
      </pivotArea>
    </format>
    <format dxfId="230">
      <pivotArea collapsedLevelsAreSubtotals="1" fieldPosition="0">
        <references count="2">
          <reference field="3" count="1">
            <x v="14"/>
          </reference>
          <reference field="4" count="1" selected="0">
            <x v="13"/>
          </reference>
        </references>
      </pivotArea>
    </format>
    <format dxfId="229">
      <pivotArea collapsedLevelsAreSubtotals="1" fieldPosition="0">
        <references count="2">
          <reference field="3" count="1">
            <x v="15"/>
          </reference>
          <reference field="4" count="1" selected="0">
            <x v="14"/>
          </reference>
        </references>
      </pivotArea>
    </format>
    <format dxfId="228">
      <pivotArea collapsedLevelsAreSubtotals="1" fieldPosition="0">
        <references count="2">
          <reference field="3" count="1">
            <x v="16"/>
          </reference>
          <reference field="4" count="1" selected="0">
            <x v="15"/>
          </reference>
        </references>
      </pivotArea>
    </format>
    <format dxfId="227">
      <pivotArea collapsedLevelsAreSubtotals="1" fieldPosition="0">
        <references count="2">
          <reference field="3" count="1">
            <x v="17"/>
          </reference>
          <reference field="4" count="1" selected="0">
            <x v="16"/>
          </reference>
        </references>
      </pivotArea>
    </format>
    <format dxfId="226">
      <pivotArea collapsedLevelsAreSubtotals="1" fieldPosition="0">
        <references count="2">
          <reference field="3" count="1">
            <x v="18"/>
          </reference>
          <reference field="4" count="1" selected="0">
            <x v="17"/>
          </reference>
        </references>
      </pivotArea>
    </format>
    <format dxfId="225">
      <pivotArea collapsedLevelsAreSubtotals="1" fieldPosition="0">
        <references count="2">
          <reference field="3" count="1">
            <x v="19"/>
          </reference>
          <reference field="4" count="1" selected="0">
            <x v="18"/>
          </reference>
        </references>
      </pivotArea>
    </format>
    <format dxfId="224">
      <pivotArea collapsedLevelsAreSubtotals="1" fieldPosition="0">
        <references count="2">
          <reference field="3" count="1">
            <x v="23"/>
          </reference>
          <reference field="4" count="1" selected="0">
            <x v="19"/>
          </reference>
        </references>
      </pivotArea>
    </format>
    <format dxfId="223">
      <pivotArea collapsedLevelsAreSubtotals="1" fieldPosition="0">
        <references count="2">
          <reference field="3" count="1">
            <x v="24"/>
          </reference>
          <reference field="4" count="1" selected="0">
            <x v="20"/>
          </reference>
        </references>
      </pivotArea>
    </format>
    <format dxfId="222">
      <pivotArea collapsedLevelsAreSubtotals="1" fieldPosition="0">
        <references count="2">
          <reference field="3" count="1">
            <x v="25"/>
          </reference>
          <reference field="4" count="1" selected="0">
            <x v="21"/>
          </reference>
        </references>
      </pivotArea>
    </format>
    <format dxfId="221">
      <pivotArea collapsedLevelsAreSubtotals="1" fieldPosition="0">
        <references count="2">
          <reference field="3" count="1">
            <x v="2"/>
          </reference>
          <reference field="4" count="1" selected="0">
            <x v="2"/>
          </reference>
        </references>
      </pivotArea>
    </format>
    <format dxfId="220">
      <pivotArea collapsedLevelsAreSubtotals="1" fieldPosition="0">
        <references count="2">
          <reference field="3" count="1">
            <x v="2"/>
          </reference>
          <reference field="4" count="1" selected="0">
            <x v="13"/>
          </reference>
        </references>
      </pivotArea>
    </format>
    <format dxfId="219">
      <pivotArea collapsedLevelsAreSubtotals="1" fieldPosition="0">
        <references count="2">
          <reference field="3" count="1">
            <x v="11"/>
          </reference>
          <reference field="4" count="1" selected="0">
            <x v="1"/>
          </reference>
        </references>
      </pivotArea>
    </format>
    <format dxfId="218">
      <pivotArea collapsedLevelsAreSubtotals="1" fieldPosition="0">
        <references count="2">
          <reference field="3" count="1">
            <x v="1"/>
          </reference>
          <reference field="4" count="1" selected="0">
            <x v="1"/>
          </reference>
        </references>
      </pivotArea>
    </format>
    <format dxfId="217">
      <pivotArea collapsedLevelsAreSubtotals="1" fieldPosition="0">
        <references count="2">
          <reference field="3" count="1">
            <x v="7"/>
          </reference>
          <reference field="4" count="1" selected="0">
            <x v="1"/>
          </reference>
        </references>
      </pivotArea>
    </format>
    <format dxfId="216">
      <pivotArea collapsedLevelsAreSubtotals="1" fieldPosition="0">
        <references count="2">
          <reference field="3" count="1">
            <x v="8"/>
          </reference>
          <reference field="4" count="1" selected="0">
            <x v="1"/>
          </reference>
        </references>
      </pivotArea>
    </format>
    <format dxfId="215">
      <pivotArea collapsedLevelsAreSubtotals="1" fieldPosition="0">
        <references count="2">
          <reference field="3" count="1">
            <x v="9"/>
          </reference>
          <reference field="4" count="1" selected="0">
            <x v="1"/>
          </reference>
        </references>
      </pivotArea>
    </format>
    <format dxfId="214">
      <pivotArea collapsedLevelsAreSubtotals="1" fieldPosition="0">
        <references count="2">
          <reference field="3" count="1">
            <x v="0"/>
          </reference>
          <reference field="4" count="1" selected="0">
            <x v="15"/>
          </reference>
        </references>
      </pivotArea>
    </format>
    <format dxfId="213">
      <pivotArea collapsedLevelsAreSubtotals="1" fieldPosition="0">
        <references count="2">
          <reference field="3" count="1">
            <x v="17"/>
          </reference>
          <reference field="4" count="1" selected="0">
            <x v="1"/>
          </reference>
        </references>
      </pivotArea>
    </format>
    <format dxfId="212">
      <pivotArea collapsedLevelsAreSubtotals="1" fieldPosition="0">
        <references count="2">
          <reference field="3" count="1">
            <x v="4"/>
          </reference>
          <reference field="4" count="1" selected="0">
            <x v="2"/>
          </reference>
        </references>
      </pivotArea>
    </format>
    <format dxfId="211">
      <pivotArea collapsedLevelsAreSubtotals="1" fieldPosition="0">
        <references count="2">
          <reference field="3" count="1">
            <x v="9"/>
          </reference>
          <reference field="4" count="1" selected="0">
            <x v="3"/>
          </reference>
        </references>
      </pivotArea>
    </format>
    <format dxfId="210">
      <pivotArea collapsedLevelsAreSubtotals="1" fieldPosition="0">
        <references count="2">
          <reference field="3" count="1">
            <x v="15"/>
          </reference>
          <reference field="4" count="1" selected="0">
            <x v="11"/>
          </reference>
        </references>
      </pivotArea>
    </format>
    <format dxfId="209">
      <pivotArea collapsedLevelsAreSubtotals="1" fieldPosition="0">
        <references count="2">
          <reference field="3" count="1">
            <x v="17"/>
          </reference>
          <reference field="4" count="1" selected="0">
            <x v="11"/>
          </reference>
        </references>
      </pivotArea>
    </format>
    <format dxfId="208">
      <pivotArea collapsedLevelsAreSubtotals="1" fieldPosition="0">
        <references count="2">
          <reference field="3" count="1">
            <x v="16"/>
          </reference>
          <reference field="4" count="1" selected="0">
            <x v="11"/>
          </reference>
        </references>
      </pivotArea>
    </format>
    <format dxfId="207">
      <pivotArea collapsedLevelsAreSubtotals="1" fieldPosition="0">
        <references count="2">
          <reference field="3" count="1">
            <x v="18"/>
          </reference>
          <reference field="4" count="1" selected="0">
            <x v="11"/>
          </reference>
        </references>
      </pivotArea>
    </format>
    <format dxfId="206">
      <pivotArea collapsedLevelsAreSubtotals="1" fieldPosition="0">
        <references count="2">
          <reference field="3" count="1">
            <x v="19"/>
          </reference>
          <reference field="4" count="1" selected="0">
            <x v="11"/>
          </reference>
        </references>
      </pivotArea>
    </format>
    <format dxfId="205">
      <pivotArea collapsedLevelsAreSubtotals="1" fieldPosition="0">
        <references count="2">
          <reference field="3" count="1">
            <x v="23"/>
          </reference>
          <reference field="4" count="1" selected="0">
            <x v="11"/>
          </reference>
        </references>
      </pivotArea>
    </format>
    <format dxfId="204">
      <pivotArea collapsedLevelsAreSubtotals="1" fieldPosition="0">
        <references count="2">
          <reference field="3" count="1">
            <x v="16"/>
          </reference>
          <reference field="4" count="1" selected="0">
            <x v="13"/>
          </reference>
        </references>
      </pivotArea>
    </format>
    <format dxfId="203">
      <pivotArea collapsedLevelsAreSubtotals="1" fieldPosition="0">
        <references count="2">
          <reference field="3" count="1">
            <x v="2"/>
          </reference>
          <reference field="4" count="1" selected="0">
            <x v="12"/>
          </reference>
        </references>
      </pivotArea>
    </format>
    <format dxfId="202">
      <pivotArea collapsedLevelsAreSubtotals="1" fieldPosition="0">
        <references count="2">
          <reference field="3" count="1">
            <x v="7"/>
          </reference>
          <reference field="4" count="1" selected="0">
            <x v="4"/>
          </reference>
        </references>
      </pivotArea>
    </format>
    <format dxfId="201">
      <pivotArea collapsedLevelsAreSubtotals="1" fieldPosition="0">
        <references count="2">
          <reference field="3" count="1">
            <x v="4"/>
          </reference>
          <reference field="4" count="1" selected="0">
            <x v="5"/>
          </reference>
        </references>
      </pivotArea>
    </format>
    <format dxfId="200">
      <pivotArea collapsedLevelsAreSubtotals="1" fieldPosition="0">
        <references count="2">
          <reference field="3" count="1">
            <x v="7"/>
          </reference>
          <reference field="4" count="1" selected="0">
            <x v="5"/>
          </reference>
        </references>
      </pivotArea>
    </format>
    <format dxfId="199">
      <pivotArea collapsedLevelsAreSubtotals="1" fieldPosition="0">
        <references count="2">
          <reference field="3" count="1">
            <x v="11"/>
          </reference>
          <reference field="4" count="1" selected="0">
            <x v="5"/>
          </reference>
        </references>
      </pivotArea>
    </format>
    <format dxfId="198">
      <pivotArea collapsedLevelsAreSubtotals="1" fieldPosition="0">
        <references count="2">
          <reference field="3" count="1">
            <x v="13"/>
          </reference>
          <reference field="4" count="1" selected="0">
            <x v="5"/>
          </reference>
        </references>
      </pivotArea>
    </format>
    <format dxfId="197">
      <pivotArea collapsedLevelsAreSubtotals="1" fieldPosition="0">
        <references count="2">
          <reference field="3" count="1">
            <x v="18"/>
          </reference>
          <reference field="4" count="1" selected="0">
            <x v="5"/>
          </reference>
        </references>
      </pivotArea>
    </format>
    <format dxfId="196">
      <pivotArea collapsedLevelsAreSubtotals="1" fieldPosition="0">
        <references count="2">
          <reference field="3" count="1">
            <x v="9"/>
          </reference>
          <reference field="4" count="1" selected="0">
            <x v="6"/>
          </reference>
        </references>
      </pivotArea>
    </format>
    <format dxfId="195">
      <pivotArea collapsedLevelsAreSubtotals="1" fieldPosition="0">
        <references count="2">
          <reference field="3" count="1">
            <x v="18"/>
          </reference>
          <reference field="4" count="1" selected="0">
            <x v="7"/>
          </reference>
        </references>
      </pivotArea>
    </format>
    <format dxfId="194">
      <pivotArea collapsedLevelsAreSubtotals="1" fieldPosition="0">
        <references count="2">
          <reference field="3" count="1">
            <x v="25"/>
          </reference>
          <reference field="4" count="1" selected="0">
            <x v="8"/>
          </reference>
        </references>
      </pivotArea>
    </format>
    <format dxfId="193">
      <pivotArea collapsedLevelsAreSubtotals="1" fieldPosition="0">
        <references count="2">
          <reference field="3" count="1">
            <x v="23"/>
          </reference>
          <reference field="4" count="1" selected="0">
            <x v="8"/>
          </reference>
        </references>
      </pivotArea>
    </format>
    <format dxfId="192">
      <pivotArea collapsedLevelsAreSubtotals="1" fieldPosition="0">
        <references count="2">
          <reference field="3" count="1">
            <x v="13"/>
          </reference>
          <reference field="4" count="1" selected="0">
            <x v="8"/>
          </reference>
        </references>
      </pivotArea>
    </format>
    <format dxfId="191">
      <pivotArea collapsedLevelsAreSubtotals="1" fieldPosition="0">
        <references count="2">
          <reference field="3" count="1">
            <x v="7"/>
          </reference>
          <reference field="4" count="1" selected="0">
            <x v="8"/>
          </reference>
        </references>
      </pivotArea>
    </format>
    <format dxfId="190">
      <pivotArea collapsedLevelsAreSubtotals="1" fieldPosition="0">
        <references count="2">
          <reference field="3" count="1">
            <x v="5"/>
          </reference>
          <reference field="4" count="1" selected="0">
            <x v="8"/>
          </reference>
        </references>
      </pivotArea>
    </format>
    <format dxfId="189">
      <pivotArea collapsedLevelsAreSubtotals="1" fieldPosition="0">
        <references count="2">
          <reference field="3" count="1">
            <x v="19"/>
          </reference>
          <reference field="4" count="1" selected="0">
            <x v="10"/>
          </reference>
        </references>
      </pivotArea>
    </format>
    <format dxfId="188">
      <pivotArea collapsedLevelsAreSubtotals="1" fieldPosition="0">
        <references count="2">
          <reference field="3" count="1">
            <x v="14"/>
          </reference>
          <reference field="4" count="1" selected="0">
            <x v="10"/>
          </reference>
        </references>
      </pivotArea>
    </format>
    <format dxfId="187">
      <pivotArea collapsedLevelsAreSubtotals="1" fieldPosition="0">
        <references count="2">
          <reference field="3" count="1">
            <x v="7"/>
          </reference>
          <reference field="4" count="1" selected="0">
            <x v="10"/>
          </reference>
        </references>
      </pivotArea>
    </format>
    <format dxfId="186">
      <pivotArea collapsedLevelsAreSubtotals="1" fieldPosition="0">
        <references count="2">
          <reference field="3" count="1">
            <x v="6"/>
          </reference>
          <reference field="4" count="1" selected="0">
            <x v="10"/>
          </reference>
        </references>
      </pivotArea>
    </format>
    <format dxfId="185">
      <pivotArea collapsedLevelsAreSubtotals="1" fieldPosition="0">
        <references count="2">
          <reference field="3" count="1">
            <x v="11"/>
          </reference>
          <reference field="4" count="1" selected="0">
            <x v="19"/>
          </reference>
        </references>
      </pivotArea>
    </format>
    <format dxfId="184">
      <pivotArea collapsedLevelsAreSubtotals="1" fieldPosition="0">
        <references count="2">
          <reference field="3" count="1">
            <x v="24"/>
          </reference>
          <reference field="4" count="1" selected="0">
            <x v="13"/>
          </reference>
        </references>
      </pivotArea>
    </format>
    <format dxfId="183">
      <pivotArea collapsedLevelsAreSubtotals="1" fieldPosition="0">
        <references count="2">
          <reference field="3" count="1">
            <x v="13"/>
          </reference>
          <reference field="4" count="1" selected="0">
            <x v="13"/>
          </reference>
        </references>
      </pivotArea>
    </format>
    <format dxfId="182">
      <pivotArea collapsedLevelsAreSubtotals="1" fieldPosition="0">
        <references count="2">
          <reference field="3" count="1">
            <x v="9"/>
          </reference>
          <reference field="4" count="1" selected="0">
            <x v="13"/>
          </reference>
        </references>
      </pivotArea>
    </format>
    <format dxfId="181">
      <pivotArea collapsedLevelsAreSubtotals="1" fieldPosition="0">
        <references count="2">
          <reference field="3" count="1">
            <x v="7"/>
          </reference>
          <reference field="4" count="1" selected="0">
            <x v="13"/>
          </reference>
        </references>
      </pivotArea>
    </format>
    <format dxfId="180">
      <pivotArea collapsedLevelsAreSubtotals="1" fieldPosition="0">
        <references count="2">
          <reference field="3" count="1">
            <x v="2"/>
          </reference>
          <reference field="4" count="1" selected="0">
            <x v="14"/>
          </reference>
        </references>
      </pivotArea>
    </format>
    <format dxfId="179">
      <pivotArea collapsedLevelsAreSubtotals="1" fieldPosition="0">
        <references count="2">
          <reference field="3" count="1">
            <x v="5"/>
          </reference>
          <reference field="4" count="1" selected="0">
            <x v="14"/>
          </reference>
        </references>
      </pivotArea>
    </format>
    <format dxfId="178">
      <pivotArea collapsedLevelsAreSubtotals="1" fieldPosition="0">
        <references count="2">
          <reference field="3" count="1">
            <x v="15"/>
          </reference>
          <reference field="4" count="1" selected="0">
            <x v="2"/>
          </reference>
        </references>
      </pivotArea>
    </format>
    <format dxfId="177">
      <pivotArea collapsedLevelsAreSubtotals="1" fieldPosition="0">
        <references count="2">
          <reference field="3" count="1">
            <x v="23"/>
          </reference>
          <reference field="4" count="1" selected="0">
            <x v="16"/>
          </reference>
        </references>
      </pivotArea>
    </format>
    <format dxfId="176">
      <pivotArea collapsedLevelsAreSubtotals="1" fieldPosition="0">
        <references count="2">
          <reference field="3" count="1">
            <x v="4"/>
          </reference>
          <reference field="4" count="1" selected="0">
            <x v="17"/>
          </reference>
        </references>
      </pivotArea>
    </format>
    <format dxfId="175">
      <pivotArea collapsedLevelsAreSubtotals="1" fieldPosition="0">
        <references count="2">
          <reference field="3" count="1">
            <x v="9"/>
          </reference>
          <reference field="4" count="1" selected="0">
            <x v="17"/>
          </reference>
        </references>
      </pivotArea>
    </format>
    <format dxfId="174">
      <pivotArea collapsedLevelsAreSubtotals="1" fieldPosition="0">
        <references count="2">
          <reference field="3" count="1">
            <x v="11"/>
          </reference>
          <reference field="4" count="1" selected="0">
            <x v="17"/>
          </reference>
        </references>
      </pivotArea>
    </format>
    <format dxfId="173">
      <pivotArea collapsedLevelsAreSubtotals="1" fieldPosition="0">
        <references count="2">
          <reference field="3" count="1">
            <x v="2"/>
          </reference>
          <reference field="4" count="1" selected="0">
            <x v="18"/>
          </reference>
        </references>
      </pivotArea>
    </format>
    <format dxfId="172">
      <pivotArea collapsedLevelsAreSubtotals="1" fieldPosition="0">
        <references count="2">
          <reference field="3" count="1">
            <x v="4"/>
          </reference>
          <reference field="4" count="1" selected="0">
            <x v="19"/>
          </reference>
        </references>
      </pivotArea>
    </format>
    <format dxfId="171">
      <pivotArea collapsedLevelsAreSubtotals="1" fieldPosition="0">
        <references count="2">
          <reference field="3" count="1">
            <x v="4"/>
          </reference>
          <reference field="4" count="1" selected="0">
            <x v="19"/>
          </reference>
        </references>
      </pivotArea>
    </format>
    <format dxfId="170">
      <pivotArea collapsedLevelsAreSubtotals="1" fieldPosition="0">
        <references count="2">
          <reference field="3" count="1">
            <x v="9"/>
          </reference>
          <reference field="4" count="1" selected="0">
            <x v="19"/>
          </reference>
        </references>
      </pivotArea>
    </format>
    <format dxfId="169">
      <pivotArea collapsedLevelsAreSubtotals="1" fieldPosition="0">
        <references count="2">
          <reference field="3" count="1">
            <x v="13"/>
          </reference>
          <reference field="4" count="1" selected="0">
            <x v="19"/>
          </reference>
        </references>
      </pivotArea>
    </format>
    <format dxfId="168">
      <pivotArea collapsedLevelsAreSubtotals="1" fieldPosition="0">
        <references count="2">
          <reference field="3" count="1">
            <x v="9"/>
          </reference>
          <reference field="4" count="1" selected="0">
            <x v="20"/>
          </reference>
        </references>
      </pivotArea>
    </format>
    <format dxfId="167">
      <pivotArea collapsedLevelsAreSubtotals="1" fieldPosition="0">
        <references count="2">
          <reference field="3" count="1">
            <x v="7"/>
          </reference>
          <reference field="4" count="1" selected="0">
            <x v="20"/>
          </reference>
        </references>
      </pivotArea>
    </format>
    <format dxfId="166">
      <pivotArea collapsedLevelsAreSubtotals="1" fieldPosition="0">
        <references count="2">
          <reference field="3" count="1">
            <x v="2"/>
          </reference>
          <reference field="4" count="1" selected="0">
            <x v="21"/>
          </reference>
        </references>
      </pivotArea>
    </format>
    <format dxfId="165">
      <pivotArea collapsedLevelsAreSubtotals="1" fieldPosition="0">
        <references count="2">
          <reference field="3" count="1">
            <x v="7"/>
          </reference>
          <reference field="4" count="1" selected="0">
            <x v="21"/>
          </reference>
        </references>
      </pivotArea>
    </format>
    <format dxfId="164">
      <pivotArea collapsedLevelsAreSubtotals="1" fieldPosition="0">
        <references count="2">
          <reference field="3" count="1">
            <x v="13"/>
          </reference>
          <reference field="4" count="1" selected="0">
            <x v="21"/>
          </reference>
        </references>
      </pivotArea>
    </format>
    <format dxfId="163">
      <pivotArea collapsedLevelsAreSubtotals="1" fieldPosition="0">
        <references count="2">
          <reference field="3" count="1">
            <x v="18"/>
          </reference>
          <reference field="4" count="1" selected="0">
            <x v="21"/>
          </reference>
        </references>
      </pivotArea>
    </format>
    <format dxfId="162">
      <pivotArea collapsedLevelsAreSubtotals="1" fieldPosition="0">
        <references count="2">
          <reference field="3" count="1">
            <x v="18"/>
          </reference>
          <reference field="4" count="1" selected="0">
            <x v="21"/>
          </reference>
        </references>
      </pivotArea>
    </format>
    <format dxfId="161">
      <pivotArea collapsedLevelsAreSubtotals="1" fieldPosition="0">
        <references count="2">
          <reference field="3" count="1">
            <x v="23"/>
          </reference>
          <reference field="4" count="1" selected="0">
            <x v="21"/>
          </reference>
        </references>
      </pivotArea>
    </format>
    <format dxfId="160">
      <pivotArea collapsedLevelsAreSubtotals="1" fieldPosition="0">
        <references count="2">
          <reference field="3" count="1">
            <x v="18"/>
          </reference>
          <reference field="4" count="1" selected="0">
            <x v="9"/>
          </reference>
        </references>
      </pivotArea>
    </format>
    <format dxfId="159">
      <pivotArea collapsedLevelsAreSubtotals="1" fieldPosition="0">
        <references count="2">
          <reference field="3" count="1">
            <x v="25"/>
          </reference>
          <reference field="4" count="1" selected="0">
            <x v="7"/>
          </reference>
        </references>
      </pivotArea>
    </format>
    <format dxfId="158">
      <pivotArea collapsedLevelsAreSubtotals="1" fieldPosition="0">
        <references count="2">
          <reference field="3" count="1">
            <x v="12"/>
          </reference>
          <reference field="4" count="1" selected="0">
            <x v="8"/>
          </reference>
        </references>
      </pivotArea>
    </format>
    <format dxfId="157">
      <pivotArea collapsedLevelsAreSubtotals="1" fieldPosition="0">
        <references count="2">
          <reference field="3" count="1">
            <x v="1"/>
          </reference>
          <reference field="4" count="1" selected="0">
            <x v="14"/>
          </reference>
        </references>
      </pivotArea>
    </format>
    <format dxfId="156">
      <pivotArea collapsedLevelsAreSubtotals="1" fieldPosition="0">
        <references count="2">
          <reference field="3" count="1">
            <x v="16"/>
          </reference>
          <reference field="4" count="1" selected="0">
            <x v="7"/>
          </reference>
        </references>
      </pivotArea>
    </format>
    <format dxfId="155">
      <pivotArea collapsedLevelsAreSubtotals="1" fieldPosition="0">
        <references count="2">
          <reference field="3" count="1">
            <x v="8"/>
          </reference>
          <reference field="4" count="1" selected="0">
            <x v="7"/>
          </reference>
        </references>
      </pivotArea>
    </format>
    <format dxfId="154">
      <pivotArea collapsedLevelsAreSubtotals="1" fieldPosition="0">
        <references count="2">
          <reference field="3" count="1">
            <x v="5"/>
          </reference>
          <reference field="4" count="1" selected="0">
            <x v="18"/>
          </reference>
        </references>
      </pivotArea>
    </format>
    <format dxfId="153">
      <pivotArea collapsedLevelsAreSubtotals="1" fieldPosition="0">
        <references count="2">
          <reference field="3" count="1">
            <x v="19"/>
          </reference>
          <reference field="4" count="1" selected="0">
            <x v="5"/>
          </reference>
        </references>
      </pivotArea>
    </format>
    <format dxfId="152">
      <pivotArea collapsedLevelsAreSubtotals="1" fieldPosition="0">
        <references count="2">
          <reference field="3" count="1">
            <x v="16"/>
          </reference>
          <reference field="4" count="1" selected="0">
            <x v="4"/>
          </reference>
        </references>
      </pivotArea>
    </format>
    <format dxfId="151">
      <pivotArea collapsedLevelsAreSubtotals="1" fieldPosition="0">
        <references count="2">
          <reference field="3" count="2">
            <x v="14"/>
            <x v="15"/>
          </reference>
          <reference field="4" count="1" selected="0">
            <x v="4"/>
          </reference>
        </references>
      </pivotArea>
    </format>
    <format dxfId="150">
      <pivotArea collapsedLevelsAreSubtotals="1" fieldPosition="0">
        <references count="2">
          <reference field="3" count="1">
            <x v="19"/>
          </reference>
          <reference field="4" count="1" selected="0">
            <x v="12"/>
          </reference>
        </references>
      </pivotArea>
    </format>
    <format dxfId="149">
      <pivotArea collapsedLevelsAreSubtotals="1" fieldPosition="0">
        <references count="2">
          <reference field="3" count="1">
            <x v="19"/>
          </reference>
          <reference field="4" count="1" selected="0">
            <x v="5"/>
          </reference>
        </references>
      </pivotArea>
    </format>
    <format dxfId="148">
      <pivotArea collapsedLevelsAreSubtotals="1" fieldPosition="0">
        <references count="2">
          <reference field="3" count="1">
            <x v="19"/>
          </reference>
          <reference field="4" count="1" selected="0">
            <x v="10"/>
          </reference>
        </references>
      </pivotArea>
    </format>
    <format dxfId="147">
      <pivotArea collapsedLevelsAreSubtotals="1" fieldPosition="0">
        <references count="2">
          <reference field="3" count="1">
            <x v="1"/>
          </reference>
          <reference field="4" count="1" selected="0">
            <x v="6"/>
          </reference>
        </references>
      </pivotArea>
    </format>
    <format dxfId="146">
      <pivotArea collapsedLevelsAreSubtotals="1" fieldPosition="0">
        <references count="2">
          <reference field="3" count="1">
            <x v="5"/>
          </reference>
          <reference field="4" count="1" selected="0">
            <x v="4"/>
          </reference>
        </references>
      </pivotArea>
    </format>
    <format dxfId="145">
      <pivotArea collapsedLevelsAreSubtotals="1" fieldPosition="0">
        <references count="2">
          <reference field="3" count="1">
            <x v="18"/>
          </reference>
          <reference field="4" count="1" selected="0">
            <x v="1"/>
          </reference>
        </references>
      </pivotArea>
    </format>
    <format dxfId="144">
      <pivotArea collapsedLevelsAreSubtotals="1" fieldPosition="0">
        <references count="2">
          <reference field="3" count="1">
            <x v="24"/>
          </reference>
          <reference field="4" count="1" selected="0">
            <x v="1"/>
          </reference>
        </references>
      </pivotArea>
    </format>
    <format dxfId="143">
      <pivotArea collapsedLevelsAreSubtotals="1" fieldPosition="0">
        <references count="2">
          <reference field="3" count="1">
            <x v="19"/>
          </reference>
          <reference field="4" count="1" selected="0">
            <x v="2"/>
          </reference>
        </references>
      </pivotArea>
    </format>
    <format dxfId="142">
      <pivotArea collapsedLevelsAreSubtotals="1" fieldPosition="0">
        <references count="2">
          <reference field="3" count="1">
            <x v="23"/>
          </reference>
          <reference field="4" count="1" selected="0">
            <x v="2"/>
          </reference>
        </references>
      </pivotArea>
    </format>
    <format dxfId="141">
      <pivotArea collapsedLevelsAreSubtotals="1" fieldPosition="0">
        <references count="2">
          <reference field="3" count="1">
            <x v="1"/>
          </reference>
          <reference field="4" count="1" selected="0">
            <x v="5"/>
          </reference>
        </references>
      </pivotArea>
    </format>
    <format dxfId="140">
      <pivotArea collapsedLevelsAreSubtotals="1" fieldPosition="0">
        <references count="2">
          <reference field="3" count="1">
            <x v="14"/>
          </reference>
          <reference field="4" count="1" selected="0">
            <x v="17"/>
          </reference>
        </references>
      </pivotArea>
    </format>
    <format dxfId="139">
      <pivotArea collapsedLevelsAreSubtotals="1" fieldPosition="0">
        <references count="2">
          <reference field="3" count="1">
            <x v="18"/>
          </reference>
          <reference field="4" count="1" selected="0">
            <x v="13"/>
          </reference>
        </references>
      </pivotArea>
    </format>
    <format dxfId="138">
      <pivotArea collapsedLevelsAreSubtotals="1" fieldPosition="0">
        <references count="2">
          <reference field="3" count="1">
            <x v="7"/>
          </reference>
          <reference field="4" count="1" selected="0">
            <x v="14"/>
          </reference>
        </references>
      </pivotArea>
    </format>
    <format dxfId="137">
      <pivotArea collapsedLevelsAreSubtotals="1" fieldPosition="0">
        <references count="2">
          <reference field="3" count="1">
            <x v="23"/>
          </reference>
          <reference field="4" count="1" selected="0">
            <x v="14"/>
          </reference>
        </references>
      </pivotArea>
    </format>
    <format dxfId="136">
      <pivotArea collapsedLevelsAreSubtotals="1" fieldPosition="0">
        <references count="2">
          <reference field="3" count="1">
            <x v="7"/>
          </reference>
          <reference field="4" count="1" selected="0">
            <x v="16"/>
          </reference>
        </references>
      </pivotArea>
    </format>
    <format dxfId="135">
      <pivotArea collapsedLevelsAreSubtotals="1" fieldPosition="0">
        <references count="2">
          <reference field="3" count="1">
            <x v="9"/>
          </reference>
          <reference field="4" count="1" selected="0">
            <x v="16"/>
          </reference>
        </references>
      </pivotArea>
    </format>
    <format dxfId="134">
      <pivotArea collapsedLevelsAreSubtotals="1" fieldPosition="0">
        <references count="2">
          <reference field="3" count="1">
            <x v="18"/>
          </reference>
          <reference field="4" count="1" selected="0">
            <x v="16"/>
          </reference>
        </references>
      </pivotArea>
    </format>
    <format dxfId="133">
      <pivotArea collapsedLevelsAreSubtotals="1" fieldPosition="0">
        <references count="2">
          <reference field="3" count="1">
            <x v="15"/>
          </reference>
          <reference field="4" count="1" selected="0">
            <x v="17"/>
          </reference>
        </references>
      </pivotArea>
    </format>
    <format dxfId="132">
      <pivotArea collapsedLevelsAreSubtotals="1" fieldPosition="0">
        <references count="2">
          <reference field="3" count="1">
            <x v="6"/>
          </reference>
          <reference field="4" count="1" selected="0">
            <x v="18"/>
          </reference>
        </references>
      </pivotArea>
    </format>
    <format dxfId="131">
      <pivotArea collapsedLevelsAreSubtotals="1" fieldPosition="0">
        <references count="2">
          <reference field="3" count="1">
            <x v="9"/>
          </reference>
          <reference field="4" count="1" selected="0">
            <x v="18"/>
          </reference>
        </references>
      </pivotArea>
    </format>
    <format dxfId="130">
      <pivotArea collapsedLevelsAreSubtotals="1" fieldPosition="0">
        <references count="2">
          <reference field="3" count="1">
            <x v="19"/>
          </reference>
          <reference field="4" count="1" selected="0">
            <x v="16"/>
          </reference>
        </references>
      </pivotArea>
    </format>
    <format dxfId="129">
      <pivotArea collapsedLevelsAreSubtotals="1" fieldPosition="0">
        <references count="2">
          <reference field="3" count="1">
            <x v="17"/>
          </reference>
          <reference field="4" count="1" selected="0">
            <x v="18"/>
          </reference>
        </references>
      </pivotArea>
    </format>
    <format dxfId="128">
      <pivotArea collapsedLevelsAreSubtotals="1" fieldPosition="0">
        <references count="2">
          <reference field="3" count="1">
            <x v="18"/>
          </reference>
          <reference field="4" count="1" selected="0">
            <x v="18"/>
          </reference>
        </references>
      </pivotArea>
    </format>
    <format dxfId="127">
      <pivotArea collapsedLevelsAreSubtotals="1" fieldPosition="0">
        <references count="2">
          <reference field="3" count="1">
            <x v="7"/>
          </reference>
          <reference field="4" count="1" selected="0">
            <x v="19"/>
          </reference>
        </references>
      </pivotArea>
    </format>
    <format dxfId="126">
      <pivotArea collapsedLevelsAreSubtotals="1" fieldPosition="0">
        <references count="2">
          <reference field="3" count="1">
            <x v="6"/>
          </reference>
          <reference field="4" count="1" selected="0">
            <x v="19"/>
          </reference>
        </references>
      </pivotArea>
    </format>
    <format dxfId="125">
      <pivotArea collapsedLevelsAreSubtotals="1" fieldPosition="0">
        <references count="2">
          <reference field="3" count="1">
            <x v="18"/>
          </reference>
          <reference field="4" count="1" selected="0">
            <x v="3"/>
          </reference>
        </references>
      </pivotArea>
    </format>
    <format dxfId="124">
      <pivotArea collapsedLevelsAreSubtotals="1" fieldPosition="0">
        <references count="2">
          <reference field="3" count="1">
            <x v="0"/>
          </reference>
          <reference field="4" count="1" selected="0">
            <x v="16"/>
          </reference>
        </references>
      </pivotArea>
    </format>
    <format dxfId="123">
      <pivotArea collapsedLevelsAreSubtotals="1" fieldPosition="0">
        <references count="2">
          <reference field="3" count="1">
            <x v="17"/>
          </reference>
          <reference field="4" count="1" selected="0">
            <x v="1"/>
          </reference>
        </references>
      </pivotArea>
    </format>
    <format dxfId="122">
      <pivotArea collapsedLevelsAreSubtotals="1" fieldPosition="0">
        <references count="2">
          <reference field="3" count="1">
            <x v="4"/>
          </reference>
          <reference field="4" count="1" selected="0">
            <x v="5"/>
          </reference>
        </references>
      </pivotArea>
    </format>
    <format dxfId="121">
      <pivotArea collapsedLevelsAreSubtotals="1" fieldPosition="0">
        <references count="2">
          <reference field="3" count="1">
            <x v="9"/>
          </reference>
          <reference field="4" count="1" selected="0">
            <x v="17"/>
          </reference>
        </references>
      </pivotArea>
    </format>
    <format dxfId="120">
      <pivotArea collapsedLevelsAreSubtotals="1" fieldPosition="0">
        <references count="2">
          <reference field="3" count="1">
            <x v="18"/>
          </reference>
          <reference field="4" count="1" selected="0">
            <x v="16"/>
          </reference>
        </references>
      </pivotArea>
    </format>
    <format dxfId="119">
      <pivotArea collapsedLevelsAreSubtotals="1" fieldPosition="0">
        <references count="2">
          <reference field="3" count="1">
            <x v="5"/>
          </reference>
          <reference field="4" count="1" selected="0">
            <x v="1"/>
          </reference>
        </references>
      </pivotArea>
    </format>
    <format dxfId="118">
      <pivotArea collapsedLevelsAreSubtotals="1" fieldPosition="0">
        <references count="2">
          <reference field="3" count="1">
            <x v="19"/>
          </reference>
          <reference field="4" count="1" selected="0">
            <x v="9"/>
          </reference>
        </references>
      </pivotArea>
    </format>
    <format dxfId="117">
      <pivotArea collapsedLevelsAreSubtotals="1" fieldPosition="0">
        <references count="2">
          <reference field="3" count="1">
            <x v="23"/>
          </reference>
          <reference field="4" count="1" selected="0">
            <x v="12"/>
          </reference>
        </references>
      </pivotArea>
    </format>
    <format dxfId="116">
      <pivotArea collapsedLevelsAreSubtotals="1" fieldPosition="0">
        <references count="2">
          <reference field="3" count="1">
            <x v="8"/>
          </reference>
          <reference field="4" count="1" selected="0">
            <x v="14"/>
          </reference>
        </references>
      </pivotArea>
    </format>
    <format dxfId="115">
      <pivotArea collapsedLevelsAreSubtotals="1" fieldPosition="0">
        <references count="2">
          <reference field="3" count="1">
            <x v="15"/>
          </reference>
          <reference field="4" count="1" selected="0">
            <x v="13"/>
          </reference>
        </references>
      </pivotArea>
    </format>
    <format dxfId="114">
      <pivotArea collapsedLevelsAreSubtotals="1" fieldPosition="0">
        <references count="2">
          <reference field="3" count="1">
            <x v="13"/>
          </reference>
          <reference field="4" count="1" selected="0">
            <x v="19"/>
          </reference>
        </references>
      </pivotArea>
    </format>
    <format dxfId="113">
      <pivotArea collapsedLevelsAreSubtotals="1" fieldPosition="0">
        <references count="2">
          <reference field="3" count="1">
            <x v="9"/>
          </reference>
          <reference field="4" count="1" selected="0">
            <x v="18"/>
          </reference>
        </references>
      </pivotArea>
    </format>
    <format dxfId="112">
      <pivotArea collapsedLevelsAreSubtotals="1" fieldPosition="0">
        <references count="2">
          <reference field="3" count="1">
            <x v="5"/>
          </reference>
          <reference field="4" count="1" selected="0">
            <x v="19"/>
          </reference>
        </references>
      </pivotArea>
    </format>
    <format dxfId="111">
      <pivotArea collapsedLevelsAreSubtotals="1" fieldPosition="0">
        <references count="2">
          <reference field="3" count="1">
            <x v="13"/>
          </reference>
          <reference field="4" count="1" selected="0">
            <x v="3"/>
          </reference>
        </references>
      </pivotArea>
    </format>
    <format dxfId="110">
      <pivotArea collapsedLevelsAreSubtotals="1" fieldPosition="0">
        <references count="2">
          <reference field="3" count="1">
            <x v="2"/>
          </reference>
          <reference field="4" count="1" selected="0">
            <x v="12"/>
          </reference>
        </references>
      </pivotArea>
    </format>
    <format dxfId="109">
      <pivotArea collapsedLevelsAreSubtotals="1" fieldPosition="0">
        <references count="2">
          <reference field="3" count="1">
            <x v="16"/>
          </reference>
          <reference field="4" count="1" selected="0">
            <x v="18"/>
          </reference>
        </references>
      </pivotArea>
    </format>
    <format dxfId="108">
      <pivotArea collapsedLevelsAreSubtotals="1" fieldPosition="0">
        <references count="2">
          <reference field="3" count="1">
            <x v="0"/>
          </reference>
          <reference field="4" count="1" selected="0">
            <x v="14"/>
          </reference>
        </references>
      </pivotArea>
    </format>
    <format dxfId="107">
      <pivotArea collapsedLevelsAreSubtotals="1" fieldPosition="0">
        <references count="2">
          <reference field="3" count="1">
            <x v="24"/>
          </reference>
          <reference field="4" count="1" selected="0">
            <x v="3"/>
          </reference>
        </references>
      </pivotArea>
    </format>
    <format dxfId="106">
      <pivotArea collapsedLevelsAreSubtotals="1" fieldPosition="0">
        <references count="2">
          <reference field="3" count="1">
            <x v="24"/>
          </reference>
          <reference field="4" count="1" selected="0">
            <x v="18"/>
          </reference>
        </references>
      </pivotArea>
    </format>
    <format dxfId="105">
      <pivotArea collapsedLevelsAreSubtotals="1" fieldPosition="0">
        <references count="2">
          <reference field="3" count="1">
            <x v="19"/>
          </reference>
          <reference field="4" count="1" selected="0">
            <x v="3"/>
          </reference>
        </references>
      </pivotArea>
    </format>
    <format dxfId="104">
      <pivotArea collapsedLevelsAreSubtotals="1" fieldPosition="0">
        <references count="2">
          <reference field="3" count="1">
            <x v="2"/>
          </reference>
          <reference field="4" count="1" selected="0">
            <x v="18"/>
          </reference>
        </references>
      </pivotArea>
    </format>
    <format dxfId="103">
      <pivotArea collapsedLevelsAreSubtotals="1" fieldPosition="0">
        <references count="2">
          <reference field="3" count="1">
            <x v="17"/>
          </reference>
          <reference field="4" count="1" selected="0">
            <x v="18"/>
          </reference>
        </references>
      </pivotArea>
    </format>
    <format dxfId="102">
      <pivotArea collapsedLevelsAreSubtotals="1" fieldPosition="0">
        <references count="2">
          <reference field="3" count="1">
            <x v="17"/>
          </reference>
          <reference field="4" count="1" selected="0">
            <x v="18"/>
          </reference>
        </references>
      </pivotArea>
    </format>
    <format dxfId="101">
      <pivotArea collapsedLevelsAreSubtotals="1" fieldPosition="0">
        <references count="2">
          <reference field="3" count="1">
            <x v="19"/>
          </reference>
          <reference field="4" count="1" selected="0">
            <x v="16"/>
          </reference>
        </references>
      </pivotArea>
    </format>
    <format dxfId="100">
      <pivotArea collapsedLevelsAreSubtotals="1" fieldPosition="0">
        <references count="2">
          <reference field="3" count="1">
            <x v="8"/>
          </reference>
          <reference field="4" count="1" selected="0">
            <x v="16"/>
          </reference>
        </references>
      </pivotArea>
    </format>
    <format dxfId="99">
      <pivotArea collapsedLevelsAreSubtotals="1" fieldPosition="0">
        <references count="2">
          <reference field="3" count="1">
            <x v="16"/>
          </reference>
          <reference field="4" count="1" selected="0">
            <x v="10"/>
          </reference>
        </references>
      </pivotArea>
    </format>
    <format dxfId="98">
      <pivotArea collapsedLevelsAreSubtotals="1" fieldPosition="0">
        <references count="2">
          <reference field="3" count="1">
            <x v="23"/>
          </reference>
          <reference field="4" count="1" selected="0">
            <x v="13"/>
          </reference>
        </references>
      </pivotArea>
    </format>
    <format dxfId="97">
      <pivotArea collapsedLevelsAreSubtotals="1" fieldPosition="0">
        <references count="2">
          <reference field="3" count="1">
            <x v="1"/>
          </reference>
          <reference field="4" count="1" selected="0">
            <x v="1"/>
          </reference>
        </references>
      </pivotArea>
    </format>
    <format dxfId="96">
      <pivotArea collapsedLevelsAreSubtotals="1" fieldPosition="0">
        <references count="2">
          <reference field="3" count="1">
            <x v="14"/>
          </reference>
          <reference field="4" count="1" selected="0">
            <x v="10"/>
          </reference>
        </references>
      </pivotArea>
    </format>
    <format dxfId="95">
      <pivotArea collapsedLevelsAreSubtotals="1" fieldPosition="0">
        <references count="2">
          <reference field="3" count="1">
            <x v="14"/>
          </reference>
          <reference field="4" count="1" selected="0">
            <x v="17"/>
          </reference>
        </references>
      </pivotArea>
    </format>
    <format dxfId="94">
      <pivotArea collapsedLevelsAreSubtotals="1" fieldPosition="0">
        <references count="2">
          <reference field="3" count="1">
            <x v="9"/>
          </reference>
          <reference field="4" count="1" selected="0">
            <x v="13"/>
          </reference>
        </references>
      </pivotArea>
    </format>
    <format dxfId="93">
      <pivotArea collapsedLevelsAreSubtotals="1" fieldPosition="0">
        <references count="2">
          <reference field="3" count="1">
            <x v="9"/>
          </reference>
          <reference field="4" count="1" selected="0">
            <x v="19"/>
          </reference>
        </references>
      </pivotArea>
    </format>
    <format dxfId="92">
      <pivotArea collapsedLevelsAreSubtotals="1" fieldPosition="0">
        <references count="2">
          <reference field="3" count="1">
            <x v="7"/>
          </reference>
          <reference field="4" count="1" selected="0">
            <x v="8"/>
          </reference>
        </references>
      </pivotArea>
    </format>
    <format dxfId="91">
      <pivotArea collapsedLevelsAreSubtotals="1" fieldPosition="0">
        <references count="2">
          <reference field="3" count="1">
            <x v="7"/>
          </reference>
          <reference field="4" count="1" selected="0">
            <x v="21"/>
          </reference>
        </references>
      </pivotArea>
    </format>
    <format dxfId="90">
      <pivotArea collapsedLevelsAreSubtotals="1" fieldPosition="0">
        <references count="2">
          <reference field="3" count="1">
            <x v="23"/>
          </reference>
          <reference field="4" count="1" selected="0">
            <x v="6"/>
          </reference>
        </references>
      </pivotArea>
    </format>
    <format dxfId="89">
      <pivotArea collapsedLevelsAreSubtotals="1" fieldPosition="0">
        <references count="2">
          <reference field="3" count="1">
            <x v="6"/>
          </reference>
          <reference field="4" count="1" selected="0">
            <x v="19"/>
          </reference>
        </references>
      </pivotArea>
    </format>
    <format dxfId="88">
      <pivotArea collapsedLevelsAreSubtotals="1" fieldPosition="0">
        <references count="2">
          <reference field="3" count="1">
            <x v="18"/>
          </reference>
          <reference field="4" count="1" selected="0">
            <x v="13"/>
          </reference>
        </references>
      </pivotArea>
    </format>
    <format dxfId="87">
      <pivotArea collapsedLevelsAreSubtotals="1" fieldPosition="0">
        <references count="2">
          <reference field="3" count="1">
            <x v="6"/>
          </reference>
          <reference field="4" count="1" selected="0">
            <x v="8"/>
          </reference>
        </references>
      </pivotArea>
    </format>
    <format dxfId="86">
      <pivotArea collapsedLevelsAreSubtotals="1" fieldPosition="0">
        <references count="2">
          <reference field="3" count="1">
            <x v="14"/>
          </reference>
          <reference field="4" count="1" selected="0">
            <x v="14"/>
          </reference>
        </references>
      </pivotArea>
    </format>
    <format dxfId="85">
      <pivotArea collapsedLevelsAreSubtotals="1" fieldPosition="0">
        <references count="2">
          <reference field="3" count="1">
            <x v="5"/>
          </reference>
          <reference field="4" count="1" selected="0">
            <x v="21"/>
          </reference>
        </references>
      </pivotArea>
    </format>
    <format dxfId="84">
      <pivotArea collapsedLevelsAreSubtotals="1" fieldPosition="0">
        <references count="2">
          <reference field="3" count="1">
            <x v="17"/>
          </reference>
          <reference field="4" count="1" selected="0">
            <x v="10"/>
          </reference>
        </references>
      </pivotArea>
    </format>
    <format dxfId="83">
      <pivotArea collapsedLevelsAreSubtotals="1" fieldPosition="0">
        <references count="2">
          <reference field="3" count="1">
            <x v="6"/>
          </reference>
          <reference field="4" count="1" selected="0">
            <x v="14"/>
          </reference>
        </references>
      </pivotArea>
    </format>
    <format dxfId="82">
      <pivotArea collapsedLevelsAreSubtotals="1" fieldPosition="0">
        <references count="2">
          <reference field="3" count="1">
            <x v="8"/>
          </reference>
          <reference field="4" count="1" selected="0">
            <x v="4"/>
          </reference>
        </references>
      </pivotArea>
    </format>
    <format dxfId="81">
      <pivotArea collapsedLevelsAreSubtotals="1" fieldPosition="0">
        <references count="2">
          <reference field="3" count="1">
            <x v="7"/>
          </reference>
          <reference field="4" count="1" selected="0">
            <x v="3"/>
          </reference>
        </references>
      </pivotArea>
    </format>
    <format dxfId="80">
      <pivotArea collapsedLevelsAreSubtotals="1" fieldPosition="0">
        <references count="2">
          <reference field="3" count="1">
            <x v="12"/>
          </reference>
          <reference field="4" count="1" selected="0">
            <x v="3"/>
          </reference>
        </references>
      </pivotArea>
    </format>
    <format dxfId="79">
      <pivotArea collapsedLevelsAreSubtotals="1" fieldPosition="0">
        <references count="2">
          <reference field="3" count="1">
            <x v="11"/>
          </reference>
          <reference field="4" count="1" selected="0">
            <x v="14"/>
          </reference>
        </references>
      </pivotArea>
    </format>
    <format dxfId="78">
      <pivotArea collapsedLevelsAreSubtotals="1" fieldPosition="0">
        <references count="2">
          <reference field="3" count="1">
            <x v="24"/>
          </reference>
          <reference field="4" count="1" selected="0">
            <x v="8"/>
          </reference>
        </references>
      </pivotArea>
    </format>
    <format dxfId="77">
      <pivotArea collapsedLevelsAreSubtotals="1" fieldPosition="0">
        <references count="2">
          <reference field="3" count="1">
            <x v="25"/>
          </reference>
          <reference field="4" count="1" selected="0">
            <x v="11"/>
          </reference>
        </references>
      </pivotArea>
    </format>
    <format dxfId="76">
      <pivotArea collapsedLevelsAreSubtotals="1" fieldPosition="0">
        <references count="2">
          <reference field="3" count="1">
            <x v="17"/>
          </reference>
          <reference field="4" count="1" selected="0">
            <x v="6"/>
          </reference>
        </references>
      </pivotArea>
    </format>
    <format dxfId="75">
      <pivotArea collapsedLevelsAreSubtotals="1" fieldPosition="0">
        <references count="2">
          <reference field="3" count="1">
            <x v="11"/>
          </reference>
          <reference field="4" count="1" selected="0">
            <x v="2"/>
          </reference>
        </references>
      </pivotArea>
    </format>
    <format dxfId="74">
      <pivotArea collapsedLevelsAreSubtotals="1" fieldPosition="0">
        <references count="2">
          <reference field="3" count="1">
            <x v="8"/>
          </reference>
          <reference field="4" count="1" selected="0">
            <x v="17"/>
          </reference>
        </references>
      </pivotArea>
    </format>
    <format dxfId="73">
      <pivotArea collapsedLevelsAreSubtotals="1" fieldPosition="0">
        <references count="2">
          <reference field="3" count="1">
            <x v="7"/>
          </reference>
          <reference field="4" count="1" selected="0">
            <x v="6"/>
          </reference>
        </references>
      </pivotArea>
    </format>
    <format dxfId="72">
      <pivotArea collapsedLevelsAreSubtotals="1" fieldPosition="0">
        <references count="2">
          <reference field="3" count="1">
            <x v="7"/>
          </reference>
          <reference field="4" count="1" selected="0">
            <x v="11"/>
          </reference>
        </references>
      </pivotArea>
    </format>
    <format dxfId="71">
      <pivotArea collapsedLevelsAreSubtotals="1" fieldPosition="0">
        <references count="2">
          <reference field="3" count="1">
            <x v="23"/>
          </reference>
          <reference field="4" count="1" selected="0">
            <x v="1"/>
          </reference>
        </references>
      </pivotArea>
    </format>
    <format dxfId="70">
      <pivotArea collapsedLevelsAreSubtotals="1" fieldPosition="0">
        <references count="2">
          <reference field="3" count="1">
            <x v="17"/>
          </reference>
          <reference field="4" count="1" selected="0">
            <x v="14"/>
          </reference>
        </references>
      </pivotArea>
    </format>
    <format dxfId="69">
      <pivotArea collapsedLevelsAreSubtotals="1" fieldPosition="0">
        <references count="2">
          <reference field="3" count="1">
            <x v="17"/>
          </reference>
          <reference field="4" count="1" selected="0">
            <x v="12"/>
          </reference>
        </references>
      </pivotArea>
    </format>
    <format dxfId="68">
      <pivotArea collapsedLevelsAreSubtotals="1" fieldPosition="0">
        <references count="2">
          <reference field="3" count="1">
            <x v="6"/>
          </reference>
          <reference field="4" count="1" selected="0">
            <x v="12"/>
          </reference>
        </references>
      </pivotArea>
    </format>
    <format dxfId="67">
      <pivotArea collapsedLevelsAreSubtotals="1" fieldPosition="0">
        <references count="2">
          <reference field="3" count="1">
            <x v="23"/>
          </reference>
          <reference field="4" count="1" selected="0">
            <x v="18"/>
          </reference>
        </references>
      </pivotArea>
    </format>
    <format dxfId="66">
      <pivotArea collapsedLevelsAreSubtotals="1" fieldPosition="0">
        <references count="2">
          <reference field="3" count="1">
            <x v="24"/>
          </reference>
          <reference field="4" count="1" selected="0">
            <x v="11"/>
          </reference>
        </references>
      </pivotArea>
    </format>
    <format dxfId="65">
      <pivotArea collapsedLevelsAreSubtotals="1" fieldPosition="0">
        <references count="2">
          <reference field="3" count="1">
            <x v="12"/>
          </reference>
          <reference field="4" count="1" selected="0">
            <x v="5"/>
          </reference>
        </references>
      </pivotArea>
    </format>
    <format dxfId="64">
      <pivotArea collapsedLevelsAreSubtotals="1" fieldPosition="0">
        <references count="2">
          <reference field="3" count="1">
            <x v="17"/>
          </reference>
          <reference field="4" count="1" selected="0">
            <x v="13"/>
          </reference>
        </references>
      </pivotArea>
    </format>
    <format dxfId="63">
      <pivotArea collapsedLevelsAreSubtotals="1" fieldPosition="0">
        <references count="2">
          <reference field="3" count="1">
            <x v="17"/>
          </reference>
          <reference field="4" count="1" selected="0">
            <x v="15"/>
          </reference>
        </references>
      </pivotArea>
    </format>
    <format dxfId="62">
      <pivotArea collapsedLevelsAreSubtotals="1" fieldPosition="0">
        <references count="2">
          <reference field="3" count="1">
            <x v="9"/>
          </reference>
          <reference field="4" count="1" selected="0">
            <x v="15"/>
          </reference>
        </references>
      </pivotArea>
    </format>
    <format dxfId="61">
      <pivotArea collapsedLevelsAreSubtotals="1" fieldPosition="0">
        <references count="2">
          <reference field="3" count="1">
            <x v="9"/>
          </reference>
          <reference field="4" count="1" selected="0">
            <x v="21"/>
          </reference>
        </references>
      </pivotArea>
    </format>
    <format dxfId="60">
      <pivotArea collapsedLevelsAreSubtotals="1" fieldPosition="0">
        <references count="2">
          <reference field="3" count="1">
            <x v="9"/>
          </reference>
          <reference field="4" count="1" selected="0">
            <x v="4"/>
          </reference>
        </references>
      </pivotArea>
    </format>
    <format dxfId="59">
      <pivotArea collapsedLevelsAreSubtotals="1" fieldPosition="0">
        <references count="2">
          <reference field="3" count="1">
            <x v="14"/>
          </reference>
          <reference field="4" count="1" selected="0">
            <x v="16"/>
          </reference>
        </references>
      </pivotArea>
    </format>
    <format dxfId="58">
      <pivotArea collapsedLevelsAreSubtotals="1" fieldPosition="0">
        <references count="2">
          <reference field="3" count="1">
            <x v="17"/>
          </reference>
          <reference field="4" count="1" selected="0">
            <x v="13"/>
          </reference>
        </references>
      </pivotArea>
    </format>
    <format dxfId="57">
      <pivotArea collapsedLevelsAreSubtotals="1" fieldPosition="0">
        <references count="2">
          <reference field="3" count="1">
            <x v="24"/>
          </reference>
          <reference field="4" count="1" selected="0">
            <x v="21"/>
          </reference>
        </references>
      </pivotArea>
    </format>
    <format dxfId="56">
      <pivotArea collapsedLevelsAreSubtotals="1" fieldPosition="0">
        <references count="2">
          <reference field="3" count="1">
            <x v="16"/>
          </reference>
          <reference field="4" count="1" selected="0">
            <x v="21"/>
          </reference>
        </references>
      </pivotArea>
    </format>
    <format dxfId="55">
      <pivotArea collapsedLevelsAreSubtotals="1" fieldPosition="0">
        <references count="2">
          <reference field="3" count="1">
            <x v="12"/>
          </reference>
          <reference field="4" count="1" selected="0">
            <x v="10"/>
          </reference>
        </references>
      </pivotArea>
    </format>
    <format dxfId="54">
      <pivotArea collapsedLevelsAreSubtotals="1" fieldPosition="0">
        <references count="2">
          <reference field="3" count="1">
            <x v="8"/>
          </reference>
          <reference field="4" count="1" selected="0">
            <x v="6"/>
          </reference>
        </references>
      </pivotArea>
    </format>
    <format dxfId="53">
      <pivotArea collapsedLevelsAreSubtotals="1" fieldPosition="0">
        <references count="2">
          <reference field="3" count="1">
            <x v="24"/>
          </reference>
          <reference field="4" count="1" selected="0">
            <x v="14"/>
          </reference>
        </references>
      </pivotArea>
    </format>
    <format dxfId="52">
      <pivotArea collapsedLevelsAreSubtotals="1" fieldPosition="0">
        <references count="2">
          <reference field="3" count="1">
            <x v="1"/>
          </reference>
          <reference field="4" count="1" selected="0">
            <x v="19"/>
          </reference>
        </references>
      </pivotArea>
    </format>
    <format dxfId="51">
      <pivotArea collapsedLevelsAreSubtotals="1" fieldPosition="0">
        <references count="2">
          <reference field="3" count="1">
            <x v="23"/>
          </reference>
          <reference field="4" count="1" selected="0">
            <x v="2"/>
          </reference>
        </references>
      </pivotArea>
    </format>
    <format dxfId="50">
      <pivotArea collapsedLevelsAreSubtotals="1" fieldPosition="0">
        <references count="2">
          <reference field="3" count="1">
            <x v="15"/>
          </reference>
          <reference field="4" count="1" selected="0">
            <x v="8"/>
          </reference>
        </references>
      </pivotArea>
    </format>
    <format dxfId="49">
      <pivotArea collapsedLevelsAreSubtotals="1" fieldPosition="0">
        <references count="2">
          <reference field="3" count="1">
            <x v="18"/>
          </reference>
          <reference field="4" count="1" selected="0">
            <x v="19"/>
          </reference>
        </references>
      </pivotArea>
    </format>
    <format dxfId="48">
      <pivotArea collapsedLevelsAreSubtotals="1" fieldPosition="0">
        <references count="2">
          <reference field="3" count="1">
            <x v="16"/>
          </reference>
          <reference field="4" count="1" selected="0">
            <x v="12"/>
          </reference>
        </references>
      </pivotArea>
    </format>
    <format dxfId="47">
      <pivotArea collapsedLevelsAreSubtotals="1" fieldPosition="0">
        <references count="2">
          <reference field="3" count="1">
            <x v="16"/>
          </reference>
          <reference field="4" count="2" selected="0">
            <x v="5"/>
            <x v="6"/>
          </reference>
        </references>
      </pivotArea>
    </format>
    <format dxfId="46">
      <pivotArea collapsedLevelsAreSubtotals="1" fieldPosition="0">
        <references count="2">
          <reference field="3" count="1">
            <x v="14"/>
          </reference>
          <reference field="4" count="1" selected="0">
            <x v="5"/>
          </reference>
        </references>
      </pivotArea>
    </format>
    <format dxfId="45">
      <pivotArea collapsedLevelsAreSubtotals="1" fieldPosition="0">
        <references count="2">
          <reference field="3" count="1">
            <x v="14"/>
          </reference>
          <reference field="4" count="1" selected="0">
            <x v="5"/>
          </reference>
        </references>
      </pivotArea>
    </format>
    <format dxfId="44">
      <pivotArea collapsedLevelsAreSubtotals="1" fieldPosition="0">
        <references count="2">
          <reference field="3" count="1">
            <x v="16"/>
          </reference>
          <reference field="4" count="1" selected="0">
            <x v="6"/>
          </reference>
        </references>
      </pivotArea>
    </format>
    <format dxfId="43">
      <pivotArea collapsedLevelsAreSubtotals="1" fieldPosition="0">
        <references count="2">
          <reference field="3" count="1">
            <x v="19"/>
          </reference>
          <reference field="4" count="1" selected="0">
            <x v="20"/>
          </reference>
        </references>
      </pivotArea>
    </format>
    <format dxfId="42">
      <pivotArea collapsedLevelsAreSubtotals="1" fieldPosition="0">
        <references count="2">
          <reference field="3" count="1">
            <x v="24"/>
          </reference>
          <reference field="4" count="1" selected="0">
            <x v="18"/>
          </reference>
        </references>
      </pivotArea>
    </format>
    <format dxfId="41">
      <pivotArea collapsedLevelsAreSubtotals="1" fieldPosition="0">
        <references count="2">
          <reference field="3" count="1">
            <x v="4"/>
          </reference>
          <reference field="4" count="1" selected="0">
            <x v="13"/>
          </reference>
        </references>
      </pivotArea>
    </format>
    <format dxfId="40">
      <pivotArea collapsedLevelsAreSubtotals="1" fieldPosition="0">
        <references count="2">
          <reference field="3" count="1">
            <x v="1"/>
          </reference>
          <reference field="4" count="1" selected="0">
            <x v="12"/>
          </reference>
        </references>
      </pivotArea>
    </format>
    <format dxfId="39">
      <pivotArea collapsedLevelsAreSubtotals="1" fieldPosition="0">
        <references count="2">
          <reference field="3" count="1">
            <x v="19"/>
          </reference>
          <reference field="4" count="1" selected="0">
            <x v="1"/>
          </reference>
        </references>
      </pivotArea>
    </format>
    <format dxfId="38">
      <pivotArea collapsedLevelsAreSubtotals="1" fieldPosition="0">
        <references count="2">
          <reference field="3" count="1">
            <x v="14"/>
          </reference>
          <reference field="4" count="1" selected="0">
            <x v="1"/>
          </reference>
        </references>
      </pivotArea>
    </format>
    <format dxfId="37">
      <pivotArea collapsedLevelsAreSubtotals="1" fieldPosition="0">
        <references count="2">
          <reference field="3" count="1">
            <x v="16"/>
          </reference>
          <reference field="4" count="1" selected="0">
            <x v="14"/>
          </reference>
        </references>
      </pivotArea>
    </format>
    <format dxfId="36">
      <pivotArea collapsedLevelsAreSubtotals="1" fieldPosition="0">
        <references count="2">
          <reference field="3" count="1">
            <x v="15"/>
          </reference>
          <reference field="4" count="1" selected="0">
            <x v="15"/>
          </reference>
        </references>
      </pivotArea>
    </format>
    <format dxfId="35">
      <pivotArea collapsedLevelsAreSubtotals="1" fieldPosition="0">
        <references count="2">
          <reference field="3" count="1">
            <x v="17"/>
          </reference>
          <reference field="4" count="1" selected="0">
            <x v="8"/>
          </reference>
        </references>
      </pivotArea>
    </format>
    <format dxfId="34">
      <pivotArea collapsedLevelsAreSubtotals="1" fieldPosition="0">
        <references count="2">
          <reference field="3" count="1">
            <x v="17"/>
          </reference>
          <reference field="4" count="1" selected="0">
            <x v="5"/>
          </reference>
        </references>
      </pivotArea>
    </format>
    <format dxfId="33">
      <pivotArea collapsedLevelsAreSubtotals="1" fieldPosition="0">
        <references count="2">
          <reference field="3" count="1">
            <x v="1"/>
          </reference>
          <reference field="4" count="1" selected="0">
            <x v="11"/>
          </reference>
        </references>
      </pivotArea>
    </format>
    <format dxfId="32">
      <pivotArea collapsedLevelsAreSubtotals="1" fieldPosition="0">
        <references count="2">
          <reference field="3" count="1">
            <x v="6"/>
          </reference>
          <reference field="4" count="1" selected="0">
            <x v="17"/>
          </reference>
        </references>
      </pivotArea>
    </format>
    <format dxfId="31">
      <pivotArea collapsedLevelsAreSubtotals="1" fieldPosition="0">
        <references count="2">
          <reference field="3" count="1">
            <x v="8"/>
          </reference>
          <reference field="4" count="1" selected="0">
            <x v="15"/>
          </reference>
        </references>
      </pivotArea>
    </format>
    <format dxfId="30">
      <pivotArea collapsedLevelsAreSubtotals="1" fieldPosition="0">
        <references count="2">
          <reference field="3" count="1">
            <x v="17"/>
          </reference>
          <reference field="4" count="1" selected="0">
            <x v="3"/>
          </reference>
        </references>
      </pivotArea>
    </format>
    <format dxfId="29">
      <pivotArea collapsedLevelsAreSubtotals="1" fieldPosition="0">
        <references count="2">
          <reference field="3" count="1">
            <x v="15"/>
          </reference>
          <reference field="4" count="1" selected="0">
            <x v="12"/>
          </reference>
        </references>
      </pivotArea>
    </format>
    <format dxfId="28">
      <pivotArea collapsedLevelsAreSubtotals="1" fieldPosition="0">
        <references count="2">
          <reference field="3" count="1">
            <x v="7"/>
          </reference>
          <reference field="4" count="1" selected="0">
            <x v="9"/>
          </reference>
        </references>
      </pivotArea>
    </format>
    <format dxfId="27">
      <pivotArea collapsedLevelsAreSubtotals="1" fieldPosition="0">
        <references count="2">
          <reference field="3" count="1">
            <x v="2"/>
          </reference>
          <reference field="4" count="1" selected="0">
            <x v="5"/>
          </reference>
        </references>
      </pivotArea>
    </format>
    <format dxfId="26">
      <pivotArea collapsedLevelsAreSubtotals="1" fieldPosition="0">
        <references count="2">
          <reference field="3" count="1">
            <x v="2"/>
          </reference>
          <reference field="4" count="1" selected="0">
            <x v="5"/>
          </reference>
        </references>
      </pivotArea>
    </format>
    <format dxfId="25">
      <pivotArea collapsedLevelsAreSubtotals="1" fieldPosition="0">
        <references count="2">
          <reference field="3" count="1">
            <x v="2"/>
          </reference>
          <reference field="4" count="1" selected="0">
            <x v="15"/>
          </reference>
        </references>
      </pivotArea>
    </format>
    <format dxfId="24">
      <pivotArea collapsedLevelsAreSubtotals="1" fieldPosition="0">
        <references count="2">
          <reference field="3" count="1">
            <x v="24"/>
          </reference>
          <reference field="4" count="1" selected="0">
            <x v="10"/>
          </reference>
        </references>
      </pivotArea>
    </format>
    <format dxfId="23">
      <pivotArea collapsedLevelsAreSubtotals="1" fieldPosition="0">
        <references count="2">
          <reference field="3" count="1">
            <x v="9"/>
          </reference>
          <reference field="4" count="1" selected="0">
            <x v="11"/>
          </reference>
        </references>
      </pivotArea>
    </format>
    <format dxfId="22">
      <pivotArea collapsedLevelsAreSubtotals="1" fieldPosition="0">
        <references count="2">
          <reference field="3" count="1">
            <x v="5"/>
          </reference>
          <reference field="4" count="1" selected="0">
            <x v="11"/>
          </reference>
        </references>
      </pivotArea>
    </format>
    <format dxfId="21">
      <pivotArea collapsedLevelsAreSubtotals="1" fieldPosition="0">
        <references count="2">
          <reference field="3" count="1">
            <x v="12"/>
          </reference>
          <reference field="4" count="1" selected="0">
            <x v="5"/>
          </reference>
        </references>
      </pivotArea>
    </format>
    <format dxfId="20">
      <pivotArea collapsedLevelsAreSubtotals="1" fieldPosition="0">
        <references count="2">
          <reference field="3" count="1">
            <x v="18"/>
          </reference>
          <reference field="4" count="1" selected="0">
            <x v="12"/>
          </reference>
        </references>
      </pivotArea>
    </format>
    <format dxfId="19">
      <pivotArea collapsedLevelsAreSubtotals="1" fieldPosition="0">
        <references count="2">
          <reference field="3" count="1">
            <x v="5"/>
          </reference>
          <reference field="4" count="1" selected="0">
            <x v="6"/>
          </reference>
        </references>
      </pivotArea>
    </format>
    <format dxfId="18">
      <pivotArea collapsedLevelsAreSubtotals="1" fieldPosition="0">
        <references count="2">
          <reference field="3" count="1">
            <x v="6"/>
          </reference>
          <reference field="4" count="1" selected="0">
            <x v="5"/>
          </reference>
        </references>
      </pivotArea>
    </format>
    <format dxfId="17">
      <pivotArea collapsedLevelsAreSubtotals="1" fieldPosition="0">
        <references count="2">
          <reference field="3" count="1">
            <x v="6"/>
          </reference>
          <reference field="4" count="1" selected="0">
            <x v="4"/>
          </reference>
        </references>
      </pivotArea>
    </format>
    <format dxfId="16">
      <pivotArea collapsedLevelsAreSubtotals="1" fieldPosition="0">
        <references count="2">
          <reference field="3" count="1">
            <x v="6"/>
          </reference>
          <reference field="4" count="1" selected="0">
            <x v="2"/>
          </reference>
        </references>
      </pivotArea>
    </format>
    <format dxfId="15">
      <pivotArea collapsedLevelsAreSubtotals="1" fieldPosition="0">
        <references count="2">
          <reference field="3" count="1">
            <x v="18"/>
          </reference>
          <reference field="4" count="1" selected="0">
            <x v="20"/>
          </reference>
        </references>
      </pivotArea>
    </format>
    <format dxfId="14">
      <pivotArea collapsedLevelsAreSubtotals="1" fieldPosition="0">
        <references count="2">
          <reference field="3" count="1">
            <x v="6"/>
          </reference>
          <reference field="4" count="1" selected="0">
            <x v="1"/>
          </reference>
        </references>
      </pivotArea>
    </format>
    <format dxfId="13">
      <pivotArea collapsedLevelsAreSubtotals="1" fieldPosition="0">
        <references count="2">
          <reference field="3" count="1">
            <x v="9"/>
          </reference>
          <reference field="4" count="1" selected="0">
            <x v="7"/>
          </reference>
        </references>
      </pivotArea>
    </format>
    <format dxfId="12">
      <pivotArea collapsedLevelsAreSubtotals="1" fieldPosition="0">
        <references count="2">
          <reference field="3" count="1">
            <x v="4"/>
          </reference>
          <reference field="4" count="1" selected="0">
            <x v="14"/>
          </reference>
        </references>
      </pivotArea>
    </format>
    <format dxfId="11">
      <pivotArea collapsedLevelsAreSubtotals="1" fieldPosition="0">
        <references count="2">
          <reference field="3" count="1">
            <x v="5"/>
          </reference>
          <reference field="4" count="1" selected="0">
            <x v="15"/>
          </reference>
        </references>
      </pivotArea>
    </format>
    <format dxfId="10">
      <pivotArea collapsedLevelsAreSubtotals="1" fieldPosition="0">
        <references count="2">
          <reference field="3" count="1">
            <x v="16"/>
          </reference>
          <reference field="4" count="1" selected="0">
            <x v="5"/>
          </reference>
        </references>
      </pivotArea>
    </format>
    <format dxfId="9">
      <pivotArea collapsedLevelsAreSubtotals="1" fieldPosition="0">
        <references count="2">
          <reference field="3" count="1">
            <x v="1"/>
          </reference>
          <reference field="4" count="1" selected="0">
            <x v="7"/>
          </reference>
        </references>
      </pivotArea>
    </format>
    <format dxfId="8">
      <pivotArea collapsedLevelsAreSubtotals="1" fieldPosition="0">
        <references count="2">
          <reference field="3" count="1">
            <x v="9"/>
          </reference>
          <reference field="4" count="1" selected="0">
            <x v="2"/>
          </reference>
        </references>
      </pivotArea>
    </format>
    <format dxfId="7">
      <pivotArea collapsedLevelsAreSubtotals="1" fieldPosition="0">
        <references count="2">
          <reference field="3" count="1">
            <x v="14"/>
          </reference>
          <reference field="4" count="1" selected="0">
            <x v="8"/>
          </reference>
        </references>
      </pivotArea>
    </format>
    <format dxfId="6">
      <pivotArea collapsedLevelsAreSubtotals="1" fieldPosition="0">
        <references count="2">
          <reference field="3" count="1">
            <x v="2"/>
          </reference>
          <reference field="4" count="1" selected="0">
            <x v="6"/>
          </reference>
        </references>
      </pivotArea>
    </format>
    <format dxfId="5">
      <pivotArea collapsedLevelsAreSubtotals="1" fieldPosition="0">
        <references count="2">
          <reference field="3" count="1">
            <x v="24"/>
          </reference>
          <reference field="4" count="1" selected="0">
            <x v="6"/>
          </reference>
        </references>
      </pivotArea>
    </format>
    <format dxfId="4">
      <pivotArea collapsedLevelsAreSubtotals="1" fieldPosition="0">
        <references count="2">
          <reference field="3" count="1">
            <x v="25"/>
          </reference>
          <reference field="4" count="1" selected="0">
            <x v="14"/>
          </reference>
        </references>
      </pivotArea>
    </format>
    <format dxfId="3">
      <pivotArea collapsedLevelsAreSubtotals="1" fieldPosition="0">
        <references count="2">
          <reference field="3" count="1">
            <x v="7"/>
          </reference>
          <reference field="4" count="1" selected="0">
            <x v="18"/>
          </reference>
        </references>
      </pivotArea>
    </format>
    <format dxfId="2">
      <pivotArea collapsedLevelsAreSubtotals="1" fieldPosition="0">
        <references count="2">
          <reference field="3" count="1">
            <x v="17"/>
          </reference>
          <reference field="4" count="1" selected="0">
            <x v="2"/>
          </reference>
        </references>
      </pivotArea>
    </format>
    <format dxfId="1">
      <pivotArea collapsedLevelsAreSubtotals="1" fieldPosition="0">
        <references count="2">
          <reference field="3" count="1">
            <x v="2"/>
          </reference>
          <reference field="4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15" firstHeaderRow="1" firstDataRow="1" firstDataCol="1"/>
  <pivotFields count="7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0"/>
        <item x="2"/>
        <item x="3"/>
        <item x="5"/>
        <item x="1"/>
        <item x="4"/>
        <item x="6"/>
        <item x="8"/>
        <item x="7"/>
        <item x="10"/>
        <item x="9"/>
        <item t="default"/>
      </items>
    </pivotField>
  </pivotFields>
  <rowFields count="1">
    <field x="6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Generation" fld="6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233"/>
  <sheetViews>
    <sheetView tabSelected="1" zoomScale="70" zoomScaleNormal="70" workbookViewId="0">
      <pane xSplit="3" ySplit="1" topLeftCell="D894" activePane="bottomRight" state="frozen"/>
      <selection pane="topRight" activeCell="D1" sqref="D1"/>
      <selection pane="bottomLeft" activeCell="A2" sqref="A2"/>
      <selection pane="bottomRight" activeCell="X926" sqref="X926"/>
    </sheetView>
  </sheetViews>
  <sheetFormatPr defaultRowHeight="15" outlineLevelCol="1" x14ac:dyDescent="0.25"/>
  <cols>
    <col min="2" max="2" width="14.85546875" bestFit="1" customWidth="1"/>
    <col min="3" max="3" width="11.28515625" customWidth="1"/>
    <col min="6" max="8" width="9.140625" customWidth="1"/>
    <col min="9" max="11" width="9.140625" customWidth="1" outlineLevel="1"/>
    <col min="12" max="13" width="14.5703125" customWidth="1" outlineLevel="1"/>
    <col min="14" max="14" width="13.28515625" customWidth="1" outlineLevel="1"/>
    <col min="15" max="15" width="12.5703125" customWidth="1" outlineLevel="1"/>
    <col min="16" max="16" width="28.28515625" customWidth="1" outlineLevel="1"/>
    <col min="17" max="21" width="12.5703125" customWidth="1" outlineLevel="1"/>
    <col min="22" max="22" width="16" customWidth="1" outlineLevel="1"/>
    <col min="23" max="23" width="14.28515625" customWidth="1" outlineLevel="1"/>
    <col min="24" max="24" width="41" customWidth="1" outlineLevel="1"/>
    <col min="25" max="25" width="2.85546875" customWidth="1"/>
    <col min="26" max="26" width="15.42578125" customWidth="1" outlineLevel="1"/>
    <col min="27" max="27" width="12.140625" customWidth="1" outlineLevel="1"/>
    <col min="28" max="29" width="14.28515625" customWidth="1" outlineLevel="1"/>
    <col min="30" max="30" width="10.7109375" customWidth="1" outlineLevel="1"/>
    <col min="31" max="33" width="12.42578125" customWidth="1" outlineLevel="1"/>
    <col min="34" max="34" width="16.5703125" customWidth="1" outlineLevel="1"/>
    <col min="35" max="35" width="14.28515625" customWidth="1" outlineLevel="1"/>
    <col min="36" max="36" width="15" customWidth="1" outlineLevel="1"/>
    <col min="37" max="37" width="15.7109375" customWidth="1" outlineLevel="1"/>
    <col min="38" max="39" width="17.85546875" customWidth="1" outlineLevel="1"/>
    <col min="40" max="40" width="15.7109375" customWidth="1" outlineLevel="1"/>
    <col min="41" max="41" width="13.42578125" customWidth="1" outlineLevel="1"/>
    <col min="42" max="43" width="14.28515625" customWidth="1" outlineLevel="1"/>
    <col min="44" max="44" width="15.85546875" customWidth="1" outlineLevel="1"/>
    <col min="45" max="45" width="15.28515625" customWidth="1" outlineLevel="1"/>
    <col min="46" max="46" width="13.140625" customWidth="1" outlineLevel="1"/>
    <col min="47" max="47" width="13.85546875" customWidth="1" outlineLevel="1"/>
    <col min="48" max="48" width="13.140625" customWidth="1" outlineLevel="1"/>
    <col min="49" max="49" width="14.42578125" customWidth="1" outlineLevel="1"/>
    <col min="50" max="50" width="16.7109375" customWidth="1" outlineLevel="1"/>
    <col min="51" max="51" width="15.7109375" customWidth="1" outlineLevel="1"/>
    <col min="52" max="52" width="14.42578125" customWidth="1" outlineLevel="1"/>
    <col min="53" max="53" width="3.5703125" customWidth="1"/>
    <col min="54" max="57" width="9.140625" customWidth="1" outlineLevel="1"/>
    <col min="58" max="58" width="11" customWidth="1" outlineLevel="1"/>
    <col min="59" max="59" width="9.140625" customWidth="1" outlineLevel="1"/>
    <col min="60" max="60" width="11.42578125" customWidth="1" outlineLevel="1"/>
    <col min="61" max="68" width="9.140625" customWidth="1" outlineLevel="1"/>
    <col min="69" max="69" width="16.42578125" customWidth="1" outlineLevel="1"/>
    <col min="70" max="70" width="14.28515625" customWidth="1"/>
  </cols>
  <sheetData>
    <row r="1" spans="1:70" ht="45" x14ac:dyDescent="0.25">
      <c r="A1" s="9" t="s">
        <v>19</v>
      </c>
      <c r="B1" s="9" t="s">
        <v>20</v>
      </c>
      <c r="C1" s="9" t="s">
        <v>72</v>
      </c>
      <c r="D1" s="9" t="s">
        <v>21</v>
      </c>
      <c r="E1" s="9" t="s">
        <v>22</v>
      </c>
      <c r="F1" s="9" t="s">
        <v>1685</v>
      </c>
      <c r="G1" s="9" t="s">
        <v>1686</v>
      </c>
      <c r="H1" s="9" t="s">
        <v>2055</v>
      </c>
      <c r="I1" s="9" t="s">
        <v>45</v>
      </c>
      <c r="J1" s="9" t="s">
        <v>46</v>
      </c>
      <c r="K1" s="9" t="s">
        <v>47</v>
      </c>
      <c r="L1" s="9" t="s">
        <v>27</v>
      </c>
      <c r="M1" s="9" t="s">
        <v>107</v>
      </c>
      <c r="N1" s="9" t="s">
        <v>48</v>
      </c>
      <c r="O1" s="9" t="s">
        <v>49</v>
      </c>
      <c r="P1" s="9" t="s">
        <v>105</v>
      </c>
      <c r="Q1" s="9" t="s">
        <v>51</v>
      </c>
      <c r="R1" s="9" t="s">
        <v>52</v>
      </c>
      <c r="S1" s="9" t="s">
        <v>1827</v>
      </c>
      <c r="T1" s="9" t="s">
        <v>53</v>
      </c>
      <c r="U1" s="9" t="s">
        <v>54</v>
      </c>
      <c r="V1" s="9" t="s">
        <v>55</v>
      </c>
      <c r="W1" s="9" t="s">
        <v>56</v>
      </c>
      <c r="X1" s="9" t="s">
        <v>725</v>
      </c>
      <c r="Y1" s="9" t="s">
        <v>50</v>
      </c>
      <c r="Z1" s="10" t="s">
        <v>89</v>
      </c>
      <c r="AA1" s="10" t="s">
        <v>57</v>
      </c>
      <c r="AB1" s="10" t="s">
        <v>58</v>
      </c>
      <c r="AC1" s="10" t="s">
        <v>97</v>
      </c>
      <c r="AD1" s="10" t="s">
        <v>59</v>
      </c>
      <c r="AE1" s="10" t="s">
        <v>60</v>
      </c>
      <c r="AF1" s="10" t="s">
        <v>96</v>
      </c>
      <c r="AG1" s="10" t="s">
        <v>1690</v>
      </c>
      <c r="AH1" s="10" t="s">
        <v>94</v>
      </c>
      <c r="AI1" s="10" t="s">
        <v>90</v>
      </c>
      <c r="AJ1" s="10" t="s">
        <v>61</v>
      </c>
      <c r="AK1" s="10" t="s">
        <v>62</v>
      </c>
      <c r="AL1" s="10" t="s">
        <v>91</v>
      </c>
      <c r="AM1" s="10" t="s">
        <v>95</v>
      </c>
      <c r="AN1" s="10" t="s">
        <v>65</v>
      </c>
      <c r="AO1" s="10" t="s">
        <v>63</v>
      </c>
      <c r="AP1" s="10" t="s">
        <v>69</v>
      </c>
      <c r="AQ1" s="10" t="s">
        <v>99</v>
      </c>
      <c r="AR1" s="10" t="s">
        <v>64</v>
      </c>
      <c r="AS1" s="10" t="s">
        <v>92</v>
      </c>
      <c r="AT1" s="10" t="s">
        <v>70</v>
      </c>
      <c r="AU1" s="10" t="s">
        <v>71</v>
      </c>
      <c r="AV1" s="10" t="s">
        <v>93</v>
      </c>
      <c r="AW1" s="10" t="s">
        <v>66</v>
      </c>
      <c r="AX1" s="10" t="s">
        <v>98</v>
      </c>
      <c r="AY1" s="10" t="s">
        <v>67</v>
      </c>
      <c r="AZ1" s="10" t="s">
        <v>68</v>
      </c>
      <c r="BA1" s="10" t="s">
        <v>50</v>
      </c>
      <c r="BB1" s="9" t="s">
        <v>23</v>
      </c>
      <c r="BC1" s="9" t="s">
        <v>24</v>
      </c>
      <c r="BD1" s="9" t="s">
        <v>25</v>
      </c>
      <c r="BE1" s="9" t="s">
        <v>26</v>
      </c>
      <c r="BF1" s="9" t="s">
        <v>27</v>
      </c>
      <c r="BG1" s="9" t="s">
        <v>28</v>
      </c>
      <c r="BH1" s="9" t="s">
        <v>29</v>
      </c>
      <c r="BI1" s="9" t="s">
        <v>30</v>
      </c>
      <c r="BJ1" s="9" t="s">
        <v>2431</v>
      </c>
      <c r="BK1" s="9" t="s">
        <v>2432</v>
      </c>
      <c r="BL1" s="57" t="s">
        <v>2556</v>
      </c>
      <c r="BM1" s="9" t="s">
        <v>31</v>
      </c>
      <c r="BN1" s="9" t="s">
        <v>32</v>
      </c>
      <c r="BO1" s="9" t="s">
        <v>33</v>
      </c>
      <c r="BP1" s="9" t="s">
        <v>34</v>
      </c>
      <c r="BQ1" s="9" t="s">
        <v>35</v>
      </c>
      <c r="BR1" s="9" t="s">
        <v>609</v>
      </c>
    </row>
    <row r="2" spans="1:70" x14ac:dyDescent="0.25">
      <c r="A2">
        <v>1</v>
      </c>
      <c r="B2" t="s">
        <v>111</v>
      </c>
      <c r="D2" s="1" t="s">
        <v>13</v>
      </c>
      <c r="E2" s="1" t="s">
        <v>10</v>
      </c>
      <c r="F2" s="1" t="s">
        <v>50</v>
      </c>
      <c r="G2" s="1" t="s">
        <v>50</v>
      </c>
      <c r="H2" s="1"/>
      <c r="I2" s="1" t="s">
        <v>50</v>
      </c>
      <c r="J2" s="1" t="s">
        <v>50</v>
      </c>
      <c r="K2" s="1" t="s">
        <v>50</v>
      </c>
      <c r="L2" s="1" t="s">
        <v>50</v>
      </c>
      <c r="M2" s="1" t="s">
        <v>50</v>
      </c>
      <c r="N2" s="1" t="s">
        <v>50</v>
      </c>
      <c r="O2" s="1" t="s">
        <v>50</v>
      </c>
      <c r="P2" s="1" t="s">
        <v>832</v>
      </c>
      <c r="Q2" s="1" t="s">
        <v>104</v>
      </c>
      <c r="R2" s="1" t="s">
        <v>104</v>
      </c>
      <c r="S2" s="1" t="s">
        <v>104</v>
      </c>
      <c r="T2" s="1" t="s">
        <v>104</v>
      </c>
      <c r="U2" s="1" t="s">
        <v>104</v>
      </c>
      <c r="V2" s="1" t="s">
        <v>104</v>
      </c>
      <c r="W2" s="1" t="s">
        <v>104</v>
      </c>
      <c r="X2" s="1" t="s">
        <v>749</v>
      </c>
      <c r="Y2" s="1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>
        <v>1</v>
      </c>
      <c r="AW2" s="8">
        <v>1</v>
      </c>
      <c r="AX2" s="8"/>
      <c r="AY2" s="8"/>
      <c r="AZ2" s="8"/>
      <c r="BA2" s="8"/>
      <c r="BB2" s="1">
        <v>1</v>
      </c>
      <c r="BL2" s="58"/>
      <c r="BP2" t="str">
        <f t="shared" ref="BP2:BP65" si="0">D2&amp;E2</f>
        <v>FirePoison</v>
      </c>
      <c r="BQ2" t="s">
        <v>2</v>
      </c>
      <c r="BR2">
        <v>1</v>
      </c>
    </row>
    <row r="3" spans="1:70" x14ac:dyDescent="0.25">
      <c r="A3">
        <f t="shared" ref="A3:A66" si="1">A2+1</f>
        <v>2</v>
      </c>
      <c r="B3" t="s">
        <v>112</v>
      </c>
      <c r="D3" s="1" t="s">
        <v>13</v>
      </c>
      <c r="E3" s="1" t="s">
        <v>10</v>
      </c>
      <c r="F3" s="1" t="s">
        <v>50</v>
      </c>
      <c r="G3" s="1" t="s">
        <v>50</v>
      </c>
      <c r="H3" s="1" t="s">
        <v>50</v>
      </c>
      <c r="I3" s="1" t="s">
        <v>50</v>
      </c>
      <c r="J3" s="1" t="s">
        <v>50</v>
      </c>
      <c r="K3" s="1" t="s">
        <v>50</v>
      </c>
      <c r="L3" s="1" t="s">
        <v>50</v>
      </c>
      <c r="M3" s="1" t="s">
        <v>104</v>
      </c>
      <c r="N3" s="1" t="s">
        <v>50</v>
      </c>
      <c r="O3" s="1" t="s">
        <v>50</v>
      </c>
      <c r="P3" s="1" t="s">
        <v>832</v>
      </c>
      <c r="Q3" s="1" t="s">
        <v>104</v>
      </c>
      <c r="R3" s="1" t="s">
        <v>104</v>
      </c>
      <c r="S3" s="1" t="s">
        <v>104</v>
      </c>
      <c r="T3" s="1" t="s">
        <v>104</v>
      </c>
      <c r="U3" s="1" t="s">
        <v>104</v>
      </c>
      <c r="V3" s="1" t="s">
        <v>104</v>
      </c>
      <c r="W3" s="1" t="s">
        <v>104</v>
      </c>
      <c r="X3" s="1" t="s">
        <v>749</v>
      </c>
      <c r="Y3" s="1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>
        <v>1</v>
      </c>
      <c r="AW3" s="8">
        <v>1</v>
      </c>
      <c r="AX3" s="8"/>
      <c r="AY3" s="8"/>
      <c r="AZ3" s="8"/>
      <c r="BA3" s="8"/>
      <c r="BB3" s="1"/>
      <c r="BJ3">
        <v>2</v>
      </c>
      <c r="BL3" s="58"/>
      <c r="BP3" t="str">
        <f t="shared" si="0"/>
        <v>FirePoison</v>
      </c>
      <c r="BR3">
        <v>1</v>
      </c>
    </row>
    <row r="4" spans="1:70" x14ac:dyDescent="0.25">
      <c r="A4">
        <f t="shared" si="1"/>
        <v>3</v>
      </c>
      <c r="B4" t="s">
        <v>113</v>
      </c>
      <c r="D4" s="1" t="s">
        <v>15</v>
      </c>
      <c r="E4" s="1" t="s">
        <v>4</v>
      </c>
      <c r="F4" s="1" t="s">
        <v>50</v>
      </c>
      <c r="G4" s="1" t="s">
        <v>50</v>
      </c>
      <c r="H4" s="1"/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  <c r="O4" s="1" t="s">
        <v>50</v>
      </c>
      <c r="P4" s="13" t="s">
        <v>823</v>
      </c>
      <c r="Q4" s="1" t="s">
        <v>104</v>
      </c>
      <c r="R4" s="1" t="s">
        <v>104</v>
      </c>
      <c r="S4" s="1" t="s">
        <v>104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2182</v>
      </c>
      <c r="Y4" s="1"/>
      <c r="Z4" s="8"/>
      <c r="AA4" s="8"/>
      <c r="AB4" s="8"/>
      <c r="AC4" s="8"/>
      <c r="AD4" s="8"/>
      <c r="AE4" s="8"/>
      <c r="AF4" s="8"/>
      <c r="AG4" s="8"/>
      <c r="AH4" s="8"/>
      <c r="AI4" s="8">
        <v>1</v>
      </c>
      <c r="AJ4" s="8">
        <v>1</v>
      </c>
      <c r="AK4" s="8"/>
      <c r="AL4" s="8">
        <v>1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1">
        <v>1</v>
      </c>
      <c r="BL4" s="58"/>
      <c r="BP4" t="str">
        <f t="shared" si="0"/>
        <v>WaterPsychic</v>
      </c>
      <c r="BQ4" t="s">
        <v>2</v>
      </c>
      <c r="BR4">
        <v>5</v>
      </c>
    </row>
    <row r="5" spans="1:70" x14ac:dyDescent="0.25">
      <c r="A5">
        <f t="shared" si="1"/>
        <v>4</v>
      </c>
      <c r="B5" t="s">
        <v>120</v>
      </c>
      <c r="D5" s="1" t="s">
        <v>15</v>
      </c>
      <c r="E5" s="1" t="s">
        <v>4</v>
      </c>
      <c r="F5" s="1" t="s">
        <v>50</v>
      </c>
      <c r="G5" s="1" t="s">
        <v>50</v>
      </c>
      <c r="H5" s="1"/>
      <c r="I5" s="1" t="s">
        <v>50</v>
      </c>
      <c r="J5" s="1" t="s">
        <v>50</v>
      </c>
      <c r="K5" s="1" t="s">
        <v>50</v>
      </c>
      <c r="L5" s="1" t="s">
        <v>50</v>
      </c>
      <c r="M5" s="1" t="s">
        <v>104</v>
      </c>
      <c r="N5" s="1" t="s">
        <v>50</v>
      </c>
      <c r="O5" s="1" t="s">
        <v>50</v>
      </c>
      <c r="P5" s="13" t="s">
        <v>823</v>
      </c>
      <c r="Q5" s="1" t="s">
        <v>104</v>
      </c>
      <c r="R5" s="1" t="s">
        <v>104</v>
      </c>
      <c r="S5" s="1" t="s">
        <v>104</v>
      </c>
      <c r="T5" s="1" t="s">
        <v>104</v>
      </c>
      <c r="U5" s="1" t="s">
        <v>104</v>
      </c>
      <c r="V5" s="1" t="s">
        <v>104</v>
      </c>
      <c r="W5" s="1" t="s">
        <v>104</v>
      </c>
      <c r="X5" s="1" t="s">
        <v>2182</v>
      </c>
      <c r="Y5" s="1"/>
      <c r="Z5" s="8"/>
      <c r="AA5" s="8"/>
      <c r="AB5" s="8"/>
      <c r="AC5" s="8"/>
      <c r="AD5" s="8"/>
      <c r="AE5" s="8"/>
      <c r="AF5" s="8"/>
      <c r="AG5" s="8"/>
      <c r="AH5" s="8"/>
      <c r="AI5" s="8">
        <v>1</v>
      </c>
      <c r="AJ5" s="8">
        <v>1</v>
      </c>
      <c r="AK5" s="8"/>
      <c r="AL5" s="8">
        <v>1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1"/>
      <c r="BL5" s="58"/>
      <c r="BP5" t="str">
        <f t="shared" si="0"/>
        <v>WaterPsychic</v>
      </c>
      <c r="BQ5" t="s">
        <v>2</v>
      </c>
      <c r="BR5">
        <v>5</v>
      </c>
    </row>
    <row r="6" spans="1:70" x14ac:dyDescent="0.25">
      <c r="A6">
        <f t="shared" si="1"/>
        <v>5</v>
      </c>
      <c r="B6" t="s">
        <v>114</v>
      </c>
      <c r="D6" s="1" t="s">
        <v>15</v>
      </c>
      <c r="E6" s="1" t="s">
        <v>4</v>
      </c>
      <c r="F6" s="1" t="s">
        <v>50</v>
      </c>
      <c r="G6" s="1" t="s">
        <v>50</v>
      </c>
      <c r="H6" s="1" t="s">
        <v>50</v>
      </c>
      <c r="I6" s="1" t="s">
        <v>50</v>
      </c>
      <c r="J6" s="1" t="s">
        <v>50</v>
      </c>
      <c r="K6" s="1" t="s">
        <v>50</v>
      </c>
      <c r="L6" s="1" t="s">
        <v>50</v>
      </c>
      <c r="M6" s="1" t="s">
        <v>104</v>
      </c>
      <c r="N6" s="1" t="s">
        <v>50</v>
      </c>
      <c r="O6" s="1" t="s">
        <v>50</v>
      </c>
      <c r="P6" s="13" t="s">
        <v>823</v>
      </c>
      <c r="Q6" s="1" t="s">
        <v>50</v>
      </c>
      <c r="R6" s="1" t="s">
        <v>50</v>
      </c>
      <c r="S6" s="1" t="s">
        <v>50</v>
      </c>
      <c r="T6" s="1" t="s">
        <v>50</v>
      </c>
      <c r="U6" s="1" t="s">
        <v>50</v>
      </c>
      <c r="V6" s="1" t="s">
        <v>50</v>
      </c>
      <c r="W6" s="1" t="s">
        <v>50</v>
      </c>
      <c r="X6" s="1" t="s">
        <v>2552</v>
      </c>
      <c r="Y6" s="1"/>
      <c r="Z6" s="8"/>
      <c r="AA6" s="8"/>
      <c r="AB6" s="8"/>
      <c r="AC6" s="8"/>
      <c r="AD6" s="8"/>
      <c r="AE6" s="8"/>
      <c r="AF6" s="8"/>
      <c r="AG6" s="8"/>
      <c r="AH6" s="8"/>
      <c r="AI6" s="8">
        <v>1</v>
      </c>
      <c r="AJ6" s="8">
        <v>1</v>
      </c>
      <c r="AK6" s="8"/>
      <c r="AL6" s="8">
        <v>1</v>
      </c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1"/>
      <c r="BJ6">
        <v>1</v>
      </c>
      <c r="BK6">
        <v>1</v>
      </c>
      <c r="BL6" s="58"/>
      <c r="BP6" t="str">
        <f t="shared" si="0"/>
        <v>WaterPsychic</v>
      </c>
      <c r="BR6">
        <v>5</v>
      </c>
    </row>
    <row r="7" spans="1:70" x14ac:dyDescent="0.25">
      <c r="A7">
        <f t="shared" si="1"/>
        <v>6</v>
      </c>
      <c r="B7" t="s">
        <v>115</v>
      </c>
      <c r="D7" s="1" t="s">
        <v>5</v>
      </c>
      <c r="E7" s="1" t="s">
        <v>16</v>
      </c>
      <c r="F7" s="1" t="s">
        <v>50</v>
      </c>
      <c r="G7" s="1" t="s">
        <v>50</v>
      </c>
      <c r="H7" s="1"/>
      <c r="I7" s="1" t="s">
        <v>50</v>
      </c>
      <c r="J7" s="1" t="s">
        <v>50</v>
      </c>
      <c r="K7" s="1" t="s">
        <v>50</v>
      </c>
      <c r="L7" s="1" t="s">
        <v>50</v>
      </c>
      <c r="M7" s="1" t="s">
        <v>50</v>
      </c>
      <c r="N7" s="1" t="s">
        <v>50</v>
      </c>
      <c r="O7" s="1" t="s">
        <v>50</v>
      </c>
      <c r="P7" s="1" t="s">
        <v>832</v>
      </c>
      <c r="Q7" s="1" t="s">
        <v>104</v>
      </c>
      <c r="R7" s="1" t="s">
        <v>104</v>
      </c>
      <c r="S7" s="1" t="s">
        <v>104</v>
      </c>
      <c r="T7" s="1" t="s">
        <v>104</v>
      </c>
      <c r="U7" s="1" t="s">
        <v>104</v>
      </c>
      <c r="V7" s="1" t="s">
        <v>104</v>
      </c>
      <c r="W7" s="1" t="s">
        <v>104</v>
      </c>
      <c r="X7" s="1" t="s">
        <v>727</v>
      </c>
      <c r="Y7" s="1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>
        <v>1</v>
      </c>
      <c r="AO7" s="8">
        <v>1</v>
      </c>
      <c r="AP7" s="8">
        <v>1</v>
      </c>
      <c r="AQ7" s="8">
        <v>1</v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1">
        <v>1</v>
      </c>
      <c r="BL7" s="58"/>
      <c r="BP7" t="str">
        <f t="shared" si="0"/>
        <v>IceFlying</v>
      </c>
      <c r="BQ7" t="s">
        <v>2</v>
      </c>
      <c r="BR7">
        <v>1</v>
      </c>
    </row>
    <row r="8" spans="1:70" x14ac:dyDescent="0.25">
      <c r="A8">
        <f t="shared" si="1"/>
        <v>7</v>
      </c>
      <c r="B8" t="s">
        <v>116</v>
      </c>
      <c r="D8" s="1" t="s">
        <v>5</v>
      </c>
      <c r="E8" s="1" t="s">
        <v>16</v>
      </c>
      <c r="F8" s="1" t="s">
        <v>50</v>
      </c>
      <c r="G8" s="1" t="s">
        <v>50</v>
      </c>
      <c r="H8" s="1"/>
      <c r="I8" s="1" t="s">
        <v>50</v>
      </c>
      <c r="J8" s="1" t="s">
        <v>50</v>
      </c>
      <c r="K8" s="1" t="s">
        <v>50</v>
      </c>
      <c r="L8" s="1" t="s">
        <v>50</v>
      </c>
      <c r="M8" s="1" t="s">
        <v>104</v>
      </c>
      <c r="N8" s="1" t="s">
        <v>50</v>
      </c>
      <c r="O8" s="1" t="s">
        <v>50</v>
      </c>
      <c r="P8" s="1" t="s">
        <v>832</v>
      </c>
      <c r="Q8" s="1" t="s">
        <v>104</v>
      </c>
      <c r="R8" s="1" t="s">
        <v>104</v>
      </c>
      <c r="S8" s="1" t="s">
        <v>104</v>
      </c>
      <c r="T8" s="1" t="s">
        <v>104</v>
      </c>
      <c r="U8" s="1" t="s">
        <v>104</v>
      </c>
      <c r="V8" s="1" t="s">
        <v>104</v>
      </c>
      <c r="W8" s="1" t="s">
        <v>104</v>
      </c>
      <c r="X8" s="1" t="s">
        <v>727</v>
      </c>
      <c r="Y8" s="1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>
        <v>1</v>
      </c>
      <c r="AO8" s="8">
        <v>1</v>
      </c>
      <c r="AP8" s="8">
        <v>1</v>
      </c>
      <c r="AQ8" s="8">
        <v>1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1"/>
      <c r="BL8" s="58"/>
      <c r="BP8" t="str">
        <f t="shared" si="0"/>
        <v>IceFlying</v>
      </c>
      <c r="BQ8" t="s">
        <v>2</v>
      </c>
      <c r="BR8">
        <v>1</v>
      </c>
    </row>
    <row r="9" spans="1:70" x14ac:dyDescent="0.25">
      <c r="A9">
        <f t="shared" si="1"/>
        <v>8</v>
      </c>
      <c r="B9" t="s">
        <v>117</v>
      </c>
      <c r="D9" s="1" t="s">
        <v>5</v>
      </c>
      <c r="E9" s="1" t="s">
        <v>16</v>
      </c>
      <c r="F9" s="1" t="s">
        <v>50</v>
      </c>
      <c r="G9" s="1" t="s">
        <v>50</v>
      </c>
      <c r="H9" s="1" t="s">
        <v>50</v>
      </c>
      <c r="I9" s="1" t="s">
        <v>50</v>
      </c>
      <c r="J9" s="1" t="s">
        <v>50</v>
      </c>
      <c r="K9" s="1" t="s">
        <v>50</v>
      </c>
      <c r="L9" s="1" t="s">
        <v>50</v>
      </c>
      <c r="M9" s="1" t="s">
        <v>104</v>
      </c>
      <c r="N9" s="1" t="s">
        <v>50</v>
      </c>
      <c r="O9" s="1" t="s">
        <v>50</v>
      </c>
      <c r="P9" s="1" t="s">
        <v>832</v>
      </c>
      <c r="Q9" s="1" t="s">
        <v>50</v>
      </c>
      <c r="R9" s="1" t="s">
        <v>50</v>
      </c>
      <c r="S9" s="1" t="s">
        <v>50</v>
      </c>
      <c r="T9" s="1" t="s">
        <v>50</v>
      </c>
      <c r="U9" s="1" t="s">
        <v>50</v>
      </c>
      <c r="V9" s="1" t="s">
        <v>50</v>
      </c>
      <c r="W9" s="1" t="s">
        <v>50</v>
      </c>
      <c r="X9" s="1" t="s">
        <v>727</v>
      </c>
      <c r="Y9" s="1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>
        <v>1</v>
      </c>
      <c r="AO9" s="8">
        <v>1</v>
      </c>
      <c r="AP9" s="8">
        <v>1</v>
      </c>
      <c r="AQ9" s="8">
        <v>1</v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1">
        <v>3</v>
      </c>
      <c r="BJ9">
        <v>20</v>
      </c>
      <c r="BK9">
        <v>8</v>
      </c>
      <c r="BL9" s="58"/>
      <c r="BP9" t="str">
        <f t="shared" si="0"/>
        <v>IceFlying</v>
      </c>
      <c r="BR9">
        <v>1</v>
      </c>
    </row>
    <row r="10" spans="1:70" x14ac:dyDescent="0.25">
      <c r="A10">
        <f t="shared" si="1"/>
        <v>9</v>
      </c>
      <c r="B10" t="s">
        <v>118</v>
      </c>
      <c r="D10" s="1" t="s">
        <v>42</v>
      </c>
      <c r="E10" s="1" t="s">
        <v>16</v>
      </c>
      <c r="F10" s="1" t="s">
        <v>50</v>
      </c>
      <c r="G10" s="1" t="s">
        <v>50</v>
      </c>
      <c r="H10" s="1"/>
      <c r="I10" s="1" t="s">
        <v>50</v>
      </c>
      <c r="J10" s="1" t="s">
        <v>50</v>
      </c>
      <c r="K10" s="1" t="s">
        <v>50</v>
      </c>
      <c r="L10" s="1" t="s">
        <v>50</v>
      </c>
      <c r="M10" s="1" t="s">
        <v>50</v>
      </c>
      <c r="N10" s="1" t="s">
        <v>50</v>
      </c>
      <c r="O10" s="1" t="s">
        <v>50</v>
      </c>
      <c r="P10" s="1" t="s">
        <v>832</v>
      </c>
      <c r="Q10" s="1" t="s">
        <v>104</v>
      </c>
      <c r="R10" s="1" t="s">
        <v>104</v>
      </c>
      <c r="S10" s="1" t="s">
        <v>104</v>
      </c>
      <c r="T10" s="1" t="s">
        <v>104</v>
      </c>
      <c r="U10" s="1" t="s">
        <v>104</v>
      </c>
      <c r="V10" s="1" t="s">
        <v>104</v>
      </c>
      <c r="W10" s="1" t="s">
        <v>104</v>
      </c>
      <c r="X10" s="1" t="s">
        <v>727</v>
      </c>
      <c r="Y10" s="1"/>
      <c r="Z10" s="8">
        <v>1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>
        <v>1</v>
      </c>
      <c r="AV10" s="8"/>
      <c r="AW10" s="8"/>
      <c r="AX10" s="8"/>
      <c r="AY10" s="8">
        <v>1</v>
      </c>
      <c r="AZ10" s="8"/>
      <c r="BA10" s="8"/>
      <c r="BB10" s="1">
        <v>1</v>
      </c>
      <c r="BL10" s="58"/>
      <c r="BP10" t="str">
        <f t="shared" si="0"/>
        <v>CosmicFlying</v>
      </c>
      <c r="BQ10" t="s">
        <v>2</v>
      </c>
      <c r="BR10">
        <v>1</v>
      </c>
    </row>
    <row r="11" spans="1:70" x14ac:dyDescent="0.25">
      <c r="A11">
        <f t="shared" si="1"/>
        <v>10</v>
      </c>
      <c r="B11" t="s">
        <v>119</v>
      </c>
      <c r="D11" s="1" t="s">
        <v>42</v>
      </c>
      <c r="E11" s="1" t="s">
        <v>16</v>
      </c>
      <c r="F11" s="1" t="s">
        <v>50</v>
      </c>
      <c r="G11" s="1" t="s">
        <v>50</v>
      </c>
      <c r="H11" s="1" t="s">
        <v>50</v>
      </c>
      <c r="I11" s="1" t="s">
        <v>50</v>
      </c>
      <c r="J11" s="1" t="s">
        <v>50</v>
      </c>
      <c r="K11" s="1" t="s">
        <v>50</v>
      </c>
      <c r="L11" s="1" t="s">
        <v>50</v>
      </c>
      <c r="M11" s="1" t="s">
        <v>104</v>
      </c>
      <c r="N11" s="1" t="s">
        <v>50</v>
      </c>
      <c r="O11" s="1" t="s">
        <v>50</v>
      </c>
      <c r="P11" s="1" t="s">
        <v>832</v>
      </c>
      <c r="Q11" s="1" t="s">
        <v>50</v>
      </c>
      <c r="R11" s="1" t="s">
        <v>50</v>
      </c>
      <c r="S11" s="1" t="s">
        <v>50</v>
      </c>
      <c r="T11" s="1" t="s">
        <v>50</v>
      </c>
      <c r="U11" s="1" t="s">
        <v>50</v>
      </c>
      <c r="V11" s="1" t="s">
        <v>50</v>
      </c>
      <c r="W11" s="1" t="s">
        <v>50</v>
      </c>
      <c r="X11" s="1" t="s">
        <v>727</v>
      </c>
      <c r="Y11" s="1"/>
      <c r="Z11" s="8"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>
        <v>1</v>
      </c>
      <c r="AV11" s="8"/>
      <c r="AW11" s="8"/>
      <c r="AX11" s="8"/>
      <c r="AY11" s="8">
        <v>1</v>
      </c>
      <c r="AZ11" s="8"/>
      <c r="BA11" s="8"/>
      <c r="BB11" s="1"/>
      <c r="BJ11">
        <v>3</v>
      </c>
      <c r="BK11">
        <v>2</v>
      </c>
      <c r="BL11" s="58"/>
      <c r="BP11" t="str">
        <f t="shared" si="0"/>
        <v>CosmicFlying</v>
      </c>
      <c r="BR11">
        <v>1</v>
      </c>
    </row>
    <row r="12" spans="1:70" x14ac:dyDescent="0.25">
      <c r="A12">
        <f t="shared" si="1"/>
        <v>11</v>
      </c>
      <c r="B12" t="s">
        <v>121</v>
      </c>
      <c r="D12" s="1" t="s">
        <v>8</v>
      </c>
      <c r="E12" s="1" t="s">
        <v>10</v>
      </c>
      <c r="F12" s="1" t="s">
        <v>50</v>
      </c>
      <c r="G12" s="1" t="s">
        <v>50</v>
      </c>
      <c r="H12" s="1"/>
      <c r="I12" s="1" t="s">
        <v>50</v>
      </c>
      <c r="J12" s="1" t="s">
        <v>50</v>
      </c>
      <c r="K12" s="1" t="s">
        <v>50</v>
      </c>
      <c r="L12" s="1" t="s">
        <v>50</v>
      </c>
      <c r="M12" s="1" t="s">
        <v>50</v>
      </c>
      <c r="N12" s="1" t="s">
        <v>50</v>
      </c>
      <c r="O12" s="1" t="s">
        <v>50</v>
      </c>
      <c r="P12" s="1" t="s">
        <v>832</v>
      </c>
      <c r="Q12" s="1" t="s">
        <v>104</v>
      </c>
      <c r="R12" s="1" t="s">
        <v>104</v>
      </c>
      <c r="S12" s="1" t="s">
        <v>104</v>
      </c>
      <c r="T12" s="1" t="s">
        <v>104</v>
      </c>
      <c r="U12" s="1" t="s">
        <v>104</v>
      </c>
      <c r="V12" s="1" t="s">
        <v>104</v>
      </c>
      <c r="W12" s="1" t="s">
        <v>104</v>
      </c>
      <c r="X12" s="1" t="s">
        <v>727</v>
      </c>
      <c r="Y12" s="1"/>
      <c r="Z12" s="8"/>
      <c r="AA12" s="8"/>
      <c r="AB12" s="8"/>
      <c r="AC12" s="8"/>
      <c r="AD12" s="8"/>
      <c r="AE12" s="8">
        <v>1</v>
      </c>
      <c r="AF12" s="8">
        <v>1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>
        <v>1</v>
      </c>
      <c r="AY12" s="8">
        <v>1</v>
      </c>
      <c r="AZ12" s="8"/>
      <c r="BA12" s="8"/>
      <c r="BB12" s="1">
        <v>1</v>
      </c>
      <c r="BL12" s="58"/>
      <c r="BP12" t="str">
        <f t="shared" si="0"/>
        <v>GroundPoison</v>
      </c>
      <c r="BQ12" t="s">
        <v>2</v>
      </c>
      <c r="BR12">
        <v>1</v>
      </c>
    </row>
    <row r="13" spans="1:70" x14ac:dyDescent="0.25">
      <c r="A13">
        <f t="shared" si="1"/>
        <v>12</v>
      </c>
      <c r="B13" t="s">
        <v>122</v>
      </c>
      <c r="D13" s="1" t="s">
        <v>8</v>
      </c>
      <c r="E13" s="1" t="s">
        <v>10</v>
      </c>
      <c r="F13" s="1" t="s">
        <v>50</v>
      </c>
      <c r="G13" s="1" t="s">
        <v>50</v>
      </c>
      <c r="H13" s="1" t="s">
        <v>50</v>
      </c>
      <c r="I13" s="1" t="s">
        <v>50</v>
      </c>
      <c r="J13" s="1" t="s">
        <v>50</v>
      </c>
      <c r="K13" s="1" t="s">
        <v>50</v>
      </c>
      <c r="L13" s="1" t="s">
        <v>50</v>
      </c>
      <c r="M13" s="1" t="s">
        <v>104</v>
      </c>
      <c r="N13" s="1" t="s">
        <v>50</v>
      </c>
      <c r="O13" s="1" t="s">
        <v>50</v>
      </c>
      <c r="P13" s="1" t="s">
        <v>1806</v>
      </c>
      <c r="Q13" s="1" t="s">
        <v>50</v>
      </c>
      <c r="R13" s="1" t="s">
        <v>50</v>
      </c>
      <c r="S13" s="1" t="s">
        <v>50</v>
      </c>
      <c r="T13" s="1" t="s">
        <v>50</v>
      </c>
      <c r="U13" s="1" t="s">
        <v>50</v>
      </c>
      <c r="V13" s="1" t="s">
        <v>50</v>
      </c>
      <c r="W13" s="1" t="s">
        <v>50</v>
      </c>
      <c r="X13" s="1" t="s">
        <v>1809</v>
      </c>
      <c r="Y13" s="1"/>
      <c r="Z13" s="8"/>
      <c r="AA13" s="8"/>
      <c r="AB13" s="8"/>
      <c r="AC13" s="8"/>
      <c r="AD13" s="8"/>
      <c r="AE13" s="8">
        <v>1</v>
      </c>
      <c r="AF13" s="8">
        <v>1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>
        <v>1</v>
      </c>
      <c r="AY13" s="8">
        <v>1</v>
      </c>
      <c r="AZ13" s="8"/>
      <c r="BA13" s="8"/>
      <c r="BB13" s="1"/>
      <c r="BJ13">
        <v>5</v>
      </c>
      <c r="BL13" s="58">
        <v>1</v>
      </c>
      <c r="BP13" t="str">
        <f t="shared" si="0"/>
        <v>GroundPoison</v>
      </c>
      <c r="BR13">
        <v>1</v>
      </c>
    </row>
    <row r="14" spans="1:70" x14ac:dyDescent="0.25">
      <c r="A14">
        <f t="shared" si="1"/>
        <v>13</v>
      </c>
      <c r="B14" t="s">
        <v>123</v>
      </c>
      <c r="D14" s="1" t="s">
        <v>42</v>
      </c>
      <c r="E14" s="1" t="s">
        <v>9</v>
      </c>
      <c r="F14" s="1" t="s">
        <v>50</v>
      </c>
      <c r="G14" s="1" t="s">
        <v>50</v>
      </c>
      <c r="H14" s="1"/>
      <c r="I14" s="1" t="s">
        <v>50</v>
      </c>
      <c r="J14" s="1" t="s">
        <v>50</v>
      </c>
      <c r="K14" s="1" t="s">
        <v>50</v>
      </c>
      <c r="L14" s="1" t="s">
        <v>50</v>
      </c>
      <c r="M14" s="1" t="s">
        <v>50</v>
      </c>
      <c r="N14" s="1" t="s">
        <v>50</v>
      </c>
      <c r="O14" s="1" t="s">
        <v>50</v>
      </c>
      <c r="P14" s="1" t="s">
        <v>832</v>
      </c>
      <c r="Q14" s="1" t="s">
        <v>104</v>
      </c>
      <c r="R14" s="1" t="s">
        <v>104</v>
      </c>
      <c r="S14" s="1" t="s">
        <v>104</v>
      </c>
      <c r="T14" s="1" t="s">
        <v>104</v>
      </c>
      <c r="U14" s="1" t="s">
        <v>104</v>
      </c>
      <c r="V14" s="1" t="s">
        <v>104</v>
      </c>
      <c r="W14" s="1" t="s">
        <v>104</v>
      </c>
      <c r="X14" s="1" t="s">
        <v>727</v>
      </c>
      <c r="Y14" s="1"/>
      <c r="Z14" s="8"/>
      <c r="AA14" s="8"/>
      <c r="AB14" s="8"/>
      <c r="AC14" s="8"/>
      <c r="AD14" s="8">
        <v>1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>
        <v>1</v>
      </c>
      <c r="AV14" s="8"/>
      <c r="AW14" s="8"/>
      <c r="AX14" s="8">
        <v>1</v>
      </c>
      <c r="AY14" s="8">
        <v>1</v>
      </c>
      <c r="AZ14" s="8"/>
      <c r="BA14" s="8"/>
      <c r="BB14" s="1"/>
      <c r="BL14" s="58"/>
      <c r="BP14" t="str">
        <f t="shared" si="0"/>
        <v>CosmicRock</v>
      </c>
      <c r="BQ14" t="s">
        <v>2</v>
      </c>
      <c r="BR14">
        <v>1</v>
      </c>
    </row>
    <row r="15" spans="1:70" x14ac:dyDescent="0.25">
      <c r="A15">
        <f t="shared" si="1"/>
        <v>14</v>
      </c>
      <c r="B15" t="s">
        <v>124</v>
      </c>
      <c r="D15" s="1" t="s">
        <v>42</v>
      </c>
      <c r="E15" s="1" t="s">
        <v>9</v>
      </c>
      <c r="F15" s="1" t="s">
        <v>50</v>
      </c>
      <c r="G15" s="1" t="s">
        <v>50</v>
      </c>
      <c r="H15" s="1" t="s">
        <v>50</v>
      </c>
      <c r="I15" s="1" t="s">
        <v>50</v>
      </c>
      <c r="J15" s="1" t="s">
        <v>50</v>
      </c>
      <c r="K15" s="1" t="s">
        <v>50</v>
      </c>
      <c r="L15" s="1" t="s">
        <v>50</v>
      </c>
      <c r="M15" s="1" t="s">
        <v>104</v>
      </c>
      <c r="N15" s="1" t="s">
        <v>50</v>
      </c>
      <c r="O15" s="1" t="s">
        <v>50</v>
      </c>
      <c r="P15" s="1" t="s">
        <v>832</v>
      </c>
      <c r="Q15" s="1" t="s">
        <v>50</v>
      </c>
      <c r="R15" s="1" t="s">
        <v>50</v>
      </c>
      <c r="S15" s="1" t="s">
        <v>50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727</v>
      </c>
      <c r="Y15" s="1"/>
      <c r="Z15" s="8"/>
      <c r="AA15" s="8"/>
      <c r="AB15" s="8"/>
      <c r="AC15" s="8"/>
      <c r="AD15" s="8">
        <v>1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>
        <v>1</v>
      </c>
      <c r="AV15" s="8"/>
      <c r="AW15" s="8"/>
      <c r="AX15" s="8">
        <v>1</v>
      </c>
      <c r="AY15" s="8">
        <v>1</v>
      </c>
      <c r="AZ15" s="8"/>
      <c r="BA15" s="8"/>
      <c r="BB15" s="1"/>
      <c r="BJ15">
        <v>7</v>
      </c>
      <c r="BK15">
        <v>2</v>
      </c>
      <c r="BL15" s="58">
        <v>1</v>
      </c>
      <c r="BP15" t="str">
        <f t="shared" si="0"/>
        <v>CosmicRock</v>
      </c>
      <c r="BR15">
        <v>1</v>
      </c>
    </row>
    <row r="16" spans="1:70" x14ac:dyDescent="0.25">
      <c r="A16">
        <f t="shared" si="1"/>
        <v>15</v>
      </c>
      <c r="B16" t="s">
        <v>125</v>
      </c>
      <c r="D16" s="1" t="s">
        <v>5</v>
      </c>
      <c r="E16" s="1" t="s">
        <v>9</v>
      </c>
      <c r="F16" s="1" t="s">
        <v>50</v>
      </c>
      <c r="G16" s="1" t="s">
        <v>50</v>
      </c>
      <c r="H16" s="1"/>
      <c r="I16" s="1" t="s">
        <v>50</v>
      </c>
      <c r="J16" s="1" t="s">
        <v>50</v>
      </c>
      <c r="K16" s="1" t="s">
        <v>50</v>
      </c>
      <c r="L16" s="1" t="s">
        <v>50</v>
      </c>
      <c r="M16" s="1" t="s">
        <v>50</v>
      </c>
      <c r="N16" s="1" t="s">
        <v>50</v>
      </c>
      <c r="O16" s="1" t="s">
        <v>50</v>
      </c>
      <c r="P16" s="1" t="s">
        <v>832</v>
      </c>
      <c r="Q16" s="1" t="s">
        <v>104</v>
      </c>
      <c r="R16" s="1" t="s">
        <v>104</v>
      </c>
      <c r="S16" s="1" t="s">
        <v>104</v>
      </c>
      <c r="T16" s="1" t="s">
        <v>104</v>
      </c>
      <c r="U16" s="1" t="s">
        <v>104</v>
      </c>
      <c r="V16" s="1" t="s">
        <v>104</v>
      </c>
      <c r="W16" s="1" t="s">
        <v>104</v>
      </c>
      <c r="X16" s="1" t="s">
        <v>2119</v>
      </c>
      <c r="Y16" s="1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>
        <v>1</v>
      </c>
      <c r="AR16" s="8">
        <v>1</v>
      </c>
      <c r="AS16" s="8"/>
      <c r="AT16" s="8"/>
      <c r="AU16" s="8"/>
      <c r="AV16" s="8"/>
      <c r="AW16" s="8"/>
      <c r="AX16" s="8"/>
      <c r="AY16" s="8"/>
      <c r="AZ16" s="8"/>
      <c r="BA16" s="8"/>
      <c r="BB16" s="1">
        <v>1</v>
      </c>
      <c r="BL16" s="58"/>
      <c r="BP16" t="str">
        <f t="shared" si="0"/>
        <v>IceRock</v>
      </c>
      <c r="BQ16" t="s">
        <v>2</v>
      </c>
      <c r="BR16">
        <v>1</v>
      </c>
    </row>
    <row r="17" spans="1:70" x14ac:dyDescent="0.25">
      <c r="A17">
        <f t="shared" si="1"/>
        <v>16</v>
      </c>
      <c r="B17" t="s">
        <v>126</v>
      </c>
      <c r="D17" s="1" t="s">
        <v>5</v>
      </c>
      <c r="E17" s="1" t="s">
        <v>9</v>
      </c>
      <c r="F17" s="1" t="s">
        <v>50</v>
      </c>
      <c r="G17" s="1" t="s">
        <v>50</v>
      </c>
      <c r="H17" s="1" t="s">
        <v>50</v>
      </c>
      <c r="I17" s="1" t="s">
        <v>50</v>
      </c>
      <c r="J17" s="1" t="s">
        <v>50</v>
      </c>
      <c r="K17" s="1" t="s">
        <v>50</v>
      </c>
      <c r="L17" s="1" t="s">
        <v>50</v>
      </c>
      <c r="M17" s="1" t="s">
        <v>104</v>
      </c>
      <c r="N17" s="1" t="s">
        <v>50</v>
      </c>
      <c r="O17" s="1" t="s">
        <v>50</v>
      </c>
      <c r="P17" s="1" t="s">
        <v>832</v>
      </c>
      <c r="Q17" s="1" t="s">
        <v>50</v>
      </c>
      <c r="R17" s="1" t="s">
        <v>50</v>
      </c>
      <c r="S17" s="1" t="s">
        <v>50</v>
      </c>
      <c r="T17" s="1" t="s">
        <v>50</v>
      </c>
      <c r="U17" s="1" t="s">
        <v>50</v>
      </c>
      <c r="V17" s="1" t="s">
        <v>50</v>
      </c>
      <c r="W17" s="1" t="s">
        <v>50</v>
      </c>
      <c r="X17" s="1" t="s">
        <v>2119</v>
      </c>
      <c r="Y17" s="1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>
        <v>1</v>
      </c>
      <c r="AR17" s="8">
        <v>1</v>
      </c>
      <c r="AS17" s="8"/>
      <c r="AT17" s="8"/>
      <c r="AU17" s="8"/>
      <c r="AV17" s="8"/>
      <c r="AW17" s="8"/>
      <c r="AX17" s="8"/>
      <c r="AY17" s="8"/>
      <c r="AZ17" s="8"/>
      <c r="BA17" s="8"/>
      <c r="BB17" s="1"/>
      <c r="BJ17">
        <v>1</v>
      </c>
      <c r="BK17">
        <v>1</v>
      </c>
      <c r="BL17" s="58">
        <v>1</v>
      </c>
      <c r="BP17" t="str">
        <f t="shared" si="0"/>
        <v>IceRock</v>
      </c>
      <c r="BR17">
        <v>2</v>
      </c>
    </row>
    <row r="18" spans="1:70" x14ac:dyDescent="0.25">
      <c r="A18">
        <f t="shared" si="1"/>
        <v>17</v>
      </c>
      <c r="B18" t="s">
        <v>127</v>
      </c>
      <c r="D18" s="1" t="s">
        <v>10</v>
      </c>
      <c r="E18" s="1">
        <v>0</v>
      </c>
      <c r="F18" s="1" t="s">
        <v>50</v>
      </c>
      <c r="G18" s="1" t="s">
        <v>50</v>
      </c>
      <c r="H18" s="1"/>
      <c r="I18" s="1" t="s">
        <v>50</v>
      </c>
      <c r="J18" s="1" t="s">
        <v>50</v>
      </c>
      <c r="K18" s="1" t="s">
        <v>50</v>
      </c>
      <c r="L18" s="1" t="s">
        <v>50</v>
      </c>
      <c r="M18" s="1" t="s">
        <v>50</v>
      </c>
      <c r="N18" s="1" t="s">
        <v>50</v>
      </c>
      <c r="O18" s="1" t="s">
        <v>50</v>
      </c>
      <c r="P18" s="1" t="s">
        <v>832</v>
      </c>
      <c r="Q18" s="1" t="s">
        <v>104</v>
      </c>
      <c r="R18" s="1" t="s">
        <v>104</v>
      </c>
      <c r="S18" s="1" t="s">
        <v>104</v>
      </c>
      <c r="T18" s="1" t="s">
        <v>104</v>
      </c>
      <c r="U18" s="1" t="s">
        <v>104</v>
      </c>
      <c r="V18" s="1" t="s">
        <v>104</v>
      </c>
      <c r="W18" s="1" t="s">
        <v>104</v>
      </c>
      <c r="X18" s="1" t="s">
        <v>751</v>
      </c>
      <c r="Y18" s="1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>
        <v>1</v>
      </c>
      <c r="AT18" s="8">
        <v>1</v>
      </c>
      <c r="AU18" s="8"/>
      <c r="AV18" s="8"/>
      <c r="AW18" s="8"/>
      <c r="AX18" s="8"/>
      <c r="AY18" s="8"/>
      <c r="AZ18" s="8"/>
      <c r="BA18" s="8"/>
      <c r="BB18" s="1">
        <v>1</v>
      </c>
      <c r="BL18" s="58"/>
      <c r="BP18" t="str">
        <f t="shared" si="0"/>
        <v>Poison0</v>
      </c>
      <c r="BQ18" t="s">
        <v>2</v>
      </c>
      <c r="BR18">
        <v>2</v>
      </c>
    </row>
    <row r="19" spans="1:70" x14ac:dyDescent="0.25">
      <c r="A19">
        <f t="shared" si="1"/>
        <v>18</v>
      </c>
      <c r="B19" t="s">
        <v>128</v>
      </c>
      <c r="D19" s="1" t="s">
        <v>10</v>
      </c>
      <c r="E19" s="1" t="s">
        <v>6</v>
      </c>
      <c r="F19" s="1" t="s">
        <v>50</v>
      </c>
      <c r="G19" s="1" t="s">
        <v>50</v>
      </c>
      <c r="H19" s="1" t="s">
        <v>50</v>
      </c>
      <c r="I19" s="1" t="s">
        <v>50</v>
      </c>
      <c r="J19" s="1" t="s">
        <v>50</v>
      </c>
      <c r="K19" s="1" t="s">
        <v>50</v>
      </c>
      <c r="L19" s="1" t="s">
        <v>50</v>
      </c>
      <c r="M19" s="1" t="s">
        <v>104</v>
      </c>
      <c r="N19" s="1" t="s">
        <v>50</v>
      </c>
      <c r="O19" s="1" t="s">
        <v>50</v>
      </c>
      <c r="P19" s="1" t="s">
        <v>832</v>
      </c>
      <c r="Q19" s="1" t="s">
        <v>104</v>
      </c>
      <c r="R19" s="1" t="s">
        <v>104</v>
      </c>
      <c r="S19" s="1" t="s">
        <v>104</v>
      </c>
      <c r="T19" s="1" t="s">
        <v>104</v>
      </c>
      <c r="U19" s="1" t="s">
        <v>104</v>
      </c>
      <c r="V19" s="1" t="s">
        <v>104</v>
      </c>
      <c r="W19" s="1" t="s">
        <v>104</v>
      </c>
      <c r="X19" s="1" t="s">
        <v>751</v>
      </c>
      <c r="Y19" s="1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>
        <v>1</v>
      </c>
      <c r="AT19" s="8">
        <v>1</v>
      </c>
      <c r="AU19" s="8"/>
      <c r="AV19" s="8"/>
      <c r="AW19" s="8"/>
      <c r="AX19" s="8"/>
      <c r="AY19" s="8"/>
      <c r="AZ19" s="8"/>
      <c r="BA19" s="8"/>
      <c r="BB19" s="1"/>
      <c r="BJ19">
        <v>2</v>
      </c>
      <c r="BL19" s="58"/>
      <c r="BP19" t="str">
        <f t="shared" si="0"/>
        <v>PoisonSteel</v>
      </c>
      <c r="BR19">
        <v>2</v>
      </c>
    </row>
    <row r="20" spans="1:70" x14ac:dyDescent="0.25">
      <c r="A20">
        <f t="shared" si="1"/>
        <v>19</v>
      </c>
      <c r="B20" t="s">
        <v>129</v>
      </c>
      <c r="D20" s="1" t="s">
        <v>14</v>
      </c>
      <c r="E20" s="1" t="s">
        <v>15</v>
      </c>
      <c r="F20" s="1" t="s">
        <v>50</v>
      </c>
      <c r="G20" s="1" t="s">
        <v>50</v>
      </c>
      <c r="H20" s="1"/>
      <c r="I20" s="1" t="s">
        <v>50</v>
      </c>
      <c r="J20" s="1" t="s">
        <v>50</v>
      </c>
      <c r="K20" s="1" t="s">
        <v>50</v>
      </c>
      <c r="L20" s="1" t="s">
        <v>50</v>
      </c>
      <c r="M20" s="1" t="s">
        <v>50</v>
      </c>
      <c r="N20" s="1" t="s">
        <v>50</v>
      </c>
      <c r="O20" s="1" t="s">
        <v>50</v>
      </c>
      <c r="P20" s="1" t="s">
        <v>832</v>
      </c>
      <c r="Q20" s="1" t="s">
        <v>104</v>
      </c>
      <c r="R20" s="1" t="s">
        <v>104</v>
      </c>
      <c r="S20" s="1" t="s">
        <v>104</v>
      </c>
      <c r="T20" s="1" t="s">
        <v>104</v>
      </c>
      <c r="U20" s="1" t="s">
        <v>104</v>
      </c>
      <c r="V20" s="1" t="s">
        <v>104</v>
      </c>
      <c r="W20" s="1" t="s">
        <v>104</v>
      </c>
      <c r="X20" s="1" t="s">
        <v>727</v>
      </c>
      <c r="Y20" s="1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>
        <v>1</v>
      </c>
      <c r="AM20" s="8">
        <v>1</v>
      </c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1">
        <v>1</v>
      </c>
      <c r="BL20" s="58"/>
      <c r="BP20" t="str">
        <f t="shared" si="0"/>
        <v>GhostWater</v>
      </c>
      <c r="BQ20" t="s">
        <v>2</v>
      </c>
      <c r="BR20">
        <v>3</v>
      </c>
    </row>
    <row r="21" spans="1:70" x14ac:dyDescent="0.25">
      <c r="A21">
        <f t="shared" si="1"/>
        <v>20</v>
      </c>
      <c r="B21" t="s">
        <v>130</v>
      </c>
      <c r="D21" s="1" t="s">
        <v>14</v>
      </c>
      <c r="E21" s="1" t="s">
        <v>15</v>
      </c>
      <c r="F21" s="1" t="s">
        <v>50</v>
      </c>
      <c r="G21" s="1" t="s">
        <v>50</v>
      </c>
      <c r="H21" s="1" t="s">
        <v>50</v>
      </c>
      <c r="I21" s="1" t="s">
        <v>50</v>
      </c>
      <c r="J21" s="1" t="s">
        <v>50</v>
      </c>
      <c r="K21" s="1" t="s">
        <v>50</v>
      </c>
      <c r="L21" s="1" t="s">
        <v>50</v>
      </c>
      <c r="M21" s="1" t="s">
        <v>104</v>
      </c>
      <c r="N21" s="1" t="s">
        <v>50</v>
      </c>
      <c r="O21" s="1" t="s">
        <v>50</v>
      </c>
      <c r="P21" s="1" t="s">
        <v>832</v>
      </c>
      <c r="Q21" s="1" t="s">
        <v>104</v>
      </c>
      <c r="R21" s="1" t="s">
        <v>104</v>
      </c>
      <c r="S21" s="1" t="s">
        <v>104</v>
      </c>
      <c r="T21" s="1" t="s">
        <v>104</v>
      </c>
      <c r="U21" s="1" t="s">
        <v>104</v>
      </c>
      <c r="V21" s="1" t="s">
        <v>104</v>
      </c>
      <c r="W21" s="1" t="s">
        <v>104</v>
      </c>
      <c r="X21" s="1" t="s">
        <v>727</v>
      </c>
      <c r="Y21" s="1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1</v>
      </c>
      <c r="AM21" s="8">
        <v>1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1"/>
      <c r="BJ21">
        <v>3</v>
      </c>
      <c r="BL21" s="58"/>
      <c r="BP21" t="str">
        <f t="shared" si="0"/>
        <v>GhostWater</v>
      </c>
      <c r="BR21">
        <v>3</v>
      </c>
    </row>
    <row r="22" spans="1:70" x14ac:dyDescent="0.25">
      <c r="A22">
        <f t="shared" si="1"/>
        <v>21</v>
      </c>
      <c r="B22" t="s">
        <v>131</v>
      </c>
      <c r="D22" s="1" t="s">
        <v>3</v>
      </c>
      <c r="E22" s="1" t="s">
        <v>16</v>
      </c>
      <c r="F22" s="1" t="s">
        <v>50</v>
      </c>
      <c r="G22" s="1" t="s">
        <v>50</v>
      </c>
      <c r="H22" s="1"/>
      <c r="I22" s="1" t="s">
        <v>50</v>
      </c>
      <c r="J22" s="1" t="s">
        <v>50</v>
      </c>
      <c r="K22" s="1" t="s">
        <v>50</v>
      </c>
      <c r="L22" s="1" t="s">
        <v>50</v>
      </c>
      <c r="M22" s="1" t="s">
        <v>50</v>
      </c>
      <c r="N22" s="1" t="s">
        <v>50</v>
      </c>
      <c r="O22" s="1" t="s">
        <v>50</v>
      </c>
      <c r="P22" s="13" t="s">
        <v>821</v>
      </c>
      <c r="Q22" s="1" t="s">
        <v>104</v>
      </c>
      <c r="R22" s="1" t="s">
        <v>104</v>
      </c>
      <c r="S22" s="1" t="s">
        <v>104</v>
      </c>
      <c r="T22" s="1" t="s">
        <v>104</v>
      </c>
      <c r="U22" s="1" t="s">
        <v>104</v>
      </c>
      <c r="V22" s="1" t="s">
        <v>104</v>
      </c>
      <c r="W22" s="1" t="s">
        <v>104</v>
      </c>
      <c r="X22" s="1" t="s">
        <v>2258</v>
      </c>
      <c r="Y22" s="1"/>
      <c r="Z22" s="8">
        <v>1</v>
      </c>
      <c r="AA22" s="8">
        <v>1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>
        <v>1</v>
      </c>
      <c r="AZ22" s="8"/>
      <c r="BA22" s="8"/>
      <c r="BB22" s="1">
        <v>1</v>
      </c>
      <c r="BL22" s="58"/>
      <c r="BP22" t="str">
        <f t="shared" si="0"/>
        <v>ElectricFlying</v>
      </c>
      <c r="BQ22" t="s">
        <v>2</v>
      </c>
      <c r="BR22">
        <v>6</v>
      </c>
    </row>
    <row r="23" spans="1:70" x14ac:dyDescent="0.25">
      <c r="A23">
        <f t="shared" si="1"/>
        <v>22</v>
      </c>
      <c r="B23" t="s">
        <v>458</v>
      </c>
      <c r="D23" s="1" t="s">
        <v>3</v>
      </c>
      <c r="E23" s="1" t="s">
        <v>16</v>
      </c>
      <c r="F23" s="1" t="s">
        <v>50</v>
      </c>
      <c r="G23" s="1" t="s">
        <v>50</v>
      </c>
      <c r="H23" s="1"/>
      <c r="I23" s="1" t="s">
        <v>50</v>
      </c>
      <c r="J23" s="1" t="s">
        <v>50</v>
      </c>
      <c r="K23" s="1" t="s">
        <v>50</v>
      </c>
      <c r="L23" s="1" t="s">
        <v>50</v>
      </c>
      <c r="M23" s="1" t="s">
        <v>104</v>
      </c>
      <c r="N23" s="1" t="s">
        <v>50</v>
      </c>
      <c r="O23" s="1" t="s">
        <v>50</v>
      </c>
      <c r="P23" s="13" t="s">
        <v>821</v>
      </c>
      <c r="Q23" s="1" t="s">
        <v>104</v>
      </c>
      <c r="R23" s="1" t="s">
        <v>104</v>
      </c>
      <c r="S23" s="1" t="s">
        <v>104</v>
      </c>
      <c r="T23" s="1" t="s">
        <v>104</v>
      </c>
      <c r="U23" s="1" t="s">
        <v>104</v>
      </c>
      <c r="V23" s="1" t="s">
        <v>104</v>
      </c>
      <c r="W23" s="1" t="s">
        <v>104</v>
      </c>
      <c r="X23" s="1" t="s">
        <v>2258</v>
      </c>
      <c r="Y23" s="1"/>
      <c r="Z23" s="8">
        <v>1</v>
      </c>
      <c r="AA23" s="8">
        <v>1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>
        <v>1</v>
      </c>
      <c r="AZ23" s="8"/>
      <c r="BA23" s="8"/>
      <c r="BB23" s="1">
        <v>2</v>
      </c>
      <c r="BL23" s="58"/>
      <c r="BP23" t="str">
        <f t="shared" si="0"/>
        <v>ElectricFlying</v>
      </c>
      <c r="BQ23" t="s">
        <v>2</v>
      </c>
      <c r="BR23">
        <v>6</v>
      </c>
    </row>
    <row r="24" spans="1:70" x14ac:dyDescent="0.25">
      <c r="A24">
        <f t="shared" si="1"/>
        <v>23</v>
      </c>
      <c r="B24" t="s">
        <v>132</v>
      </c>
      <c r="D24" s="1" t="s">
        <v>3</v>
      </c>
      <c r="E24" s="1" t="s">
        <v>16</v>
      </c>
      <c r="F24" s="1" t="s">
        <v>50</v>
      </c>
      <c r="G24" s="1" t="s">
        <v>50</v>
      </c>
      <c r="H24" s="1" t="s">
        <v>50</v>
      </c>
      <c r="I24" s="1" t="s">
        <v>50</v>
      </c>
      <c r="J24" s="1" t="s">
        <v>50</v>
      </c>
      <c r="K24" s="1" t="s">
        <v>50</v>
      </c>
      <c r="L24" s="1" t="s">
        <v>50</v>
      </c>
      <c r="M24" s="1" t="s">
        <v>104</v>
      </c>
      <c r="N24" s="1" t="s">
        <v>50</v>
      </c>
      <c r="O24" s="1" t="s">
        <v>50</v>
      </c>
      <c r="P24" s="13" t="s">
        <v>821</v>
      </c>
      <c r="Q24" s="1" t="s">
        <v>104</v>
      </c>
      <c r="R24" s="1" t="s">
        <v>104</v>
      </c>
      <c r="S24" s="1" t="s">
        <v>104</v>
      </c>
      <c r="T24" s="1" t="s">
        <v>104</v>
      </c>
      <c r="U24" s="1" t="s">
        <v>104</v>
      </c>
      <c r="V24" s="1" t="s">
        <v>104</v>
      </c>
      <c r="W24" s="1" t="s">
        <v>104</v>
      </c>
      <c r="X24" s="1" t="s">
        <v>726</v>
      </c>
      <c r="Y24" s="1"/>
      <c r="Z24" s="8">
        <v>1</v>
      </c>
      <c r="AA24" s="8">
        <v>1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>
        <v>1</v>
      </c>
      <c r="AZ24" s="8"/>
      <c r="BA24" s="8"/>
      <c r="BB24" s="1"/>
      <c r="BJ24">
        <v>9</v>
      </c>
      <c r="BK24">
        <v>5</v>
      </c>
      <c r="BL24" s="58"/>
      <c r="BP24" t="str">
        <f t="shared" si="0"/>
        <v>ElectricFlying</v>
      </c>
      <c r="BR24">
        <v>6</v>
      </c>
    </row>
    <row r="25" spans="1:70" x14ac:dyDescent="0.25">
      <c r="A25">
        <f t="shared" si="1"/>
        <v>24</v>
      </c>
      <c r="B25" t="s">
        <v>133</v>
      </c>
      <c r="D25" s="1" t="s">
        <v>6</v>
      </c>
      <c r="E25" s="1" t="s">
        <v>3</v>
      </c>
      <c r="F25" s="1" t="s">
        <v>50</v>
      </c>
      <c r="G25" s="1" t="s">
        <v>50</v>
      </c>
      <c r="H25" s="1"/>
      <c r="I25" s="1" t="s">
        <v>50</v>
      </c>
      <c r="J25" s="1" t="s">
        <v>50</v>
      </c>
      <c r="K25" s="1" t="s">
        <v>50</v>
      </c>
      <c r="L25" s="1" t="s">
        <v>50</v>
      </c>
      <c r="M25" s="1" t="s">
        <v>50</v>
      </c>
      <c r="N25" s="1" t="s">
        <v>50</v>
      </c>
      <c r="O25" s="1" t="s">
        <v>50</v>
      </c>
      <c r="P25" s="1" t="s">
        <v>832</v>
      </c>
      <c r="Q25" s="1" t="s">
        <v>104</v>
      </c>
      <c r="R25" s="1" t="s">
        <v>104</v>
      </c>
      <c r="S25" s="1" t="s">
        <v>104</v>
      </c>
      <c r="T25" s="1" t="s">
        <v>104</v>
      </c>
      <c r="U25" s="1" t="s">
        <v>104</v>
      </c>
      <c r="V25" s="1" t="s">
        <v>104</v>
      </c>
      <c r="W25" s="1" t="s">
        <v>104</v>
      </c>
      <c r="X25" s="1" t="s">
        <v>2205</v>
      </c>
      <c r="Y25" s="1"/>
      <c r="Z25" s="8"/>
      <c r="AA25" s="8"/>
      <c r="AB25" s="8"/>
      <c r="AC25" s="8"/>
      <c r="AD25" s="8"/>
      <c r="AE25" s="8">
        <v>1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>
        <v>1</v>
      </c>
      <c r="AT25" s="8"/>
      <c r="AU25" s="8">
        <v>1</v>
      </c>
      <c r="AV25" s="8"/>
      <c r="AW25" s="8"/>
      <c r="AX25" s="8"/>
      <c r="AY25" s="8">
        <v>1</v>
      </c>
      <c r="AZ25" s="8"/>
      <c r="BA25" s="8"/>
      <c r="BB25" s="1">
        <v>1</v>
      </c>
      <c r="BL25" s="58"/>
      <c r="BP25" t="str">
        <f t="shared" si="0"/>
        <v>SteelElectric</v>
      </c>
      <c r="BQ25" t="s">
        <v>2</v>
      </c>
      <c r="BR25">
        <v>2</v>
      </c>
    </row>
    <row r="26" spans="1:70" x14ac:dyDescent="0.25">
      <c r="A26">
        <f t="shared" si="1"/>
        <v>25</v>
      </c>
      <c r="B26" t="s">
        <v>134</v>
      </c>
      <c r="D26" s="1" t="s">
        <v>6</v>
      </c>
      <c r="E26" s="1" t="s">
        <v>3</v>
      </c>
      <c r="F26" s="1" t="s">
        <v>50</v>
      </c>
      <c r="G26" s="1" t="s">
        <v>50</v>
      </c>
      <c r="H26" s="1" t="s">
        <v>50</v>
      </c>
      <c r="I26" s="1" t="s">
        <v>50</v>
      </c>
      <c r="J26" s="1" t="s">
        <v>50</v>
      </c>
      <c r="K26" s="1" t="s">
        <v>50</v>
      </c>
      <c r="L26" s="1" t="s">
        <v>50</v>
      </c>
      <c r="M26" s="1" t="s">
        <v>104</v>
      </c>
      <c r="N26" s="1" t="s">
        <v>50</v>
      </c>
      <c r="O26" s="1" t="s">
        <v>50</v>
      </c>
      <c r="P26" s="1" t="s">
        <v>832</v>
      </c>
      <c r="Q26" s="1" t="s">
        <v>50</v>
      </c>
      <c r="R26" s="1" t="s">
        <v>50</v>
      </c>
      <c r="S26" s="1" t="s">
        <v>50</v>
      </c>
      <c r="T26" s="1" t="s">
        <v>50</v>
      </c>
      <c r="U26" s="1" t="s">
        <v>50</v>
      </c>
      <c r="V26" s="1" t="s">
        <v>50</v>
      </c>
      <c r="W26" s="1" t="s">
        <v>50</v>
      </c>
      <c r="X26" s="1" t="s">
        <v>2205</v>
      </c>
      <c r="Y26" s="1"/>
      <c r="Z26" s="8"/>
      <c r="AA26" s="8"/>
      <c r="AB26" s="8"/>
      <c r="AC26" s="8"/>
      <c r="AD26" s="8"/>
      <c r="AE26" s="8">
        <v>1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>
        <v>1</v>
      </c>
      <c r="AT26" s="8"/>
      <c r="AU26" s="8">
        <v>1</v>
      </c>
      <c r="AV26" s="8"/>
      <c r="AW26" s="8"/>
      <c r="AX26" s="8"/>
      <c r="AY26" s="8">
        <v>1</v>
      </c>
      <c r="AZ26" s="8"/>
      <c r="BA26" s="8"/>
      <c r="BB26" s="1"/>
      <c r="BJ26">
        <v>1</v>
      </c>
      <c r="BK26">
        <v>1</v>
      </c>
      <c r="BL26" s="58"/>
      <c r="BP26" t="str">
        <f t="shared" si="0"/>
        <v>SteelElectric</v>
      </c>
      <c r="BR26">
        <v>2</v>
      </c>
    </row>
    <row r="27" spans="1:70" x14ac:dyDescent="0.25">
      <c r="A27">
        <f t="shared" si="1"/>
        <v>26</v>
      </c>
      <c r="B27" t="s">
        <v>135</v>
      </c>
      <c r="D27" s="1" t="s">
        <v>13</v>
      </c>
      <c r="E27" s="1" t="s">
        <v>16</v>
      </c>
      <c r="F27" s="1" t="s">
        <v>50</v>
      </c>
      <c r="G27" s="1" t="s">
        <v>50</v>
      </c>
      <c r="H27" s="1"/>
      <c r="I27" s="1" t="s">
        <v>50</v>
      </c>
      <c r="J27" s="1" t="s">
        <v>50</v>
      </c>
      <c r="K27" s="1" t="s">
        <v>50</v>
      </c>
      <c r="L27" s="1" t="s">
        <v>50</v>
      </c>
      <c r="M27" s="1" t="s">
        <v>50</v>
      </c>
      <c r="N27" s="1" t="s">
        <v>50</v>
      </c>
      <c r="O27" s="1" t="s">
        <v>50</v>
      </c>
      <c r="P27" s="1" t="s">
        <v>832</v>
      </c>
      <c r="Q27" s="1" t="s">
        <v>104</v>
      </c>
      <c r="R27" s="1" t="s">
        <v>104</v>
      </c>
      <c r="S27" s="1" t="s">
        <v>104</v>
      </c>
      <c r="T27" s="1" t="s">
        <v>104</v>
      </c>
      <c r="U27" s="1" t="s">
        <v>104</v>
      </c>
      <c r="V27" s="1" t="s">
        <v>104</v>
      </c>
      <c r="W27" s="1" t="s">
        <v>104</v>
      </c>
      <c r="X27" s="1" t="s">
        <v>727</v>
      </c>
      <c r="Y27" s="1"/>
      <c r="Z27" s="8">
        <v>1</v>
      </c>
      <c r="AA27" s="8">
        <v>1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>
        <v>1</v>
      </c>
      <c r="AY27" s="8">
        <v>1</v>
      </c>
      <c r="AZ27" s="8"/>
      <c r="BA27" s="8"/>
      <c r="BB27" s="1">
        <v>1</v>
      </c>
      <c r="BL27" s="58"/>
      <c r="BP27" t="str">
        <f t="shared" si="0"/>
        <v>FireFlying</v>
      </c>
      <c r="BQ27" t="s">
        <v>2</v>
      </c>
      <c r="BR27">
        <v>5</v>
      </c>
    </row>
    <row r="28" spans="1:70" x14ac:dyDescent="0.25">
      <c r="A28">
        <f t="shared" si="1"/>
        <v>27</v>
      </c>
      <c r="B28" t="s">
        <v>136</v>
      </c>
      <c r="D28" s="1" t="s">
        <v>13</v>
      </c>
      <c r="E28" s="1" t="s">
        <v>16</v>
      </c>
      <c r="F28" s="1" t="s">
        <v>50</v>
      </c>
      <c r="G28" s="1" t="s">
        <v>50</v>
      </c>
      <c r="H28" s="1" t="s">
        <v>50</v>
      </c>
      <c r="I28" s="1" t="s">
        <v>50</v>
      </c>
      <c r="J28" s="1" t="s">
        <v>50</v>
      </c>
      <c r="K28" s="1" t="s">
        <v>50</v>
      </c>
      <c r="L28" s="1" t="s">
        <v>50</v>
      </c>
      <c r="M28" s="1" t="s">
        <v>104</v>
      </c>
      <c r="N28" s="1" t="s">
        <v>50</v>
      </c>
      <c r="O28" s="1" t="s">
        <v>50</v>
      </c>
      <c r="P28" s="1" t="s">
        <v>832</v>
      </c>
      <c r="Q28" s="1" t="s">
        <v>104</v>
      </c>
      <c r="R28" s="1" t="s">
        <v>104</v>
      </c>
      <c r="S28" s="1" t="s">
        <v>104</v>
      </c>
      <c r="T28" s="1" t="s">
        <v>104</v>
      </c>
      <c r="U28" s="1" t="s">
        <v>104</v>
      </c>
      <c r="V28" s="1" t="s">
        <v>104</v>
      </c>
      <c r="W28" s="1" t="s">
        <v>104</v>
      </c>
      <c r="X28" s="1" t="s">
        <v>727</v>
      </c>
      <c r="Y28" s="1"/>
      <c r="Z28" s="8">
        <v>1</v>
      </c>
      <c r="AA28" s="8">
        <v>1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>
        <v>1</v>
      </c>
      <c r="AY28" s="8">
        <v>1</v>
      </c>
      <c r="AZ28" s="8"/>
      <c r="BA28" s="8"/>
      <c r="BB28" s="1"/>
      <c r="BJ28">
        <v>5</v>
      </c>
      <c r="BK28">
        <v>1</v>
      </c>
      <c r="BL28" s="58"/>
      <c r="BP28" t="str">
        <f t="shared" si="0"/>
        <v>FireFlying</v>
      </c>
      <c r="BR28">
        <v>5</v>
      </c>
    </row>
    <row r="29" spans="1:70" x14ac:dyDescent="0.25">
      <c r="A29">
        <f t="shared" si="1"/>
        <v>28</v>
      </c>
      <c r="B29" t="s">
        <v>137</v>
      </c>
      <c r="D29" s="1" t="s">
        <v>11</v>
      </c>
      <c r="E29" s="1" t="s">
        <v>4</v>
      </c>
      <c r="F29" s="1" t="s">
        <v>50</v>
      </c>
      <c r="G29" s="1" t="s">
        <v>50</v>
      </c>
      <c r="H29" s="1"/>
      <c r="I29" s="1" t="s">
        <v>50</v>
      </c>
      <c r="J29" s="1" t="s">
        <v>50</v>
      </c>
      <c r="K29" s="1" t="s">
        <v>50</v>
      </c>
      <c r="L29" s="1" t="s">
        <v>50</v>
      </c>
      <c r="M29" s="1" t="s">
        <v>50</v>
      </c>
      <c r="N29" s="1" t="s">
        <v>50</v>
      </c>
      <c r="O29" s="1" t="s">
        <v>50</v>
      </c>
      <c r="P29" s="1" t="s">
        <v>832</v>
      </c>
      <c r="Q29" s="1" t="s">
        <v>104</v>
      </c>
      <c r="R29" s="1" t="s">
        <v>104</v>
      </c>
      <c r="S29" s="1" t="s">
        <v>104</v>
      </c>
      <c r="T29" s="1" t="s">
        <v>104</v>
      </c>
      <c r="U29" s="1" t="s">
        <v>104</v>
      </c>
      <c r="V29" s="1" t="s">
        <v>104</v>
      </c>
      <c r="W29" s="1" t="s">
        <v>104</v>
      </c>
      <c r="X29" s="1" t="s">
        <v>727</v>
      </c>
      <c r="Y29" s="1"/>
      <c r="Z29" s="8"/>
      <c r="AA29" s="8"/>
      <c r="AB29" s="8">
        <v>1</v>
      </c>
      <c r="AC29" s="8">
        <v>1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1">
        <v>1</v>
      </c>
      <c r="BL29" s="58"/>
      <c r="BP29" t="str">
        <f t="shared" si="0"/>
        <v>GrassPsychic</v>
      </c>
      <c r="BQ29" t="s">
        <v>2</v>
      </c>
      <c r="BR29">
        <v>3</v>
      </c>
    </row>
    <row r="30" spans="1:70" x14ac:dyDescent="0.25">
      <c r="A30">
        <f t="shared" si="1"/>
        <v>29</v>
      </c>
      <c r="B30" t="s">
        <v>138</v>
      </c>
      <c r="D30" s="1" t="s">
        <v>11</v>
      </c>
      <c r="E30" s="1" t="s">
        <v>4</v>
      </c>
      <c r="F30" s="1" t="s">
        <v>50</v>
      </c>
      <c r="G30" s="1" t="s">
        <v>50</v>
      </c>
      <c r="H30" s="1" t="s">
        <v>50</v>
      </c>
      <c r="I30" s="1" t="s">
        <v>50</v>
      </c>
      <c r="J30" s="1" t="s">
        <v>50</v>
      </c>
      <c r="K30" s="1" t="s">
        <v>50</v>
      </c>
      <c r="L30" s="1" t="s">
        <v>50</v>
      </c>
      <c r="M30" s="1" t="s">
        <v>104</v>
      </c>
      <c r="N30" s="1" t="s">
        <v>50</v>
      </c>
      <c r="O30" s="1" t="s">
        <v>50</v>
      </c>
      <c r="P30" s="1" t="s">
        <v>832</v>
      </c>
      <c r="Q30" s="1" t="s">
        <v>104</v>
      </c>
      <c r="R30" s="1" t="s">
        <v>104</v>
      </c>
      <c r="S30" s="1" t="s">
        <v>104</v>
      </c>
      <c r="T30" s="1" t="s">
        <v>104</v>
      </c>
      <c r="U30" s="1" t="s">
        <v>104</v>
      </c>
      <c r="V30" s="1" t="s">
        <v>104</v>
      </c>
      <c r="W30" s="1" t="s">
        <v>104</v>
      </c>
      <c r="X30" s="1" t="s">
        <v>727</v>
      </c>
      <c r="Y30" s="1"/>
      <c r="Z30" s="8"/>
      <c r="AA30" s="8"/>
      <c r="AB30" s="8">
        <v>1</v>
      </c>
      <c r="AC30" s="8">
        <v>1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1"/>
      <c r="BJ30">
        <v>1</v>
      </c>
      <c r="BL30" s="58"/>
      <c r="BP30" t="str">
        <f t="shared" si="0"/>
        <v>GrassPsychic</v>
      </c>
      <c r="BR30">
        <v>4</v>
      </c>
    </row>
    <row r="31" spans="1:70" x14ac:dyDescent="0.25">
      <c r="A31">
        <f t="shared" si="1"/>
        <v>30</v>
      </c>
      <c r="B31" t="s">
        <v>139</v>
      </c>
      <c r="D31" s="1" t="s">
        <v>0</v>
      </c>
      <c r="E31" s="1" t="s">
        <v>41</v>
      </c>
      <c r="F31" s="1" t="s">
        <v>50</v>
      </c>
      <c r="G31" s="1" t="s">
        <v>50</v>
      </c>
      <c r="H31" s="1"/>
      <c r="I31" s="1" t="s">
        <v>50</v>
      </c>
      <c r="J31" s="1" t="s">
        <v>50</v>
      </c>
      <c r="K31" s="1" t="s">
        <v>50</v>
      </c>
      <c r="L31" s="1" t="s">
        <v>50</v>
      </c>
      <c r="M31" s="1" t="s">
        <v>50</v>
      </c>
      <c r="N31" s="1" t="s">
        <v>50</v>
      </c>
      <c r="O31" s="1" t="s">
        <v>50</v>
      </c>
      <c r="P31" s="1" t="s">
        <v>832</v>
      </c>
      <c r="Q31" s="1" t="s">
        <v>104</v>
      </c>
      <c r="R31" s="1" t="s">
        <v>104</v>
      </c>
      <c r="S31" s="1" t="s">
        <v>104</v>
      </c>
      <c r="T31" s="1" t="s">
        <v>104</v>
      </c>
      <c r="U31" s="1" t="s">
        <v>104</v>
      </c>
      <c r="V31" s="1" t="s">
        <v>104</v>
      </c>
      <c r="W31" s="1" t="s">
        <v>104</v>
      </c>
      <c r="X31" s="1" t="s">
        <v>2436</v>
      </c>
      <c r="Y31" s="1"/>
      <c r="Z31" s="8"/>
      <c r="AA31" s="8"/>
      <c r="AB31" s="8"/>
      <c r="AC31" s="8"/>
      <c r="AD31" s="8">
        <v>1</v>
      </c>
      <c r="AE31" s="8"/>
      <c r="AF31" s="8"/>
      <c r="AG31" s="8"/>
      <c r="AH31" s="8">
        <v>1</v>
      </c>
      <c r="AI31" s="8"/>
      <c r="AJ31" s="8"/>
      <c r="AK31" s="8"/>
      <c r="AL31" s="8"/>
      <c r="AM31" s="8"/>
      <c r="AN31" s="8"/>
      <c r="AO31" s="8"/>
      <c r="AP31" s="8"/>
      <c r="AQ31" s="8"/>
      <c r="AR31" s="8">
        <v>1</v>
      </c>
      <c r="AS31" s="8"/>
      <c r="AT31" s="8">
        <v>1</v>
      </c>
      <c r="AU31" s="8"/>
      <c r="AV31" s="8"/>
      <c r="AW31" s="8"/>
      <c r="AX31" s="8"/>
      <c r="AY31" s="8"/>
      <c r="AZ31" s="8"/>
      <c r="BA31" s="8"/>
      <c r="BB31" s="1">
        <v>1</v>
      </c>
      <c r="BL31" s="58"/>
      <c r="BP31" t="str">
        <f t="shared" si="0"/>
        <v>DarkSound</v>
      </c>
      <c r="BQ31" t="s">
        <v>2</v>
      </c>
      <c r="BR31">
        <v>1</v>
      </c>
    </row>
    <row r="32" spans="1:70" x14ac:dyDescent="0.25">
      <c r="A32">
        <f t="shared" si="1"/>
        <v>31</v>
      </c>
      <c r="B32" t="s">
        <v>140</v>
      </c>
      <c r="D32" s="1" t="s">
        <v>0</v>
      </c>
      <c r="E32" s="1" t="s">
        <v>41</v>
      </c>
      <c r="F32" s="1" t="s">
        <v>50</v>
      </c>
      <c r="G32" s="1" t="s">
        <v>50</v>
      </c>
      <c r="H32" s="1"/>
      <c r="I32" s="1" t="s">
        <v>50</v>
      </c>
      <c r="J32" s="1" t="s">
        <v>50</v>
      </c>
      <c r="K32" s="1" t="s">
        <v>50</v>
      </c>
      <c r="L32" s="1" t="s">
        <v>50</v>
      </c>
      <c r="M32" s="1" t="s">
        <v>104</v>
      </c>
      <c r="N32" s="1" t="s">
        <v>50</v>
      </c>
      <c r="O32" s="1" t="s">
        <v>50</v>
      </c>
      <c r="P32" s="1" t="s">
        <v>832</v>
      </c>
      <c r="Q32" s="1" t="s">
        <v>104</v>
      </c>
      <c r="R32" s="1" t="s">
        <v>104</v>
      </c>
      <c r="S32" s="1" t="s">
        <v>104</v>
      </c>
      <c r="T32" s="1" t="s">
        <v>104</v>
      </c>
      <c r="U32" s="1" t="s">
        <v>104</v>
      </c>
      <c r="V32" s="1" t="s">
        <v>104</v>
      </c>
      <c r="W32" s="1" t="s">
        <v>104</v>
      </c>
      <c r="X32" s="1" t="s">
        <v>2436</v>
      </c>
      <c r="Y32" s="1"/>
      <c r="Z32" s="8"/>
      <c r="AA32" s="8"/>
      <c r="AB32" s="8"/>
      <c r="AC32" s="8"/>
      <c r="AD32" s="8">
        <v>1</v>
      </c>
      <c r="AE32" s="8"/>
      <c r="AF32" s="8"/>
      <c r="AG32" s="8"/>
      <c r="AH32" s="8">
        <v>1</v>
      </c>
      <c r="AI32" s="8"/>
      <c r="AJ32" s="8"/>
      <c r="AK32" s="8"/>
      <c r="AL32" s="8"/>
      <c r="AM32" s="8"/>
      <c r="AN32" s="8"/>
      <c r="AO32" s="8"/>
      <c r="AP32" s="8"/>
      <c r="AQ32" s="8"/>
      <c r="AR32" s="8">
        <v>1</v>
      </c>
      <c r="AS32" s="8"/>
      <c r="AT32" s="8">
        <v>1</v>
      </c>
      <c r="AU32" s="8"/>
      <c r="AV32" s="8"/>
      <c r="AW32" s="8"/>
      <c r="AX32" s="8"/>
      <c r="AY32" s="8"/>
      <c r="AZ32" s="8"/>
      <c r="BA32" s="8"/>
      <c r="BB32" s="1">
        <v>2</v>
      </c>
      <c r="BL32" s="58"/>
      <c r="BP32" t="str">
        <f t="shared" si="0"/>
        <v>DarkSound</v>
      </c>
      <c r="BQ32" t="s">
        <v>2</v>
      </c>
      <c r="BR32">
        <v>1</v>
      </c>
    </row>
    <row r="33" spans="1:70" x14ac:dyDescent="0.25">
      <c r="A33">
        <f t="shared" si="1"/>
        <v>32</v>
      </c>
      <c r="B33" t="s">
        <v>141</v>
      </c>
      <c r="D33" s="1" t="s">
        <v>0</v>
      </c>
      <c r="E33" s="1" t="s">
        <v>41</v>
      </c>
      <c r="F33" s="1" t="s">
        <v>50</v>
      </c>
      <c r="G33" s="1" t="s">
        <v>50</v>
      </c>
      <c r="H33" s="1" t="s">
        <v>50</v>
      </c>
      <c r="I33" s="1" t="s">
        <v>50</v>
      </c>
      <c r="J33" s="1" t="s">
        <v>50</v>
      </c>
      <c r="K33" s="1" t="s">
        <v>50</v>
      </c>
      <c r="L33" s="1" t="s">
        <v>50</v>
      </c>
      <c r="M33" s="1" t="s">
        <v>104</v>
      </c>
      <c r="N33" s="1" t="s">
        <v>50</v>
      </c>
      <c r="O33" s="1" t="s">
        <v>50</v>
      </c>
      <c r="P33" s="1" t="s">
        <v>832</v>
      </c>
      <c r="Q33" s="1" t="s">
        <v>104</v>
      </c>
      <c r="R33" s="1" t="s">
        <v>104</v>
      </c>
      <c r="S33" s="1" t="s">
        <v>104</v>
      </c>
      <c r="T33" s="1" t="s">
        <v>104</v>
      </c>
      <c r="U33" s="1" t="s">
        <v>104</v>
      </c>
      <c r="V33" s="1" t="s">
        <v>104</v>
      </c>
      <c r="W33" s="1" t="s">
        <v>104</v>
      </c>
      <c r="X33" s="1" t="s">
        <v>2436</v>
      </c>
      <c r="Y33" s="1"/>
      <c r="Z33" s="8"/>
      <c r="AA33" s="8"/>
      <c r="AB33" s="8"/>
      <c r="AC33" s="8"/>
      <c r="AD33" s="8">
        <v>1</v>
      </c>
      <c r="AE33" s="8"/>
      <c r="AF33" s="8"/>
      <c r="AG33" s="8"/>
      <c r="AH33" s="8">
        <v>1</v>
      </c>
      <c r="AI33" s="8"/>
      <c r="AJ33" s="8"/>
      <c r="AK33" s="8"/>
      <c r="AL33" s="8"/>
      <c r="AM33" s="8"/>
      <c r="AN33" s="8"/>
      <c r="AO33" s="8"/>
      <c r="AP33" s="8"/>
      <c r="AQ33" s="8"/>
      <c r="AR33" s="8">
        <v>1</v>
      </c>
      <c r="AS33" s="8"/>
      <c r="AT33" s="8">
        <v>1</v>
      </c>
      <c r="AU33" s="8"/>
      <c r="AV33" s="8"/>
      <c r="AW33" s="8"/>
      <c r="AX33" s="8"/>
      <c r="AY33" s="8"/>
      <c r="AZ33" s="8"/>
      <c r="BA33" s="8"/>
      <c r="BB33" s="1"/>
      <c r="BJ33">
        <v>2</v>
      </c>
      <c r="BL33" s="58"/>
      <c r="BP33" t="str">
        <f t="shared" si="0"/>
        <v>DarkSound</v>
      </c>
      <c r="BR33">
        <v>2</v>
      </c>
    </row>
    <row r="34" spans="1:70" x14ac:dyDescent="0.25">
      <c r="A34">
        <f t="shared" si="1"/>
        <v>33</v>
      </c>
      <c r="B34" t="s">
        <v>142</v>
      </c>
      <c r="D34" s="1" t="s">
        <v>8</v>
      </c>
      <c r="E34" s="1" t="s">
        <v>11</v>
      </c>
      <c r="F34" s="1" t="s">
        <v>50</v>
      </c>
      <c r="G34" s="1" t="s">
        <v>50</v>
      </c>
      <c r="H34" s="1"/>
      <c r="I34" s="1" t="s">
        <v>50</v>
      </c>
      <c r="J34" s="1" t="s">
        <v>50</v>
      </c>
      <c r="K34" s="1" t="s">
        <v>50</v>
      </c>
      <c r="L34" s="1" t="s">
        <v>50</v>
      </c>
      <c r="M34" s="1" t="s">
        <v>50</v>
      </c>
      <c r="N34" s="1" t="s">
        <v>50</v>
      </c>
      <c r="O34" s="1" t="s">
        <v>50</v>
      </c>
      <c r="P34" s="1" t="s">
        <v>832</v>
      </c>
      <c r="Q34" s="1" t="s">
        <v>104</v>
      </c>
      <c r="R34" s="1" t="s">
        <v>104</v>
      </c>
      <c r="S34" s="1" t="s">
        <v>104</v>
      </c>
      <c r="T34" s="1" t="s">
        <v>104</v>
      </c>
      <c r="U34" s="1" t="s">
        <v>104</v>
      </c>
      <c r="V34" s="1" t="s">
        <v>104</v>
      </c>
      <c r="W34" s="1" t="s">
        <v>104</v>
      </c>
      <c r="X34" s="1" t="s">
        <v>727</v>
      </c>
      <c r="Y34" s="1"/>
      <c r="Z34" s="8"/>
      <c r="AA34" s="8"/>
      <c r="AB34" s="8"/>
      <c r="AC34" s="8"/>
      <c r="AD34" s="8"/>
      <c r="AE34" s="8">
        <v>1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>
        <v>1</v>
      </c>
      <c r="AZ34" s="8"/>
      <c r="BA34" s="8"/>
      <c r="BB34" s="1">
        <v>1</v>
      </c>
      <c r="BL34" s="58"/>
      <c r="BP34" t="str">
        <f t="shared" si="0"/>
        <v>GroundGrass</v>
      </c>
      <c r="BQ34" t="s">
        <v>2</v>
      </c>
      <c r="BR34">
        <v>1</v>
      </c>
    </row>
    <row r="35" spans="1:70" x14ac:dyDescent="0.25">
      <c r="A35">
        <f t="shared" si="1"/>
        <v>34</v>
      </c>
      <c r="B35" t="s">
        <v>143</v>
      </c>
      <c r="D35" s="1" t="s">
        <v>8</v>
      </c>
      <c r="E35" s="1" t="s">
        <v>11</v>
      </c>
      <c r="F35" s="1" t="s">
        <v>50</v>
      </c>
      <c r="G35" s="1" t="s">
        <v>50</v>
      </c>
      <c r="H35" s="1" t="s">
        <v>50</v>
      </c>
      <c r="I35" s="1" t="s">
        <v>50</v>
      </c>
      <c r="J35" s="1" t="s">
        <v>50</v>
      </c>
      <c r="K35" s="1" t="s">
        <v>50</v>
      </c>
      <c r="L35" s="1" t="s">
        <v>50</v>
      </c>
      <c r="M35" s="1" t="s">
        <v>104</v>
      </c>
      <c r="N35" s="1" t="s">
        <v>50</v>
      </c>
      <c r="O35" s="1" t="s">
        <v>50</v>
      </c>
      <c r="P35" s="1" t="s">
        <v>832</v>
      </c>
      <c r="Q35" s="1" t="s">
        <v>104</v>
      </c>
      <c r="R35" s="1" t="s">
        <v>104</v>
      </c>
      <c r="S35" s="1" t="s">
        <v>104</v>
      </c>
      <c r="T35" s="1" t="s">
        <v>104</v>
      </c>
      <c r="U35" s="1" t="s">
        <v>104</v>
      </c>
      <c r="V35" s="1" t="s">
        <v>104</v>
      </c>
      <c r="W35" s="1" t="s">
        <v>104</v>
      </c>
      <c r="X35" s="1" t="s">
        <v>727</v>
      </c>
      <c r="Y35" s="1"/>
      <c r="Z35" s="8"/>
      <c r="AA35" s="8"/>
      <c r="AB35" s="8"/>
      <c r="AC35" s="8"/>
      <c r="AD35" s="8"/>
      <c r="AE35" s="8">
        <v>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>
        <v>1</v>
      </c>
      <c r="AZ35" s="8"/>
      <c r="BA35" s="8"/>
      <c r="BB35" s="1"/>
      <c r="BJ35">
        <v>3</v>
      </c>
      <c r="BL35" s="58"/>
      <c r="BP35" t="str">
        <f t="shared" si="0"/>
        <v>GroundGrass</v>
      </c>
      <c r="BR35">
        <v>4</v>
      </c>
    </row>
    <row r="36" spans="1:70" x14ac:dyDescent="0.25">
      <c r="A36">
        <f t="shared" si="1"/>
        <v>35</v>
      </c>
      <c r="B36" t="s">
        <v>144</v>
      </c>
      <c r="D36" s="1" t="s">
        <v>11</v>
      </c>
      <c r="E36" s="1" t="s">
        <v>10</v>
      </c>
      <c r="F36" s="1" t="s">
        <v>50</v>
      </c>
      <c r="G36" s="1" t="s">
        <v>50</v>
      </c>
      <c r="H36" s="1"/>
      <c r="I36" s="1" t="s">
        <v>50</v>
      </c>
      <c r="J36" s="1" t="s">
        <v>50</v>
      </c>
      <c r="K36" s="1" t="s">
        <v>50</v>
      </c>
      <c r="L36" s="1" t="s">
        <v>50</v>
      </c>
      <c r="M36" s="1" t="s">
        <v>50</v>
      </c>
      <c r="N36" s="1" t="s">
        <v>50</v>
      </c>
      <c r="O36" s="1" t="s">
        <v>50</v>
      </c>
      <c r="P36" s="1" t="s">
        <v>832</v>
      </c>
      <c r="Q36" s="1" t="s">
        <v>104</v>
      </c>
      <c r="R36" s="1" t="s">
        <v>104</v>
      </c>
      <c r="S36" s="1" t="s">
        <v>104</v>
      </c>
      <c r="T36" s="1" t="s">
        <v>104</v>
      </c>
      <c r="U36" s="1" t="s">
        <v>104</v>
      </c>
      <c r="V36" s="1" t="s">
        <v>104</v>
      </c>
      <c r="W36" s="1" t="s">
        <v>104</v>
      </c>
      <c r="X36" s="1" t="s">
        <v>2436</v>
      </c>
      <c r="Y36" s="1"/>
      <c r="Z36" s="8"/>
      <c r="AA36" s="8"/>
      <c r="AB36" s="8">
        <v>1</v>
      </c>
      <c r="AC36" s="8">
        <v>1</v>
      </c>
      <c r="AD36" s="8"/>
      <c r="AE36" s="8"/>
      <c r="AF36" s="8"/>
      <c r="AG36" s="8"/>
      <c r="AH36" s="8"/>
      <c r="AI36" s="8">
        <v>1</v>
      </c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>
        <v>1</v>
      </c>
      <c r="BA36" s="8"/>
      <c r="BB36" s="1">
        <v>1</v>
      </c>
      <c r="BL36" s="58"/>
      <c r="BP36" t="str">
        <f t="shared" si="0"/>
        <v>GrassPoison</v>
      </c>
      <c r="BQ36" t="s">
        <v>2</v>
      </c>
      <c r="BR36">
        <v>5</v>
      </c>
    </row>
    <row r="37" spans="1:70" x14ac:dyDescent="0.25">
      <c r="A37">
        <f t="shared" si="1"/>
        <v>36</v>
      </c>
      <c r="B37" t="s">
        <v>376</v>
      </c>
      <c r="D37" s="1" t="s">
        <v>11</v>
      </c>
      <c r="E37" s="1" t="s">
        <v>10</v>
      </c>
      <c r="F37" s="1" t="s">
        <v>50</v>
      </c>
      <c r="G37" s="1" t="s">
        <v>50</v>
      </c>
      <c r="H37" s="1"/>
      <c r="I37" s="1" t="s">
        <v>50</v>
      </c>
      <c r="J37" s="1" t="s">
        <v>50</v>
      </c>
      <c r="K37" s="1" t="s">
        <v>50</v>
      </c>
      <c r="L37" s="1" t="s">
        <v>50</v>
      </c>
      <c r="M37" s="1" t="s">
        <v>104</v>
      </c>
      <c r="N37" s="1" t="s">
        <v>50</v>
      </c>
      <c r="O37" s="1" t="s">
        <v>50</v>
      </c>
      <c r="P37" s="1" t="s">
        <v>832</v>
      </c>
      <c r="Q37" s="1" t="s">
        <v>104</v>
      </c>
      <c r="R37" s="1" t="s">
        <v>104</v>
      </c>
      <c r="S37" s="1" t="s">
        <v>104</v>
      </c>
      <c r="T37" s="1" t="s">
        <v>104</v>
      </c>
      <c r="U37" s="1" t="s">
        <v>104</v>
      </c>
      <c r="V37" s="1" t="s">
        <v>104</v>
      </c>
      <c r="W37" s="1" t="s">
        <v>104</v>
      </c>
      <c r="X37" s="1" t="s">
        <v>2436</v>
      </c>
      <c r="Y37" s="1"/>
      <c r="Z37" s="8"/>
      <c r="AA37" s="8"/>
      <c r="AB37" s="8">
        <v>1</v>
      </c>
      <c r="AC37" s="8">
        <v>1</v>
      </c>
      <c r="AD37" s="8"/>
      <c r="AE37" s="8"/>
      <c r="AF37" s="8"/>
      <c r="AG37" s="8"/>
      <c r="AH37" s="8"/>
      <c r="AI37" s="8">
        <v>1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>
        <v>1</v>
      </c>
      <c r="BA37" s="8"/>
      <c r="BB37" s="1">
        <v>2</v>
      </c>
      <c r="BL37" s="58"/>
      <c r="BP37" t="str">
        <f t="shared" si="0"/>
        <v>GrassPoison</v>
      </c>
      <c r="BQ37" t="s">
        <v>2</v>
      </c>
      <c r="BR37">
        <v>5</v>
      </c>
    </row>
    <row r="38" spans="1:70" x14ac:dyDescent="0.25">
      <c r="A38">
        <f t="shared" si="1"/>
        <v>37</v>
      </c>
      <c r="B38" t="s">
        <v>377</v>
      </c>
      <c r="D38" s="1" t="s">
        <v>11</v>
      </c>
      <c r="E38" s="1" t="s">
        <v>10</v>
      </c>
      <c r="F38" s="1" t="s">
        <v>50</v>
      </c>
      <c r="G38" s="1" t="s">
        <v>50</v>
      </c>
      <c r="H38" s="1" t="s">
        <v>50</v>
      </c>
      <c r="I38" s="1" t="s">
        <v>50</v>
      </c>
      <c r="J38" s="1" t="s">
        <v>50</v>
      </c>
      <c r="K38" s="1" t="s">
        <v>50</v>
      </c>
      <c r="L38" s="1" t="s">
        <v>50</v>
      </c>
      <c r="M38" s="1" t="s">
        <v>104</v>
      </c>
      <c r="N38" s="1" t="s">
        <v>50</v>
      </c>
      <c r="O38" s="1" t="s">
        <v>50</v>
      </c>
      <c r="P38" s="1" t="s">
        <v>832</v>
      </c>
      <c r="Q38" s="1" t="s">
        <v>104</v>
      </c>
      <c r="R38" s="1" t="s">
        <v>104</v>
      </c>
      <c r="S38" s="1" t="s">
        <v>104</v>
      </c>
      <c r="T38" s="1" t="s">
        <v>104</v>
      </c>
      <c r="U38" s="1" t="s">
        <v>104</v>
      </c>
      <c r="V38" s="1" t="s">
        <v>104</v>
      </c>
      <c r="W38" s="1" t="s">
        <v>104</v>
      </c>
      <c r="X38" s="1" t="s">
        <v>2436</v>
      </c>
      <c r="Y38" s="1"/>
      <c r="Z38" s="8"/>
      <c r="AA38" s="8"/>
      <c r="AB38" s="8">
        <v>1</v>
      </c>
      <c r="AC38" s="8">
        <v>1</v>
      </c>
      <c r="AD38" s="8"/>
      <c r="AE38" s="8"/>
      <c r="AF38" s="8"/>
      <c r="AG38" s="8"/>
      <c r="AH38" s="8"/>
      <c r="AI38" s="8">
        <v>1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>
        <v>1</v>
      </c>
      <c r="BA38" s="8"/>
      <c r="BB38" s="1"/>
      <c r="BJ38">
        <v>5</v>
      </c>
      <c r="BK38">
        <v>1</v>
      </c>
      <c r="BL38" s="58"/>
      <c r="BP38" t="str">
        <f t="shared" si="0"/>
        <v>GrassPoison</v>
      </c>
      <c r="BR38">
        <v>5</v>
      </c>
    </row>
    <row r="39" spans="1:70" x14ac:dyDescent="0.25">
      <c r="A39">
        <f t="shared" si="1"/>
        <v>38</v>
      </c>
      <c r="B39" t="s">
        <v>145</v>
      </c>
      <c r="D39" s="1" t="s">
        <v>8</v>
      </c>
      <c r="E39" s="1">
        <v>0</v>
      </c>
      <c r="F39" s="1" t="s">
        <v>50</v>
      </c>
      <c r="G39" s="1" t="s">
        <v>50</v>
      </c>
      <c r="H39" s="1"/>
      <c r="I39" s="1" t="s">
        <v>50</v>
      </c>
      <c r="J39" s="1" t="s">
        <v>50</v>
      </c>
      <c r="K39" s="1" t="s">
        <v>50</v>
      </c>
      <c r="L39" s="1" t="s">
        <v>50</v>
      </c>
      <c r="M39" s="1" t="s">
        <v>50</v>
      </c>
      <c r="N39" s="1" t="s">
        <v>50</v>
      </c>
      <c r="O39" s="1" t="s">
        <v>50</v>
      </c>
      <c r="P39" s="1" t="s">
        <v>832</v>
      </c>
      <c r="Q39" s="1" t="s">
        <v>104</v>
      </c>
      <c r="R39" s="1" t="s">
        <v>104</v>
      </c>
      <c r="S39" s="1" t="s">
        <v>104</v>
      </c>
      <c r="T39" s="1" t="s">
        <v>104</v>
      </c>
      <c r="U39" s="1" t="s">
        <v>104</v>
      </c>
      <c r="V39" s="1" t="s">
        <v>104</v>
      </c>
      <c r="W39" s="1" t="s">
        <v>104</v>
      </c>
      <c r="X39" s="1" t="s">
        <v>727</v>
      </c>
      <c r="Y39" s="1"/>
      <c r="Z39" s="8"/>
      <c r="AA39" s="8"/>
      <c r="AB39" s="8"/>
      <c r="AC39" s="8"/>
      <c r="AD39" s="8"/>
      <c r="AE39" s="8">
        <v>1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1">
        <v>1</v>
      </c>
      <c r="BL39" s="58"/>
      <c r="BP39" t="str">
        <f t="shared" si="0"/>
        <v>Ground0</v>
      </c>
      <c r="BQ39" t="s">
        <v>2</v>
      </c>
      <c r="BR39">
        <v>3</v>
      </c>
    </row>
    <row r="40" spans="1:70" x14ac:dyDescent="0.25">
      <c r="A40">
        <f t="shared" si="1"/>
        <v>39</v>
      </c>
      <c r="B40" t="s">
        <v>146</v>
      </c>
      <c r="D40" s="1" t="s">
        <v>8</v>
      </c>
      <c r="E40" s="1">
        <v>0</v>
      </c>
      <c r="F40" s="1" t="s">
        <v>50</v>
      </c>
      <c r="G40" s="1" t="s">
        <v>50</v>
      </c>
      <c r="H40" s="1" t="s">
        <v>50</v>
      </c>
      <c r="I40" s="1" t="s">
        <v>50</v>
      </c>
      <c r="J40" s="1" t="s">
        <v>50</v>
      </c>
      <c r="K40" s="1" t="s">
        <v>50</v>
      </c>
      <c r="L40" s="1" t="s">
        <v>50</v>
      </c>
      <c r="M40" s="1" t="s">
        <v>104</v>
      </c>
      <c r="N40" s="1" t="s">
        <v>50</v>
      </c>
      <c r="O40" s="1" t="s">
        <v>50</v>
      </c>
      <c r="P40" s="1" t="s">
        <v>832</v>
      </c>
      <c r="Q40" s="1" t="s">
        <v>104</v>
      </c>
      <c r="R40" s="1" t="s">
        <v>104</v>
      </c>
      <c r="S40" s="1" t="s">
        <v>104</v>
      </c>
      <c r="T40" s="1" t="s">
        <v>104</v>
      </c>
      <c r="U40" s="1" t="s">
        <v>104</v>
      </c>
      <c r="V40" s="1" t="s">
        <v>104</v>
      </c>
      <c r="W40" s="1" t="s">
        <v>104</v>
      </c>
      <c r="X40" s="1" t="s">
        <v>727</v>
      </c>
      <c r="Y40" s="1"/>
      <c r="Z40" s="8"/>
      <c r="AA40" s="8"/>
      <c r="AB40" s="8"/>
      <c r="AC40" s="8"/>
      <c r="AD40" s="8"/>
      <c r="AE40" s="8">
        <v>1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1"/>
      <c r="BL40" s="58">
        <v>1</v>
      </c>
      <c r="BP40" t="str">
        <f t="shared" si="0"/>
        <v>Ground0</v>
      </c>
      <c r="BR40">
        <v>3</v>
      </c>
    </row>
    <row r="41" spans="1:70" x14ac:dyDescent="0.25">
      <c r="A41">
        <f t="shared" si="1"/>
        <v>40</v>
      </c>
      <c r="B41" t="s">
        <v>147</v>
      </c>
      <c r="D41" s="1" t="s">
        <v>0</v>
      </c>
      <c r="E41" s="1" t="s">
        <v>10</v>
      </c>
      <c r="F41" s="1" t="s">
        <v>50</v>
      </c>
      <c r="G41" s="1" t="s">
        <v>50</v>
      </c>
      <c r="H41" s="1"/>
      <c r="I41" s="1" t="s">
        <v>50</v>
      </c>
      <c r="J41" s="1" t="s">
        <v>50</v>
      </c>
      <c r="K41" s="1" t="s">
        <v>50</v>
      </c>
      <c r="L41" s="1" t="s">
        <v>50</v>
      </c>
      <c r="M41" s="1" t="s">
        <v>50</v>
      </c>
      <c r="N41" s="1" t="s">
        <v>50</v>
      </c>
      <c r="O41" s="1" t="s">
        <v>50</v>
      </c>
      <c r="P41" s="1" t="s">
        <v>832</v>
      </c>
      <c r="Q41" s="1" t="s">
        <v>104</v>
      </c>
      <c r="R41" s="1" t="s">
        <v>104</v>
      </c>
      <c r="S41" s="1" t="s">
        <v>104</v>
      </c>
      <c r="T41" s="1" t="s">
        <v>104</v>
      </c>
      <c r="U41" s="1" t="s">
        <v>104</v>
      </c>
      <c r="V41" s="1" t="s">
        <v>104</v>
      </c>
      <c r="W41" s="1" t="s">
        <v>104</v>
      </c>
      <c r="X41" s="1" t="s">
        <v>2442</v>
      </c>
      <c r="Y41" s="1"/>
      <c r="Z41" s="8">
        <v>1</v>
      </c>
      <c r="AA41" s="8">
        <v>1</v>
      </c>
      <c r="AB41" s="8">
        <v>1</v>
      </c>
      <c r="AC41" s="8">
        <v>1</v>
      </c>
      <c r="AD41" s="8">
        <v>1</v>
      </c>
      <c r="AE41" s="8"/>
      <c r="AF41" s="8">
        <v>1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>
        <v>1</v>
      </c>
      <c r="AZ41" s="8">
        <v>1</v>
      </c>
      <c r="BA41" s="8"/>
      <c r="BB41" s="1">
        <v>1</v>
      </c>
      <c r="BL41" s="58"/>
      <c r="BP41" t="str">
        <f t="shared" si="0"/>
        <v>DarkPoison</v>
      </c>
      <c r="BQ41" t="s">
        <v>2</v>
      </c>
      <c r="BR41">
        <v>2</v>
      </c>
    </row>
    <row r="42" spans="1:70" x14ac:dyDescent="0.25">
      <c r="A42">
        <f t="shared" si="1"/>
        <v>41</v>
      </c>
      <c r="B42" t="s">
        <v>378</v>
      </c>
      <c r="D42" s="1" t="s">
        <v>0</v>
      </c>
      <c r="E42" s="1" t="s">
        <v>10</v>
      </c>
      <c r="F42" s="1" t="s">
        <v>50</v>
      </c>
      <c r="G42" s="1" t="s">
        <v>50</v>
      </c>
      <c r="H42" s="1" t="s">
        <v>50</v>
      </c>
      <c r="I42" s="1" t="s">
        <v>50</v>
      </c>
      <c r="J42" s="1" t="s">
        <v>50</v>
      </c>
      <c r="K42" s="1" t="s">
        <v>50</v>
      </c>
      <c r="L42" s="1" t="s">
        <v>50</v>
      </c>
      <c r="M42" s="1" t="s">
        <v>104</v>
      </c>
      <c r="N42" s="1" t="s">
        <v>50</v>
      </c>
      <c r="O42" s="1" t="s">
        <v>50</v>
      </c>
      <c r="P42" s="1" t="s">
        <v>832</v>
      </c>
      <c r="Q42" s="1" t="s">
        <v>104</v>
      </c>
      <c r="R42" s="1" t="s">
        <v>104</v>
      </c>
      <c r="S42" s="1" t="s">
        <v>104</v>
      </c>
      <c r="T42" s="1" t="s">
        <v>104</v>
      </c>
      <c r="U42" s="1" t="s">
        <v>104</v>
      </c>
      <c r="V42" s="1" t="s">
        <v>104</v>
      </c>
      <c r="W42" s="1" t="s">
        <v>104</v>
      </c>
      <c r="X42" s="1" t="s">
        <v>2442</v>
      </c>
      <c r="Y42" s="1"/>
      <c r="Z42" s="8">
        <v>1</v>
      </c>
      <c r="AA42" s="8">
        <v>1</v>
      </c>
      <c r="AB42" s="8">
        <v>1</v>
      </c>
      <c r="AC42" s="8">
        <v>1</v>
      </c>
      <c r="AD42" s="8">
        <v>1</v>
      </c>
      <c r="AE42" s="8"/>
      <c r="AF42" s="8">
        <v>1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>
        <v>1</v>
      </c>
      <c r="AZ42" s="8">
        <v>1</v>
      </c>
      <c r="BA42" s="8"/>
      <c r="BB42" s="1"/>
      <c r="BJ42">
        <v>1</v>
      </c>
      <c r="BL42" s="58"/>
      <c r="BP42" t="str">
        <f t="shared" si="0"/>
        <v>DarkPoison</v>
      </c>
      <c r="BR42">
        <v>2</v>
      </c>
    </row>
    <row r="43" spans="1:70" x14ac:dyDescent="0.25">
      <c r="A43">
        <f t="shared" si="1"/>
        <v>42</v>
      </c>
      <c r="B43" t="s">
        <v>148</v>
      </c>
      <c r="D43" s="1" t="s">
        <v>3</v>
      </c>
      <c r="E43" s="1" t="s">
        <v>4</v>
      </c>
      <c r="F43" s="1" t="s">
        <v>50</v>
      </c>
      <c r="G43" s="1" t="s">
        <v>50</v>
      </c>
      <c r="H43" s="1"/>
      <c r="I43" s="1" t="s">
        <v>50</v>
      </c>
      <c r="J43" s="1" t="s">
        <v>50</v>
      </c>
      <c r="K43" s="1" t="s">
        <v>50</v>
      </c>
      <c r="L43" s="1" t="s">
        <v>50</v>
      </c>
      <c r="M43" s="1" t="s">
        <v>50</v>
      </c>
      <c r="N43" s="1" t="s">
        <v>50</v>
      </c>
      <c r="O43" s="1" t="s">
        <v>50</v>
      </c>
      <c r="P43" s="1" t="s">
        <v>832</v>
      </c>
      <c r="Q43" s="1" t="s">
        <v>104</v>
      </c>
      <c r="R43" s="1" t="s">
        <v>104</v>
      </c>
      <c r="S43" s="1" t="s">
        <v>104</v>
      </c>
      <c r="T43" s="1" t="s">
        <v>104</v>
      </c>
      <c r="U43" s="1" t="s">
        <v>104</v>
      </c>
      <c r="V43" s="1" t="s">
        <v>104</v>
      </c>
      <c r="W43" s="1" t="s">
        <v>104</v>
      </c>
      <c r="X43" s="1" t="s">
        <v>727</v>
      </c>
      <c r="Y43" s="1"/>
      <c r="Z43" s="8"/>
      <c r="AA43" s="8"/>
      <c r="AB43" s="8"/>
      <c r="AC43" s="8"/>
      <c r="AD43" s="8"/>
      <c r="AE43" s="8"/>
      <c r="AF43" s="8"/>
      <c r="AG43" s="8">
        <v>1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>
        <v>1</v>
      </c>
      <c r="AT43" s="8"/>
      <c r="AU43" s="8">
        <v>1</v>
      </c>
      <c r="AV43" s="8"/>
      <c r="AW43" s="8"/>
      <c r="AX43" s="8"/>
      <c r="AY43" s="8"/>
      <c r="AZ43" s="8"/>
      <c r="BA43" s="8"/>
      <c r="BB43" s="1"/>
      <c r="BL43" s="58"/>
      <c r="BP43" t="str">
        <f t="shared" si="0"/>
        <v>ElectricPsychic</v>
      </c>
      <c r="BQ43" t="s">
        <v>2</v>
      </c>
      <c r="BR43">
        <v>3</v>
      </c>
    </row>
    <row r="44" spans="1:70" x14ac:dyDescent="0.25">
      <c r="A44">
        <f t="shared" si="1"/>
        <v>43</v>
      </c>
      <c r="B44" t="s">
        <v>379</v>
      </c>
      <c r="D44" s="1" t="s">
        <v>3</v>
      </c>
      <c r="E44" s="1" t="s">
        <v>4</v>
      </c>
      <c r="F44" s="1" t="s">
        <v>50</v>
      </c>
      <c r="G44" s="1" t="s">
        <v>50</v>
      </c>
      <c r="H44" s="1" t="s">
        <v>50</v>
      </c>
      <c r="I44" s="1" t="s">
        <v>50</v>
      </c>
      <c r="J44" s="1" t="s">
        <v>50</v>
      </c>
      <c r="K44" s="1" t="s">
        <v>50</v>
      </c>
      <c r="L44" s="1" t="s">
        <v>50</v>
      </c>
      <c r="M44" s="1" t="s">
        <v>104</v>
      </c>
      <c r="N44" s="1" t="s">
        <v>50</v>
      </c>
      <c r="O44" s="1" t="s">
        <v>50</v>
      </c>
      <c r="P44" s="1" t="s">
        <v>832</v>
      </c>
      <c r="Q44" s="1" t="s">
        <v>104</v>
      </c>
      <c r="R44" s="1" t="s">
        <v>104</v>
      </c>
      <c r="S44" s="1" t="s">
        <v>104</v>
      </c>
      <c r="T44" s="1" t="s">
        <v>104</v>
      </c>
      <c r="U44" s="1" t="s">
        <v>104</v>
      </c>
      <c r="V44" s="1" t="s">
        <v>104</v>
      </c>
      <c r="W44" s="1" t="s">
        <v>104</v>
      </c>
      <c r="X44" s="1" t="s">
        <v>727</v>
      </c>
      <c r="Y44" s="1"/>
      <c r="Z44" s="8"/>
      <c r="AA44" s="8"/>
      <c r="AB44" s="8"/>
      <c r="AC44" s="8"/>
      <c r="AD44" s="8"/>
      <c r="AE44" s="8"/>
      <c r="AF44" s="8"/>
      <c r="AG44" s="8">
        <v>1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>
        <v>1</v>
      </c>
      <c r="AT44" s="8"/>
      <c r="AU44" s="8">
        <v>1</v>
      </c>
      <c r="AV44" s="8"/>
      <c r="AW44" s="8"/>
      <c r="AX44" s="8"/>
      <c r="AY44" s="8"/>
      <c r="AZ44" s="8"/>
      <c r="BA44" s="8"/>
      <c r="BB44" s="1"/>
      <c r="BJ44">
        <v>4</v>
      </c>
      <c r="BK44">
        <v>1</v>
      </c>
      <c r="BL44" s="58"/>
      <c r="BP44" t="str">
        <f t="shared" si="0"/>
        <v>ElectricPsychic</v>
      </c>
      <c r="BR44">
        <v>3</v>
      </c>
    </row>
    <row r="45" spans="1:70" x14ac:dyDescent="0.25">
      <c r="A45">
        <f t="shared" si="1"/>
        <v>44</v>
      </c>
      <c r="B45" t="s">
        <v>149</v>
      </c>
      <c r="D45" s="1" t="s">
        <v>5</v>
      </c>
      <c r="E45" s="1" t="s">
        <v>0</v>
      </c>
      <c r="F45" s="1" t="s">
        <v>50</v>
      </c>
      <c r="G45" s="1" t="s">
        <v>50</v>
      </c>
      <c r="H45" s="1"/>
      <c r="I45" s="1" t="s">
        <v>50</v>
      </c>
      <c r="J45" s="1" t="s">
        <v>50</v>
      </c>
      <c r="K45" s="1" t="s">
        <v>50</v>
      </c>
      <c r="L45" s="1" t="s">
        <v>50</v>
      </c>
      <c r="M45" s="1" t="s">
        <v>50</v>
      </c>
      <c r="N45" s="1" t="s">
        <v>50</v>
      </c>
      <c r="O45" s="1" t="s">
        <v>50</v>
      </c>
      <c r="P45" s="1" t="s">
        <v>832</v>
      </c>
      <c r="Q45" s="1" t="s">
        <v>104</v>
      </c>
      <c r="R45" s="1" t="s">
        <v>104</v>
      </c>
      <c r="S45" s="1" t="s">
        <v>104</v>
      </c>
      <c r="T45" s="1" t="s">
        <v>104</v>
      </c>
      <c r="U45" s="1" t="s">
        <v>104</v>
      </c>
      <c r="V45" s="1" t="s">
        <v>104</v>
      </c>
      <c r="W45" s="1" t="s">
        <v>104</v>
      </c>
      <c r="X45" s="1" t="s">
        <v>2121</v>
      </c>
      <c r="Y45" s="1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>
        <v>1</v>
      </c>
      <c r="AP45" s="8">
        <v>1</v>
      </c>
      <c r="AQ45" s="8">
        <v>1</v>
      </c>
      <c r="AR45" s="8">
        <v>1</v>
      </c>
      <c r="AS45" s="8"/>
      <c r="AT45" s="8"/>
      <c r="AU45" s="8"/>
      <c r="AV45" s="8"/>
      <c r="AW45" s="8"/>
      <c r="AX45" s="8">
        <v>1</v>
      </c>
      <c r="AY45" s="8"/>
      <c r="AZ45" s="8"/>
      <c r="BA45" s="8"/>
      <c r="BB45" s="1">
        <v>1</v>
      </c>
      <c r="BL45" s="58"/>
      <c r="BP45" t="str">
        <f t="shared" si="0"/>
        <v>IceDark</v>
      </c>
      <c r="BQ45" t="s">
        <v>2</v>
      </c>
      <c r="BR45">
        <v>5</v>
      </c>
    </row>
    <row r="46" spans="1:70" x14ac:dyDescent="0.25">
      <c r="A46">
        <f t="shared" si="1"/>
        <v>45</v>
      </c>
      <c r="B46" t="s">
        <v>150</v>
      </c>
      <c r="D46" s="1" t="s">
        <v>5</v>
      </c>
      <c r="E46" s="1" t="s">
        <v>0</v>
      </c>
      <c r="F46" s="1" t="s">
        <v>50</v>
      </c>
      <c r="G46" s="1" t="s">
        <v>50</v>
      </c>
      <c r="H46" s="1" t="s">
        <v>50</v>
      </c>
      <c r="I46" s="1" t="s">
        <v>50</v>
      </c>
      <c r="J46" s="1" t="s">
        <v>50</v>
      </c>
      <c r="K46" s="1" t="s">
        <v>50</v>
      </c>
      <c r="L46" s="1" t="s">
        <v>50</v>
      </c>
      <c r="M46" s="1" t="s">
        <v>104</v>
      </c>
      <c r="N46" s="1" t="s">
        <v>50</v>
      </c>
      <c r="O46" s="1" t="s">
        <v>50</v>
      </c>
      <c r="P46" s="1" t="s">
        <v>832</v>
      </c>
      <c r="Q46" s="1" t="s">
        <v>104</v>
      </c>
      <c r="R46" s="1" t="s">
        <v>104</v>
      </c>
      <c r="S46" s="1" t="s">
        <v>104</v>
      </c>
      <c r="T46" s="1" t="s">
        <v>104</v>
      </c>
      <c r="U46" s="1" t="s">
        <v>104</v>
      </c>
      <c r="V46" s="1" t="s">
        <v>104</v>
      </c>
      <c r="W46" s="1" t="s">
        <v>104</v>
      </c>
      <c r="X46" s="1" t="s">
        <v>2121</v>
      </c>
      <c r="Y46" s="1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>
        <v>1</v>
      </c>
      <c r="AP46" s="8">
        <v>1</v>
      </c>
      <c r="AQ46" s="8">
        <v>1</v>
      </c>
      <c r="AR46" s="8">
        <v>1</v>
      </c>
      <c r="AS46" s="8"/>
      <c r="AT46" s="8"/>
      <c r="AU46" s="8"/>
      <c r="AV46" s="8"/>
      <c r="AW46" s="8"/>
      <c r="AX46" s="8">
        <v>1</v>
      </c>
      <c r="AY46" s="8"/>
      <c r="AZ46" s="8"/>
      <c r="BA46" s="8"/>
      <c r="BB46" s="1"/>
      <c r="BJ46">
        <v>4</v>
      </c>
      <c r="BK46">
        <v>2</v>
      </c>
      <c r="BL46" s="58"/>
      <c r="BP46" t="str">
        <f t="shared" si="0"/>
        <v>IceDark</v>
      </c>
      <c r="BR46">
        <v>5</v>
      </c>
    </row>
    <row r="47" spans="1:70" x14ac:dyDescent="0.25">
      <c r="A47">
        <f t="shared" si="1"/>
        <v>46</v>
      </c>
      <c r="B47" t="s">
        <v>380</v>
      </c>
      <c r="D47" s="1" t="s">
        <v>44</v>
      </c>
      <c r="E47" s="1" t="s">
        <v>16</v>
      </c>
      <c r="F47" s="1" t="s">
        <v>50</v>
      </c>
      <c r="G47" s="1" t="s">
        <v>50</v>
      </c>
      <c r="H47" s="1"/>
      <c r="I47" s="1" t="s">
        <v>50</v>
      </c>
      <c r="J47" s="1" t="s">
        <v>50</v>
      </c>
      <c r="K47" s="1" t="s">
        <v>50</v>
      </c>
      <c r="L47" s="1" t="s">
        <v>50</v>
      </c>
      <c r="M47" s="1" t="s">
        <v>50</v>
      </c>
      <c r="N47" s="1" t="s">
        <v>50</v>
      </c>
      <c r="O47" s="1" t="s">
        <v>50</v>
      </c>
      <c r="P47" s="1" t="s">
        <v>832</v>
      </c>
      <c r="Q47" s="1" t="s">
        <v>104</v>
      </c>
      <c r="R47" s="1" t="s">
        <v>104</v>
      </c>
      <c r="S47" s="1" t="s">
        <v>104</v>
      </c>
      <c r="T47" s="1" t="s">
        <v>104</v>
      </c>
      <c r="U47" s="1" t="s">
        <v>104</v>
      </c>
      <c r="V47" s="1" t="s">
        <v>104</v>
      </c>
      <c r="W47" s="1" t="s">
        <v>104</v>
      </c>
      <c r="X47" s="1" t="s">
        <v>2119</v>
      </c>
      <c r="Y47" s="1"/>
      <c r="Z47" s="8">
        <v>1</v>
      </c>
      <c r="AA47" s="8"/>
      <c r="AB47" s="8"/>
      <c r="AC47" s="8"/>
      <c r="AD47" s="8"/>
      <c r="AE47" s="8"/>
      <c r="AF47" s="8"/>
      <c r="AG47" s="8"/>
      <c r="AH47" s="8"/>
      <c r="AI47" s="8">
        <v>1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1">
        <v>1</v>
      </c>
      <c r="BL47" s="58"/>
      <c r="BP47" t="str">
        <f t="shared" si="0"/>
        <v>LightFlying</v>
      </c>
      <c r="BQ47" t="s">
        <v>2</v>
      </c>
      <c r="BR47">
        <v>5</v>
      </c>
    </row>
    <row r="48" spans="1:70" x14ac:dyDescent="0.25">
      <c r="A48">
        <f t="shared" si="1"/>
        <v>47</v>
      </c>
      <c r="B48" t="s">
        <v>151</v>
      </c>
      <c r="D48" s="1" t="s">
        <v>44</v>
      </c>
      <c r="E48" s="1" t="s">
        <v>16</v>
      </c>
      <c r="F48" s="1" t="s">
        <v>50</v>
      </c>
      <c r="G48" s="1" t="s">
        <v>50</v>
      </c>
      <c r="H48" s="1" t="s">
        <v>50</v>
      </c>
      <c r="I48" s="1" t="s">
        <v>50</v>
      </c>
      <c r="J48" s="1" t="s">
        <v>50</v>
      </c>
      <c r="K48" s="1" t="s">
        <v>50</v>
      </c>
      <c r="L48" s="1" t="s">
        <v>50</v>
      </c>
      <c r="M48" s="1" t="s">
        <v>104</v>
      </c>
      <c r="N48" s="1" t="s">
        <v>50</v>
      </c>
      <c r="O48" s="1" t="s">
        <v>50</v>
      </c>
      <c r="P48" s="1" t="s">
        <v>832</v>
      </c>
      <c r="Q48" s="1" t="s">
        <v>104</v>
      </c>
      <c r="R48" s="1" t="s">
        <v>104</v>
      </c>
      <c r="S48" s="1" t="s">
        <v>104</v>
      </c>
      <c r="T48" s="1" t="s">
        <v>104</v>
      </c>
      <c r="U48" s="1" t="s">
        <v>104</v>
      </c>
      <c r="V48" s="1" t="s">
        <v>104</v>
      </c>
      <c r="W48" s="1" t="s">
        <v>104</v>
      </c>
      <c r="X48" s="1" t="s">
        <v>2119</v>
      </c>
      <c r="Y48" s="1"/>
      <c r="Z48" s="8">
        <v>1</v>
      </c>
      <c r="AA48" s="8"/>
      <c r="AB48" s="8"/>
      <c r="AC48" s="8"/>
      <c r="AD48" s="8"/>
      <c r="AE48" s="8"/>
      <c r="AF48" s="8"/>
      <c r="AG48" s="8"/>
      <c r="AH48" s="8"/>
      <c r="AI48" s="8">
        <v>1</v>
      </c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1"/>
      <c r="BJ48">
        <v>3</v>
      </c>
      <c r="BL48" s="58"/>
      <c r="BP48" t="str">
        <f t="shared" si="0"/>
        <v>LightFlying</v>
      </c>
      <c r="BR48">
        <v>5</v>
      </c>
    </row>
    <row r="49" spans="1:70" x14ac:dyDescent="0.25">
      <c r="A49">
        <f t="shared" si="1"/>
        <v>48</v>
      </c>
      <c r="B49" t="s">
        <v>152</v>
      </c>
      <c r="D49" s="1" t="s">
        <v>6</v>
      </c>
      <c r="E49" s="1" t="s">
        <v>4</v>
      </c>
      <c r="F49" s="1" t="s">
        <v>50</v>
      </c>
      <c r="G49" s="1" t="s">
        <v>50</v>
      </c>
      <c r="H49" s="1"/>
      <c r="I49" s="1" t="s">
        <v>50</v>
      </c>
      <c r="J49" s="1" t="s">
        <v>50</v>
      </c>
      <c r="K49" s="1" t="s">
        <v>50</v>
      </c>
      <c r="L49" s="1" t="s">
        <v>50</v>
      </c>
      <c r="M49" s="1" t="s">
        <v>50</v>
      </c>
      <c r="N49" s="1" t="s">
        <v>50</v>
      </c>
      <c r="O49" s="1" t="s">
        <v>50</v>
      </c>
      <c r="P49" s="1" t="s">
        <v>818</v>
      </c>
      <c r="Q49" s="1" t="s">
        <v>104</v>
      </c>
      <c r="R49" s="1" t="s">
        <v>104</v>
      </c>
      <c r="S49" s="1" t="s">
        <v>104</v>
      </c>
      <c r="T49" s="1" t="s">
        <v>104</v>
      </c>
      <c r="U49" s="1" t="s">
        <v>104</v>
      </c>
      <c r="V49" s="1" t="s">
        <v>104</v>
      </c>
      <c r="W49" s="1" t="s">
        <v>104</v>
      </c>
      <c r="X49" s="1" t="s">
        <v>2156</v>
      </c>
      <c r="Y49" s="1"/>
      <c r="Z49" s="8"/>
      <c r="AA49" s="8"/>
      <c r="AB49" s="8"/>
      <c r="AC49" s="8"/>
      <c r="AD49" s="8"/>
      <c r="AE49" s="8"/>
      <c r="AF49" s="8"/>
      <c r="AG49" s="8">
        <v>1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>
        <v>1</v>
      </c>
      <c r="AT49" s="8"/>
      <c r="AU49" s="8">
        <v>1</v>
      </c>
      <c r="AV49" s="8"/>
      <c r="AW49" s="8"/>
      <c r="AX49" s="8"/>
      <c r="AY49" s="8"/>
      <c r="AZ49" s="8"/>
      <c r="BA49" s="8"/>
      <c r="BB49" s="1">
        <v>1</v>
      </c>
      <c r="BL49" s="58"/>
      <c r="BP49" t="str">
        <f t="shared" si="0"/>
        <v>SteelPsychic</v>
      </c>
      <c r="BQ49" t="s">
        <v>2</v>
      </c>
      <c r="BR49">
        <v>5</v>
      </c>
    </row>
    <row r="50" spans="1:70" x14ac:dyDescent="0.25">
      <c r="A50">
        <f t="shared" si="1"/>
        <v>49</v>
      </c>
      <c r="B50" t="s">
        <v>153</v>
      </c>
      <c r="D50" s="1" t="s">
        <v>6</v>
      </c>
      <c r="E50" s="1" t="s">
        <v>4</v>
      </c>
      <c r="F50" s="1" t="s">
        <v>50</v>
      </c>
      <c r="G50" s="1" t="s">
        <v>50</v>
      </c>
      <c r="H50" s="1" t="s">
        <v>50</v>
      </c>
      <c r="I50" s="1" t="s">
        <v>50</v>
      </c>
      <c r="J50" s="1" t="s">
        <v>50</v>
      </c>
      <c r="K50" s="1" t="s">
        <v>50</v>
      </c>
      <c r="L50" s="1" t="s">
        <v>50</v>
      </c>
      <c r="M50" s="1" t="s">
        <v>104</v>
      </c>
      <c r="N50" s="1" t="s">
        <v>50</v>
      </c>
      <c r="O50" s="1" t="s">
        <v>50</v>
      </c>
      <c r="P50" s="13" t="s">
        <v>818</v>
      </c>
      <c r="Q50" s="1" t="s">
        <v>50</v>
      </c>
      <c r="R50" s="1" t="s">
        <v>50</v>
      </c>
      <c r="S50" s="1" t="s">
        <v>50</v>
      </c>
      <c r="T50" s="1" t="s">
        <v>50</v>
      </c>
      <c r="U50" s="1" t="s">
        <v>50</v>
      </c>
      <c r="V50" s="1" t="s">
        <v>50</v>
      </c>
      <c r="W50" s="1" t="s">
        <v>50</v>
      </c>
      <c r="X50" s="1" t="s">
        <v>2155</v>
      </c>
      <c r="Y50" s="1"/>
      <c r="Z50" s="8"/>
      <c r="AA50" s="8"/>
      <c r="AB50" s="8"/>
      <c r="AC50" s="8"/>
      <c r="AD50" s="8"/>
      <c r="AE50" s="8"/>
      <c r="AF50" s="8"/>
      <c r="AG50" s="8">
        <v>1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>
        <v>1</v>
      </c>
      <c r="AT50" s="8"/>
      <c r="AU50" s="8">
        <v>1</v>
      </c>
      <c r="AV50" s="8"/>
      <c r="AW50" s="8"/>
      <c r="AX50" s="8"/>
      <c r="AY50" s="8"/>
      <c r="AZ50" s="8"/>
      <c r="BA50" s="8"/>
      <c r="BB50" s="1">
        <v>4</v>
      </c>
      <c r="BJ50">
        <v>1</v>
      </c>
      <c r="BL50" s="58"/>
      <c r="BP50" t="str">
        <f t="shared" si="0"/>
        <v>SteelPsychic</v>
      </c>
      <c r="BR50">
        <v>5</v>
      </c>
    </row>
    <row r="51" spans="1:70" x14ac:dyDescent="0.25">
      <c r="A51">
        <f t="shared" si="1"/>
        <v>50</v>
      </c>
      <c r="B51" t="s">
        <v>154</v>
      </c>
      <c r="D51" s="1" t="s">
        <v>14</v>
      </c>
      <c r="E51" s="1" t="s">
        <v>11</v>
      </c>
      <c r="F51" s="1" t="s">
        <v>50</v>
      </c>
      <c r="G51" s="1" t="s">
        <v>50</v>
      </c>
      <c r="H51" s="1"/>
      <c r="I51" s="1" t="s">
        <v>50</v>
      </c>
      <c r="J51" s="1" t="s">
        <v>50</v>
      </c>
      <c r="K51" s="1" t="s">
        <v>50</v>
      </c>
      <c r="L51" s="1" t="s">
        <v>50</v>
      </c>
      <c r="M51" s="1" t="s">
        <v>50</v>
      </c>
      <c r="N51" s="1" t="s">
        <v>50</v>
      </c>
      <c r="O51" s="1" t="s">
        <v>50</v>
      </c>
      <c r="P51" s="13" t="s">
        <v>514</v>
      </c>
      <c r="Q51" s="1" t="s">
        <v>104</v>
      </c>
      <c r="R51" s="1" t="s">
        <v>104</v>
      </c>
      <c r="S51" s="1" t="s">
        <v>104</v>
      </c>
      <c r="T51" s="1" t="s">
        <v>104</v>
      </c>
      <c r="U51" s="1" t="s">
        <v>104</v>
      </c>
      <c r="V51" s="1" t="s">
        <v>104</v>
      </c>
      <c r="W51" s="1" t="s">
        <v>104</v>
      </c>
      <c r="X51" s="1" t="s">
        <v>2326</v>
      </c>
      <c r="Y51" s="1"/>
      <c r="AA51" s="8"/>
      <c r="AB51" s="8"/>
      <c r="AC51" s="8"/>
      <c r="AD51" s="8">
        <v>1</v>
      </c>
      <c r="AE51" s="8"/>
      <c r="AF51" s="8"/>
      <c r="AG51" s="8"/>
      <c r="AH51" s="8">
        <v>1</v>
      </c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>
        <v>1</v>
      </c>
      <c r="AW51" s="8"/>
      <c r="AX51" s="8"/>
      <c r="AY51" s="8">
        <v>1</v>
      </c>
      <c r="AZ51" s="8"/>
      <c r="BA51" s="8"/>
      <c r="BB51" s="1">
        <v>1</v>
      </c>
      <c r="BL51" s="58"/>
      <c r="BP51" t="str">
        <f t="shared" si="0"/>
        <v>GhostGrass</v>
      </c>
      <c r="BQ51" t="s">
        <v>2</v>
      </c>
      <c r="BR51">
        <v>7</v>
      </c>
    </row>
    <row r="52" spans="1:70" x14ac:dyDescent="0.25">
      <c r="A52">
        <f t="shared" si="1"/>
        <v>51</v>
      </c>
      <c r="B52" t="s">
        <v>155</v>
      </c>
      <c r="D52" s="1" t="s">
        <v>14</v>
      </c>
      <c r="E52" s="1" t="s">
        <v>11</v>
      </c>
      <c r="F52" s="1" t="s">
        <v>50</v>
      </c>
      <c r="G52" s="1" t="s">
        <v>50</v>
      </c>
      <c r="H52" s="1" t="s">
        <v>50</v>
      </c>
      <c r="I52" s="1" t="s">
        <v>50</v>
      </c>
      <c r="J52" s="1" t="s">
        <v>50</v>
      </c>
      <c r="K52" s="1" t="s">
        <v>50</v>
      </c>
      <c r="L52" s="1" t="s">
        <v>50</v>
      </c>
      <c r="M52" s="1" t="s">
        <v>104</v>
      </c>
      <c r="N52" s="1" t="s">
        <v>50</v>
      </c>
      <c r="O52" s="1" t="s">
        <v>50</v>
      </c>
      <c r="P52" s="13" t="s">
        <v>514</v>
      </c>
      <c r="Q52" s="1" t="s">
        <v>104</v>
      </c>
      <c r="R52" s="1" t="s">
        <v>104</v>
      </c>
      <c r="S52" s="1" t="s">
        <v>104</v>
      </c>
      <c r="T52" s="1" t="s">
        <v>104</v>
      </c>
      <c r="U52" s="1" t="s">
        <v>104</v>
      </c>
      <c r="V52" s="1" t="s">
        <v>104</v>
      </c>
      <c r="W52" s="1" t="s">
        <v>104</v>
      </c>
      <c r="X52" s="1" t="s">
        <v>2326</v>
      </c>
      <c r="Y52" s="1"/>
      <c r="AA52" s="8"/>
      <c r="AB52" s="8"/>
      <c r="AC52" s="8"/>
      <c r="AD52" s="8">
        <v>1</v>
      </c>
      <c r="AE52" s="8"/>
      <c r="AF52" s="8"/>
      <c r="AG52" s="8"/>
      <c r="AH52" s="8">
        <v>1</v>
      </c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>
        <v>1</v>
      </c>
      <c r="AW52" s="8"/>
      <c r="AX52" s="8"/>
      <c r="AY52" s="8">
        <v>1</v>
      </c>
      <c r="AZ52" s="8"/>
      <c r="BA52" s="8"/>
      <c r="BB52" s="1"/>
      <c r="BJ52">
        <v>3</v>
      </c>
      <c r="BK52">
        <v>2</v>
      </c>
      <c r="BL52" s="58"/>
      <c r="BP52" t="str">
        <f t="shared" si="0"/>
        <v>GhostGrass</v>
      </c>
      <c r="BR52">
        <v>7</v>
      </c>
    </row>
    <row r="53" spans="1:70" x14ac:dyDescent="0.25">
      <c r="A53">
        <f t="shared" si="1"/>
        <v>52</v>
      </c>
      <c r="B53" t="s">
        <v>156</v>
      </c>
      <c r="D53" s="1" t="s">
        <v>17</v>
      </c>
      <c r="E53" s="1" t="s">
        <v>3</v>
      </c>
      <c r="F53" s="1" t="s">
        <v>50</v>
      </c>
      <c r="G53" s="1" t="s">
        <v>50</v>
      </c>
      <c r="H53" s="1"/>
      <c r="I53" s="1" t="s">
        <v>50</v>
      </c>
      <c r="J53" s="1" t="s">
        <v>50</v>
      </c>
      <c r="K53" s="1" t="s">
        <v>50</v>
      </c>
      <c r="L53" s="1" t="s">
        <v>50</v>
      </c>
      <c r="M53" s="1" t="s">
        <v>50</v>
      </c>
      <c r="N53" s="1" t="s">
        <v>50</v>
      </c>
      <c r="O53" s="1" t="s">
        <v>50</v>
      </c>
      <c r="P53" s="13" t="s">
        <v>1796</v>
      </c>
      <c r="Q53" s="1" t="s">
        <v>104</v>
      </c>
      <c r="R53" s="1" t="s">
        <v>104</v>
      </c>
      <c r="S53" s="1" t="s">
        <v>104</v>
      </c>
      <c r="T53" s="1" t="s">
        <v>104</v>
      </c>
      <c r="U53" s="1" t="s">
        <v>104</v>
      </c>
      <c r="V53" s="1" t="s">
        <v>104</v>
      </c>
      <c r="W53" s="1" t="s">
        <v>104</v>
      </c>
      <c r="X53" s="1" t="s">
        <v>2329</v>
      </c>
      <c r="Y53" s="1"/>
      <c r="Z53" s="8"/>
      <c r="AA53" s="8"/>
      <c r="AB53" s="8">
        <v>1</v>
      </c>
      <c r="AC53" s="8">
        <v>1</v>
      </c>
      <c r="AD53" s="8"/>
      <c r="AE53" s="8">
        <v>1</v>
      </c>
      <c r="AF53" s="8">
        <v>1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>
        <v>1</v>
      </c>
      <c r="AT53" s="8"/>
      <c r="AU53" s="8"/>
      <c r="AV53" s="8"/>
      <c r="AW53" s="8"/>
      <c r="AX53" s="8"/>
      <c r="AY53" s="8">
        <v>1</v>
      </c>
      <c r="AZ53" s="8"/>
      <c r="BA53" s="8"/>
      <c r="BB53" s="1"/>
      <c r="BL53" s="58"/>
      <c r="BP53" t="str">
        <f t="shared" si="0"/>
        <v>BugElectric</v>
      </c>
      <c r="BQ53" t="s">
        <v>2</v>
      </c>
      <c r="BR53">
        <v>5</v>
      </c>
    </row>
    <row r="54" spans="1:70" x14ac:dyDescent="0.25">
      <c r="A54">
        <f t="shared" si="1"/>
        <v>53</v>
      </c>
      <c r="B54" t="s">
        <v>157</v>
      </c>
      <c r="D54" s="1" t="s">
        <v>17</v>
      </c>
      <c r="E54" s="1" t="s">
        <v>3</v>
      </c>
      <c r="F54" s="1" t="s">
        <v>50</v>
      </c>
      <c r="G54" s="1" t="s">
        <v>50</v>
      </c>
      <c r="H54" s="1" t="s">
        <v>50</v>
      </c>
      <c r="I54" s="1" t="s">
        <v>50</v>
      </c>
      <c r="J54" s="1" t="s">
        <v>50</v>
      </c>
      <c r="K54" s="1" t="s">
        <v>50</v>
      </c>
      <c r="L54" s="1" t="s">
        <v>50</v>
      </c>
      <c r="M54" s="1" t="s">
        <v>104</v>
      </c>
      <c r="N54" s="1" t="s">
        <v>50</v>
      </c>
      <c r="O54" s="1" t="s">
        <v>50</v>
      </c>
      <c r="P54" s="13" t="s">
        <v>1796</v>
      </c>
      <c r="Q54" s="1" t="s">
        <v>104</v>
      </c>
      <c r="R54" s="1" t="s">
        <v>104</v>
      </c>
      <c r="S54" s="1" t="s">
        <v>104</v>
      </c>
      <c r="T54" s="1" t="s">
        <v>104</v>
      </c>
      <c r="U54" s="1" t="s">
        <v>104</v>
      </c>
      <c r="V54" s="1" t="s">
        <v>104</v>
      </c>
      <c r="W54" s="1" t="s">
        <v>104</v>
      </c>
      <c r="X54" s="1" t="s">
        <v>2329</v>
      </c>
      <c r="Y54" s="1"/>
      <c r="Z54" s="8"/>
      <c r="AA54" s="8"/>
      <c r="AB54" s="8">
        <v>1</v>
      </c>
      <c r="AC54" s="8">
        <v>1</v>
      </c>
      <c r="AD54" s="8"/>
      <c r="AE54" s="8">
        <v>1</v>
      </c>
      <c r="AF54" s="8">
        <v>1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>
        <v>1</v>
      </c>
      <c r="AT54" s="8"/>
      <c r="AU54" s="8"/>
      <c r="AV54" s="8"/>
      <c r="AW54" s="8"/>
      <c r="AX54" s="8"/>
      <c r="AY54" s="8">
        <v>1</v>
      </c>
      <c r="AZ54" s="8"/>
      <c r="BA54" s="8"/>
      <c r="BB54" s="1"/>
      <c r="BJ54">
        <v>11</v>
      </c>
      <c r="BK54">
        <v>4</v>
      </c>
      <c r="BL54" s="58"/>
      <c r="BP54" t="str">
        <f t="shared" si="0"/>
        <v>BugElectric</v>
      </c>
      <c r="BR54">
        <v>5</v>
      </c>
    </row>
    <row r="55" spans="1:70" x14ac:dyDescent="0.25">
      <c r="A55">
        <f t="shared" si="1"/>
        <v>54</v>
      </c>
      <c r="B55" t="s">
        <v>158</v>
      </c>
      <c r="D55" s="1" t="s">
        <v>5</v>
      </c>
      <c r="E55" s="1" t="s">
        <v>11</v>
      </c>
      <c r="F55" s="1" t="s">
        <v>50</v>
      </c>
      <c r="G55" s="1" t="s">
        <v>50</v>
      </c>
      <c r="H55" s="1" t="s">
        <v>50</v>
      </c>
      <c r="I55" s="1" t="s">
        <v>50</v>
      </c>
      <c r="J55" s="1" t="s">
        <v>50</v>
      </c>
      <c r="K55" s="1" t="s">
        <v>50</v>
      </c>
      <c r="L55" s="1" t="s">
        <v>50</v>
      </c>
      <c r="M55" s="1" t="s">
        <v>50</v>
      </c>
      <c r="N55" s="1" t="s">
        <v>50</v>
      </c>
      <c r="O55" s="1" t="s">
        <v>50</v>
      </c>
      <c r="P55" s="13" t="s">
        <v>807</v>
      </c>
      <c r="Q55" s="1" t="s">
        <v>104</v>
      </c>
      <c r="R55" s="1" t="s">
        <v>104</v>
      </c>
      <c r="S55" s="1" t="s">
        <v>104</v>
      </c>
      <c r="T55" s="1" t="s">
        <v>104</v>
      </c>
      <c r="U55" s="1" t="s">
        <v>104</v>
      </c>
      <c r="V55" s="1" t="s">
        <v>104</v>
      </c>
      <c r="W55" s="1" t="s">
        <v>104</v>
      </c>
      <c r="X55" s="1" t="s">
        <v>2436</v>
      </c>
      <c r="Y55" s="1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>
        <v>1</v>
      </c>
      <c r="AP55" s="8">
        <v>1</v>
      </c>
      <c r="AQ55" s="8">
        <v>1</v>
      </c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1"/>
      <c r="BJ55">
        <v>2</v>
      </c>
      <c r="BL55" s="58"/>
      <c r="BP55" t="str">
        <f t="shared" si="0"/>
        <v>IceGrass</v>
      </c>
      <c r="BR55">
        <v>2</v>
      </c>
    </row>
    <row r="56" spans="1:70" x14ac:dyDescent="0.25">
      <c r="A56">
        <f t="shared" si="1"/>
        <v>55</v>
      </c>
      <c r="B56" t="s">
        <v>159</v>
      </c>
      <c r="D56" s="1" t="s">
        <v>3</v>
      </c>
      <c r="E56" s="1" t="s">
        <v>0</v>
      </c>
      <c r="F56" s="1" t="s">
        <v>50</v>
      </c>
      <c r="G56" s="1" t="s">
        <v>50</v>
      </c>
      <c r="H56" s="1"/>
      <c r="I56" s="1" t="s">
        <v>50</v>
      </c>
      <c r="J56" s="1" t="s">
        <v>50</v>
      </c>
      <c r="K56" s="1" t="s">
        <v>50</v>
      </c>
      <c r="L56" s="1" t="s">
        <v>50</v>
      </c>
      <c r="M56" s="1" t="s">
        <v>50</v>
      </c>
      <c r="N56" s="1" t="s">
        <v>50</v>
      </c>
      <c r="O56" s="1" t="s">
        <v>50</v>
      </c>
      <c r="P56" s="1" t="s">
        <v>832</v>
      </c>
      <c r="Q56" s="1" t="s">
        <v>104</v>
      </c>
      <c r="R56" s="1" t="s">
        <v>104</v>
      </c>
      <c r="S56" s="1" t="s">
        <v>104</v>
      </c>
      <c r="T56" s="1" t="s">
        <v>104</v>
      </c>
      <c r="U56" s="1" t="s">
        <v>104</v>
      </c>
      <c r="V56" s="1" t="s">
        <v>104</v>
      </c>
      <c r="W56" s="1" t="s">
        <v>104</v>
      </c>
      <c r="X56" s="1" t="s">
        <v>727</v>
      </c>
      <c r="Y56" s="1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>
        <v>1</v>
      </c>
      <c r="AM56" s="8">
        <v>1</v>
      </c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1">
        <v>1</v>
      </c>
      <c r="BL56" s="58"/>
      <c r="BP56" t="str">
        <f t="shared" si="0"/>
        <v>ElectricDark</v>
      </c>
      <c r="BQ56" t="s">
        <v>2</v>
      </c>
      <c r="BR56">
        <v>1</v>
      </c>
    </row>
    <row r="57" spans="1:70" x14ac:dyDescent="0.25">
      <c r="A57">
        <f t="shared" si="1"/>
        <v>56</v>
      </c>
      <c r="B57" t="s">
        <v>381</v>
      </c>
      <c r="D57" s="1" t="s">
        <v>3</v>
      </c>
      <c r="E57" s="1" t="s">
        <v>0</v>
      </c>
      <c r="F57" s="1" t="s">
        <v>50</v>
      </c>
      <c r="G57" s="1" t="s">
        <v>50</v>
      </c>
      <c r="H57" s="1" t="s">
        <v>50</v>
      </c>
      <c r="I57" s="1" t="s">
        <v>50</v>
      </c>
      <c r="J57" s="1" t="s">
        <v>50</v>
      </c>
      <c r="K57" s="1" t="s">
        <v>50</v>
      </c>
      <c r="L57" s="1" t="s">
        <v>50</v>
      </c>
      <c r="M57" s="1" t="s">
        <v>104</v>
      </c>
      <c r="N57" s="1" t="s">
        <v>50</v>
      </c>
      <c r="O57" s="1" t="s">
        <v>50</v>
      </c>
      <c r="P57" s="1" t="s">
        <v>832</v>
      </c>
      <c r="Q57" s="1" t="s">
        <v>50</v>
      </c>
      <c r="R57" s="1" t="s">
        <v>50</v>
      </c>
      <c r="S57" s="1" t="s">
        <v>50</v>
      </c>
      <c r="T57" s="1" t="s">
        <v>50</v>
      </c>
      <c r="U57" s="1" t="s">
        <v>50</v>
      </c>
      <c r="V57" s="1" t="s">
        <v>50</v>
      </c>
      <c r="W57" s="1" t="s">
        <v>50</v>
      </c>
      <c r="X57" s="1" t="s">
        <v>727</v>
      </c>
      <c r="Y57" s="1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>
        <v>1</v>
      </c>
      <c r="AM57" s="8">
        <v>1</v>
      </c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1"/>
      <c r="BJ57">
        <v>7</v>
      </c>
      <c r="BK57">
        <v>5</v>
      </c>
      <c r="BL57" s="58"/>
      <c r="BP57" t="str">
        <f t="shared" si="0"/>
        <v>ElectricDark</v>
      </c>
      <c r="BR57">
        <v>1</v>
      </c>
    </row>
    <row r="58" spans="1:70" x14ac:dyDescent="0.25">
      <c r="A58">
        <f t="shared" si="1"/>
        <v>57</v>
      </c>
      <c r="B58" t="s">
        <v>160</v>
      </c>
      <c r="D58" s="1" t="s">
        <v>9</v>
      </c>
      <c r="E58" s="1">
        <v>0</v>
      </c>
      <c r="F58" s="1" t="s">
        <v>50</v>
      </c>
      <c r="G58" s="1" t="s">
        <v>50</v>
      </c>
      <c r="H58" s="1"/>
      <c r="I58" s="1" t="s">
        <v>50</v>
      </c>
      <c r="J58" s="1" t="s">
        <v>50</v>
      </c>
      <c r="K58" s="1" t="s">
        <v>50</v>
      </c>
      <c r="L58" s="1" t="s">
        <v>50</v>
      </c>
      <c r="M58" s="1" t="s">
        <v>50</v>
      </c>
      <c r="N58" s="1" t="s">
        <v>50</v>
      </c>
      <c r="O58" s="1" t="s">
        <v>50</v>
      </c>
      <c r="P58" s="1" t="s">
        <v>2056</v>
      </c>
      <c r="Q58" s="1" t="s">
        <v>104</v>
      </c>
      <c r="R58" s="1" t="s">
        <v>104</v>
      </c>
      <c r="S58" s="1" t="s">
        <v>104</v>
      </c>
      <c r="T58" s="1" t="s">
        <v>104</v>
      </c>
      <c r="U58" s="1" t="s">
        <v>104</v>
      </c>
      <c r="V58" s="1" t="s">
        <v>104</v>
      </c>
      <c r="W58" s="1" t="s">
        <v>104</v>
      </c>
      <c r="X58" s="1" t="s">
        <v>727</v>
      </c>
      <c r="Y58" s="1"/>
      <c r="Z58" s="8"/>
      <c r="AA58" s="8"/>
      <c r="AB58" s="8"/>
      <c r="AC58" s="8"/>
      <c r="AD58" s="8">
        <v>1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>
        <v>1</v>
      </c>
      <c r="AY58" s="8">
        <v>1</v>
      </c>
      <c r="AZ58" s="8"/>
      <c r="BA58" s="8"/>
      <c r="BB58" s="1"/>
      <c r="BL58" s="58"/>
      <c r="BP58" t="str">
        <f t="shared" si="0"/>
        <v>Rock0</v>
      </c>
      <c r="BQ58" t="s">
        <v>2</v>
      </c>
      <c r="BR58">
        <v>6</v>
      </c>
    </row>
    <row r="59" spans="1:70" x14ac:dyDescent="0.25">
      <c r="A59">
        <f t="shared" si="1"/>
        <v>58</v>
      </c>
      <c r="B59" t="s">
        <v>161</v>
      </c>
      <c r="D59" s="1" t="s">
        <v>9</v>
      </c>
      <c r="E59" s="1">
        <v>0</v>
      </c>
      <c r="F59" s="1" t="s">
        <v>50</v>
      </c>
      <c r="G59" s="1" t="s">
        <v>50</v>
      </c>
      <c r="H59" s="1" t="s">
        <v>50</v>
      </c>
      <c r="I59" s="1" t="s">
        <v>50</v>
      </c>
      <c r="J59" s="1" t="s">
        <v>50</v>
      </c>
      <c r="K59" s="1" t="s">
        <v>50</v>
      </c>
      <c r="L59" s="1" t="s">
        <v>50</v>
      </c>
      <c r="M59" s="1" t="s">
        <v>104</v>
      </c>
      <c r="N59" s="1" t="s">
        <v>50</v>
      </c>
      <c r="O59" s="1" t="s">
        <v>50</v>
      </c>
      <c r="P59" s="1" t="s">
        <v>2056</v>
      </c>
      <c r="Q59" s="1" t="s">
        <v>50</v>
      </c>
      <c r="R59" s="1" t="s">
        <v>50</v>
      </c>
      <c r="S59" s="1" t="s">
        <v>50</v>
      </c>
      <c r="T59" s="1" t="s">
        <v>50</v>
      </c>
      <c r="U59" s="1" t="s">
        <v>50</v>
      </c>
      <c r="V59" s="1" t="s">
        <v>50</v>
      </c>
      <c r="W59" s="1" t="s">
        <v>50</v>
      </c>
      <c r="X59" s="1" t="s">
        <v>2072</v>
      </c>
      <c r="Y59" s="1"/>
      <c r="Z59" s="8"/>
      <c r="AA59" s="8"/>
      <c r="AB59" s="8"/>
      <c r="AC59" s="8"/>
      <c r="AD59" s="8">
        <v>1</v>
      </c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>
        <v>1</v>
      </c>
      <c r="AY59" s="8">
        <v>1</v>
      </c>
      <c r="AZ59" s="8"/>
      <c r="BA59" s="8"/>
      <c r="BB59" s="1"/>
      <c r="BJ59">
        <v>3</v>
      </c>
      <c r="BK59">
        <v>2</v>
      </c>
      <c r="BL59" s="58"/>
      <c r="BP59" t="str">
        <f t="shared" si="0"/>
        <v>Rock0</v>
      </c>
      <c r="BR59">
        <v>6</v>
      </c>
    </row>
    <row r="60" spans="1:70" x14ac:dyDescent="0.25">
      <c r="A60">
        <f t="shared" si="1"/>
        <v>59</v>
      </c>
      <c r="B60" t="s">
        <v>382</v>
      </c>
      <c r="D60" s="1" t="s">
        <v>17</v>
      </c>
      <c r="E60" s="1" t="s">
        <v>6</v>
      </c>
      <c r="F60" s="1" t="s">
        <v>50</v>
      </c>
      <c r="G60" s="1" t="s">
        <v>50</v>
      </c>
      <c r="H60" s="1"/>
      <c r="I60" s="1" t="s">
        <v>50</v>
      </c>
      <c r="J60" s="1" t="s">
        <v>50</v>
      </c>
      <c r="K60" s="1" t="s">
        <v>50</v>
      </c>
      <c r="L60" s="1" t="s">
        <v>50</v>
      </c>
      <c r="M60" s="1" t="s">
        <v>50</v>
      </c>
      <c r="N60" s="1" t="s">
        <v>50</v>
      </c>
      <c r="O60" s="1" t="s">
        <v>50</v>
      </c>
      <c r="P60" s="1" t="s">
        <v>832</v>
      </c>
      <c r="Q60" s="1" t="s">
        <v>104</v>
      </c>
      <c r="R60" s="1" t="s">
        <v>104</v>
      </c>
      <c r="S60" s="1" t="s">
        <v>104</v>
      </c>
      <c r="T60" s="1" t="s">
        <v>104</v>
      </c>
      <c r="U60" s="1" t="s">
        <v>104</v>
      </c>
      <c r="V60" s="1" t="s">
        <v>104</v>
      </c>
      <c r="W60" s="1" t="s">
        <v>104</v>
      </c>
      <c r="X60" s="1" t="s">
        <v>727</v>
      </c>
      <c r="Y60" s="1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>
        <v>1</v>
      </c>
      <c r="AT60" s="8"/>
      <c r="AU60" s="8"/>
      <c r="AV60" s="8"/>
      <c r="AW60" s="8"/>
      <c r="AX60" s="8"/>
      <c r="AY60" s="8">
        <v>1</v>
      </c>
      <c r="AZ60" s="8"/>
      <c r="BA60" s="8"/>
      <c r="BB60" s="1"/>
      <c r="BL60" s="58"/>
      <c r="BP60" t="str">
        <f t="shared" si="0"/>
        <v>BugSteel</v>
      </c>
      <c r="BQ60" t="s">
        <v>2</v>
      </c>
      <c r="BR60">
        <v>2</v>
      </c>
    </row>
    <row r="61" spans="1:70" x14ac:dyDescent="0.25">
      <c r="A61">
        <f t="shared" si="1"/>
        <v>60</v>
      </c>
      <c r="B61" t="s">
        <v>383</v>
      </c>
      <c r="D61" s="1" t="s">
        <v>17</v>
      </c>
      <c r="E61" s="1" t="s">
        <v>6</v>
      </c>
      <c r="F61" s="1" t="s">
        <v>50</v>
      </c>
      <c r="G61" s="1" t="s">
        <v>50</v>
      </c>
      <c r="H61" s="1" t="s">
        <v>50</v>
      </c>
      <c r="I61" s="1" t="s">
        <v>50</v>
      </c>
      <c r="J61" s="1" t="s">
        <v>50</v>
      </c>
      <c r="K61" s="1" t="s">
        <v>50</v>
      </c>
      <c r="L61" s="1" t="s">
        <v>50</v>
      </c>
      <c r="M61" s="1" t="s">
        <v>104</v>
      </c>
      <c r="N61" s="1" t="s">
        <v>50</v>
      </c>
      <c r="O61" s="1" t="s">
        <v>50</v>
      </c>
      <c r="P61" s="1" t="s">
        <v>832</v>
      </c>
      <c r="Q61" s="1" t="s">
        <v>104</v>
      </c>
      <c r="R61" s="1" t="s">
        <v>104</v>
      </c>
      <c r="S61" s="1" t="s">
        <v>104</v>
      </c>
      <c r="T61" s="1" t="s">
        <v>104</v>
      </c>
      <c r="U61" s="1" t="s">
        <v>104</v>
      </c>
      <c r="V61" s="1" t="s">
        <v>104</v>
      </c>
      <c r="W61" s="1" t="s">
        <v>104</v>
      </c>
      <c r="X61" s="1" t="s">
        <v>727</v>
      </c>
      <c r="Y61" s="1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>
        <v>1</v>
      </c>
      <c r="AT61" s="8"/>
      <c r="AU61" s="8"/>
      <c r="AV61" s="8"/>
      <c r="AW61" s="8"/>
      <c r="AX61" s="8"/>
      <c r="AY61" s="8">
        <v>1</v>
      </c>
      <c r="AZ61" s="8"/>
      <c r="BA61" s="8"/>
      <c r="BB61" s="1"/>
      <c r="BJ61">
        <v>1</v>
      </c>
      <c r="BL61" s="58"/>
      <c r="BP61" t="str">
        <f t="shared" si="0"/>
        <v>BugSteel</v>
      </c>
      <c r="BR61">
        <v>2</v>
      </c>
    </row>
    <row r="62" spans="1:70" x14ac:dyDescent="0.25">
      <c r="A62">
        <f t="shared" si="1"/>
        <v>61</v>
      </c>
      <c r="B62" t="s">
        <v>162</v>
      </c>
      <c r="D62" s="1" t="s">
        <v>14</v>
      </c>
      <c r="E62" s="1" t="s">
        <v>13</v>
      </c>
      <c r="F62" s="1" t="s">
        <v>50</v>
      </c>
      <c r="G62" s="1" t="s">
        <v>50</v>
      </c>
      <c r="H62" s="1"/>
      <c r="I62" s="1" t="s">
        <v>50</v>
      </c>
      <c r="J62" s="1" t="s">
        <v>50</v>
      </c>
      <c r="K62" s="1" t="s">
        <v>50</v>
      </c>
      <c r="L62" s="1" t="s">
        <v>50</v>
      </c>
      <c r="M62" s="1" t="s">
        <v>50</v>
      </c>
      <c r="N62" s="1" t="s">
        <v>50</v>
      </c>
      <c r="O62" s="1" t="s">
        <v>50</v>
      </c>
      <c r="P62" s="13" t="s">
        <v>2263</v>
      </c>
      <c r="Q62" s="1" t="s">
        <v>104</v>
      </c>
      <c r="R62" s="1" t="s">
        <v>104</v>
      </c>
      <c r="S62" s="1" t="s">
        <v>104</v>
      </c>
      <c r="T62" s="1" t="s">
        <v>104</v>
      </c>
      <c r="U62" s="1" t="s">
        <v>104</v>
      </c>
      <c r="V62" s="1" t="s">
        <v>104</v>
      </c>
      <c r="W62" s="1" t="s">
        <v>104</v>
      </c>
      <c r="X62" s="1" t="s">
        <v>2119</v>
      </c>
      <c r="Y62" s="1"/>
      <c r="Z62" s="8">
        <v>1</v>
      </c>
      <c r="AA62" s="8"/>
      <c r="AB62" s="8"/>
      <c r="AC62" s="8"/>
      <c r="AD62" s="8"/>
      <c r="AE62" s="8"/>
      <c r="AF62" s="8"/>
      <c r="AG62" s="8"/>
      <c r="AH62" s="8">
        <v>1</v>
      </c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>
        <v>1</v>
      </c>
      <c r="AW62" s="8"/>
      <c r="AX62" s="8">
        <v>1</v>
      </c>
      <c r="AY62" s="8">
        <v>1</v>
      </c>
      <c r="AZ62" s="8"/>
      <c r="BA62" s="8"/>
      <c r="BB62" s="1"/>
      <c r="BL62" s="58"/>
      <c r="BP62" t="str">
        <f t="shared" si="0"/>
        <v>GhostFire</v>
      </c>
      <c r="BQ62" t="s">
        <v>2</v>
      </c>
      <c r="BR62">
        <v>1</v>
      </c>
    </row>
    <row r="63" spans="1:70" x14ac:dyDescent="0.25">
      <c r="A63">
        <f t="shared" si="1"/>
        <v>62</v>
      </c>
      <c r="B63" t="s">
        <v>384</v>
      </c>
      <c r="D63" s="1" t="s">
        <v>14</v>
      </c>
      <c r="E63" s="1" t="s">
        <v>13</v>
      </c>
      <c r="F63" s="1" t="s">
        <v>50</v>
      </c>
      <c r="G63" s="1" t="s">
        <v>50</v>
      </c>
      <c r="H63" s="1" t="s">
        <v>50</v>
      </c>
      <c r="I63" s="1" t="s">
        <v>50</v>
      </c>
      <c r="J63" s="1" t="s">
        <v>50</v>
      </c>
      <c r="K63" s="1" t="s">
        <v>50</v>
      </c>
      <c r="L63" s="1" t="s">
        <v>50</v>
      </c>
      <c r="M63" s="1" t="s">
        <v>104</v>
      </c>
      <c r="N63" s="1" t="s">
        <v>50</v>
      </c>
      <c r="O63" s="1" t="s">
        <v>50</v>
      </c>
      <c r="P63" s="13" t="s">
        <v>2263</v>
      </c>
      <c r="Q63" s="1" t="s">
        <v>50</v>
      </c>
      <c r="R63" s="1" t="s">
        <v>50</v>
      </c>
      <c r="S63" s="1" t="s">
        <v>50</v>
      </c>
      <c r="T63" s="1" t="s">
        <v>50</v>
      </c>
      <c r="U63" s="1" t="s">
        <v>50</v>
      </c>
      <c r="V63" s="1" t="s">
        <v>50</v>
      </c>
      <c r="W63" s="1" t="s">
        <v>50</v>
      </c>
      <c r="X63" s="1" t="s">
        <v>2119</v>
      </c>
      <c r="Y63" s="1"/>
      <c r="Z63" s="8">
        <v>1</v>
      </c>
      <c r="AA63" s="8"/>
      <c r="AB63" s="8"/>
      <c r="AC63" s="8"/>
      <c r="AD63" s="8"/>
      <c r="AE63" s="8"/>
      <c r="AF63" s="8"/>
      <c r="AG63" s="8"/>
      <c r="AH63" s="8">
        <v>1</v>
      </c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>
        <v>1</v>
      </c>
      <c r="AW63" s="8"/>
      <c r="AX63" s="8">
        <v>1</v>
      </c>
      <c r="AY63" s="8">
        <v>1</v>
      </c>
      <c r="AZ63" s="8"/>
      <c r="BA63" s="8"/>
      <c r="BB63" s="1"/>
      <c r="BJ63">
        <v>7</v>
      </c>
      <c r="BK63">
        <v>1</v>
      </c>
      <c r="BL63" s="58"/>
      <c r="BP63" t="str">
        <f t="shared" si="0"/>
        <v>GhostFire</v>
      </c>
      <c r="BR63">
        <v>1</v>
      </c>
    </row>
    <row r="64" spans="1:70" x14ac:dyDescent="0.25">
      <c r="A64">
        <f t="shared" si="1"/>
        <v>63</v>
      </c>
      <c r="B64" t="s">
        <v>163</v>
      </c>
      <c r="D64" s="1" t="s">
        <v>12</v>
      </c>
      <c r="E64" s="1" t="s">
        <v>7</v>
      </c>
      <c r="F64" s="1" t="s">
        <v>50</v>
      </c>
      <c r="G64" s="1" t="s">
        <v>50</v>
      </c>
      <c r="H64" s="1"/>
      <c r="I64" s="1" t="s">
        <v>50</v>
      </c>
      <c r="J64" s="1" t="s">
        <v>50</v>
      </c>
      <c r="K64" s="1" t="s">
        <v>50</v>
      </c>
      <c r="L64" s="1" t="s">
        <v>50</v>
      </c>
      <c r="M64" s="1" t="s">
        <v>50</v>
      </c>
      <c r="N64" s="1" t="s">
        <v>50</v>
      </c>
      <c r="O64" s="1" t="s">
        <v>50</v>
      </c>
      <c r="P64" s="13" t="s">
        <v>818</v>
      </c>
      <c r="Q64" s="1" t="s">
        <v>104</v>
      </c>
      <c r="R64" s="1" t="s">
        <v>104</v>
      </c>
      <c r="S64" s="1" t="s">
        <v>104</v>
      </c>
      <c r="T64" s="1" t="s">
        <v>104</v>
      </c>
      <c r="U64" s="1" t="s">
        <v>104</v>
      </c>
      <c r="V64" s="1" t="s">
        <v>104</v>
      </c>
      <c r="W64" s="1" t="s">
        <v>104</v>
      </c>
      <c r="X64" s="1" t="s">
        <v>2356</v>
      </c>
      <c r="Y64" s="1"/>
      <c r="Z64" s="8"/>
      <c r="AA64" s="8">
        <v>1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>
        <v>1</v>
      </c>
      <c r="AP64" s="8"/>
      <c r="AQ64" s="8"/>
      <c r="AR64" s="8"/>
      <c r="AS64" s="8"/>
      <c r="AT64" s="8"/>
      <c r="AU64" s="8">
        <v>1</v>
      </c>
      <c r="AV64" s="8"/>
      <c r="AW64" s="8"/>
      <c r="AX64" s="8"/>
      <c r="AY64" s="8"/>
      <c r="AZ64" s="8"/>
      <c r="BA64" s="8"/>
      <c r="BB64" s="1">
        <v>1</v>
      </c>
      <c r="BL64" s="58"/>
      <c r="BP64" t="str">
        <f t="shared" si="0"/>
        <v>DragonFairy</v>
      </c>
      <c r="BQ64" t="s">
        <v>2</v>
      </c>
      <c r="BR64">
        <v>6</v>
      </c>
    </row>
    <row r="65" spans="1:70" x14ac:dyDescent="0.25">
      <c r="A65">
        <f t="shared" si="1"/>
        <v>64</v>
      </c>
      <c r="B65" t="s">
        <v>164</v>
      </c>
      <c r="D65" s="1" t="s">
        <v>12</v>
      </c>
      <c r="E65" s="1" t="s">
        <v>7</v>
      </c>
      <c r="F65" s="1" t="s">
        <v>50</v>
      </c>
      <c r="G65" s="1" t="s">
        <v>50</v>
      </c>
      <c r="H65" s="1" t="s">
        <v>50</v>
      </c>
      <c r="I65" s="1" t="s">
        <v>50</v>
      </c>
      <c r="J65" s="1" t="s">
        <v>50</v>
      </c>
      <c r="K65" s="1" t="s">
        <v>50</v>
      </c>
      <c r="L65" s="1" t="s">
        <v>50</v>
      </c>
      <c r="M65" s="1" t="s">
        <v>104</v>
      </c>
      <c r="N65" s="1" t="s">
        <v>50</v>
      </c>
      <c r="O65" s="1" t="s">
        <v>50</v>
      </c>
      <c r="P65" s="13" t="s">
        <v>818</v>
      </c>
      <c r="Q65" s="1" t="s">
        <v>104</v>
      </c>
      <c r="R65" s="1" t="s">
        <v>104</v>
      </c>
      <c r="S65" s="1" t="s">
        <v>104</v>
      </c>
      <c r="T65" s="1" t="s">
        <v>104</v>
      </c>
      <c r="U65" s="1" t="s">
        <v>104</v>
      </c>
      <c r="V65" s="1" t="s">
        <v>104</v>
      </c>
      <c r="W65" s="1" t="s">
        <v>104</v>
      </c>
      <c r="X65" s="1" t="s">
        <v>2356</v>
      </c>
      <c r="Y65" s="1"/>
      <c r="Z65" s="8"/>
      <c r="AA65" s="8">
        <v>1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>
        <v>1</v>
      </c>
      <c r="AP65" s="8"/>
      <c r="AQ65" s="8"/>
      <c r="AR65" s="8"/>
      <c r="AS65" s="8"/>
      <c r="AT65" s="8"/>
      <c r="AU65" s="8">
        <v>1</v>
      </c>
      <c r="AV65" s="8"/>
      <c r="AW65" s="8"/>
      <c r="AX65" s="8"/>
      <c r="AY65" s="8"/>
      <c r="AZ65" s="8"/>
      <c r="BA65" s="8"/>
      <c r="BB65" s="1"/>
      <c r="BJ65">
        <v>3</v>
      </c>
      <c r="BL65" s="58"/>
      <c r="BP65" t="str">
        <f t="shared" si="0"/>
        <v>DragonFairy</v>
      </c>
      <c r="BR65">
        <v>6</v>
      </c>
    </row>
    <row r="66" spans="1:70" x14ac:dyDescent="0.25">
      <c r="A66">
        <f t="shared" si="1"/>
        <v>65</v>
      </c>
      <c r="B66" t="s">
        <v>385</v>
      </c>
      <c r="D66" s="1" t="s">
        <v>9</v>
      </c>
      <c r="E66" s="1" t="s">
        <v>13</v>
      </c>
      <c r="F66" s="1" t="s">
        <v>50</v>
      </c>
      <c r="G66" s="1" t="s">
        <v>50</v>
      </c>
      <c r="H66" s="1"/>
      <c r="I66" s="1" t="s">
        <v>50</v>
      </c>
      <c r="J66" s="1" t="s">
        <v>50</v>
      </c>
      <c r="K66" s="1" t="s">
        <v>50</v>
      </c>
      <c r="L66" s="1" t="s">
        <v>50</v>
      </c>
      <c r="M66" s="1" t="s">
        <v>50</v>
      </c>
      <c r="N66" s="1" t="s">
        <v>50</v>
      </c>
      <c r="O66" s="1" t="s">
        <v>50</v>
      </c>
      <c r="P66" s="1" t="s">
        <v>832</v>
      </c>
      <c r="Q66" s="1" t="s">
        <v>104</v>
      </c>
      <c r="R66" s="1" t="s">
        <v>104</v>
      </c>
      <c r="S66" s="1" t="s">
        <v>104</v>
      </c>
      <c r="T66" s="1" t="s">
        <v>104</v>
      </c>
      <c r="U66" s="1" t="s">
        <v>104</v>
      </c>
      <c r="V66" s="1" t="s">
        <v>104</v>
      </c>
      <c r="W66" s="1" t="s">
        <v>104</v>
      </c>
      <c r="X66" s="1" t="s">
        <v>727</v>
      </c>
      <c r="Y66" s="1"/>
      <c r="Z66" s="8"/>
      <c r="AA66" s="8"/>
      <c r="AB66" s="8"/>
      <c r="AC66" s="8"/>
      <c r="AD66" s="8">
        <v>1</v>
      </c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>
        <v>1</v>
      </c>
      <c r="AW66" s="8">
        <v>1</v>
      </c>
      <c r="AX66" s="8">
        <v>1</v>
      </c>
      <c r="AY66" s="8">
        <v>1</v>
      </c>
      <c r="AZ66" s="8"/>
      <c r="BA66" s="8"/>
      <c r="BB66" s="1">
        <v>1</v>
      </c>
      <c r="BL66" s="58"/>
      <c r="BP66" t="str">
        <f t="shared" ref="BP66:BP129" si="2">D66&amp;E66</f>
        <v>RockFire</v>
      </c>
      <c r="BQ66" t="s">
        <v>2</v>
      </c>
      <c r="BR66">
        <v>1</v>
      </c>
    </row>
    <row r="67" spans="1:70" x14ac:dyDescent="0.25">
      <c r="A67">
        <f t="shared" ref="A67:A130" si="3">A66+1</f>
        <v>66</v>
      </c>
      <c r="B67" t="s">
        <v>165</v>
      </c>
      <c r="D67" s="1" t="s">
        <v>9</v>
      </c>
      <c r="E67" s="1" t="s">
        <v>13</v>
      </c>
      <c r="F67" s="1" t="s">
        <v>50</v>
      </c>
      <c r="G67" s="1" t="s">
        <v>50</v>
      </c>
      <c r="H67" s="1"/>
      <c r="I67" s="1" t="s">
        <v>50</v>
      </c>
      <c r="J67" s="1" t="s">
        <v>50</v>
      </c>
      <c r="K67" s="1" t="s">
        <v>50</v>
      </c>
      <c r="L67" s="1" t="s">
        <v>50</v>
      </c>
      <c r="M67" s="1" t="s">
        <v>104</v>
      </c>
      <c r="N67" s="1" t="s">
        <v>50</v>
      </c>
      <c r="O67" s="1" t="s">
        <v>50</v>
      </c>
      <c r="P67" s="1" t="s">
        <v>832</v>
      </c>
      <c r="Q67" s="1" t="s">
        <v>104</v>
      </c>
      <c r="R67" s="1" t="s">
        <v>104</v>
      </c>
      <c r="S67" s="1" t="s">
        <v>104</v>
      </c>
      <c r="T67" s="1" t="s">
        <v>104</v>
      </c>
      <c r="U67" s="1" t="s">
        <v>104</v>
      </c>
      <c r="V67" s="1" t="s">
        <v>104</v>
      </c>
      <c r="W67" s="1" t="s">
        <v>104</v>
      </c>
      <c r="X67" s="1" t="s">
        <v>727</v>
      </c>
      <c r="Y67" s="1"/>
      <c r="Z67" s="8"/>
      <c r="AA67" s="8"/>
      <c r="AB67" s="8"/>
      <c r="AC67" s="8"/>
      <c r="AD67" s="8">
        <v>1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>
        <v>1</v>
      </c>
      <c r="AW67" s="8">
        <v>1</v>
      </c>
      <c r="AX67" s="8">
        <v>1</v>
      </c>
      <c r="AY67" s="8">
        <v>1</v>
      </c>
      <c r="AZ67" s="8"/>
      <c r="BA67" s="8"/>
      <c r="BB67" s="1"/>
      <c r="BL67" s="58"/>
      <c r="BP67" t="str">
        <f t="shared" si="2"/>
        <v>RockFire</v>
      </c>
      <c r="BQ67" t="s">
        <v>2</v>
      </c>
      <c r="BR67">
        <v>1</v>
      </c>
    </row>
    <row r="68" spans="1:70" x14ac:dyDescent="0.25">
      <c r="A68">
        <f t="shared" si="3"/>
        <v>67</v>
      </c>
      <c r="B68" t="s">
        <v>166</v>
      </c>
      <c r="D68" s="1" t="s">
        <v>9</v>
      </c>
      <c r="E68" s="1" t="s">
        <v>13</v>
      </c>
      <c r="F68" s="1" t="s">
        <v>50</v>
      </c>
      <c r="G68" s="1" t="s">
        <v>50</v>
      </c>
      <c r="H68" s="1" t="s">
        <v>50</v>
      </c>
      <c r="I68" s="1" t="s">
        <v>50</v>
      </c>
      <c r="J68" s="1" t="s">
        <v>50</v>
      </c>
      <c r="K68" s="1" t="s">
        <v>50</v>
      </c>
      <c r="L68" s="1" t="s">
        <v>50</v>
      </c>
      <c r="M68" s="1" t="s">
        <v>104</v>
      </c>
      <c r="N68" s="1" t="s">
        <v>50</v>
      </c>
      <c r="O68" s="1" t="s">
        <v>50</v>
      </c>
      <c r="P68" s="1" t="s">
        <v>832</v>
      </c>
      <c r="Q68" s="1" t="s">
        <v>104</v>
      </c>
      <c r="R68" s="1" t="s">
        <v>104</v>
      </c>
      <c r="S68" s="1" t="s">
        <v>104</v>
      </c>
      <c r="T68" s="1" t="s">
        <v>104</v>
      </c>
      <c r="U68" s="1" t="s">
        <v>104</v>
      </c>
      <c r="V68" s="1" t="s">
        <v>104</v>
      </c>
      <c r="W68" s="1" t="s">
        <v>104</v>
      </c>
      <c r="X68" s="1" t="s">
        <v>727</v>
      </c>
      <c r="Y68" s="1"/>
      <c r="Z68" s="8"/>
      <c r="AA68" s="8"/>
      <c r="AB68" s="8"/>
      <c r="AC68" s="8"/>
      <c r="AD68" s="8">
        <v>1</v>
      </c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>
        <v>1</v>
      </c>
      <c r="AW68" s="8">
        <v>1</v>
      </c>
      <c r="AX68" s="8">
        <v>1</v>
      </c>
      <c r="AY68" s="8">
        <v>1</v>
      </c>
      <c r="AZ68" s="8"/>
      <c r="BA68" s="8"/>
      <c r="BB68" s="1"/>
      <c r="BJ68">
        <v>1</v>
      </c>
      <c r="BL68" s="58"/>
      <c r="BP68" t="str">
        <f t="shared" si="2"/>
        <v>RockFire</v>
      </c>
      <c r="BR68">
        <v>1</v>
      </c>
    </row>
    <row r="69" spans="1:70" x14ac:dyDescent="0.25">
      <c r="A69">
        <f t="shared" si="3"/>
        <v>68</v>
      </c>
      <c r="B69" t="s">
        <v>167</v>
      </c>
      <c r="D69" s="1" t="s">
        <v>11</v>
      </c>
      <c r="E69" s="1" t="s">
        <v>15</v>
      </c>
      <c r="F69" s="1" t="s">
        <v>50</v>
      </c>
      <c r="G69" s="1" t="s">
        <v>50</v>
      </c>
      <c r="H69" s="1"/>
      <c r="I69" s="1" t="s">
        <v>50</v>
      </c>
      <c r="J69" s="1" t="s">
        <v>50</v>
      </c>
      <c r="K69" s="1" t="s">
        <v>50</v>
      </c>
      <c r="L69" s="1" t="s">
        <v>50</v>
      </c>
      <c r="M69" s="1" t="s">
        <v>50</v>
      </c>
      <c r="N69" s="1" t="s">
        <v>50</v>
      </c>
      <c r="O69" s="1" t="s">
        <v>50</v>
      </c>
      <c r="P69" s="1" t="s">
        <v>832</v>
      </c>
      <c r="Q69" s="1" t="s">
        <v>104</v>
      </c>
      <c r="R69" s="1" t="s">
        <v>104</v>
      </c>
      <c r="S69" s="1" t="s">
        <v>104</v>
      </c>
      <c r="T69" s="1" t="s">
        <v>104</v>
      </c>
      <c r="U69" s="1" t="s">
        <v>104</v>
      </c>
      <c r="V69" s="1" t="s">
        <v>104</v>
      </c>
      <c r="W69" s="1" t="s">
        <v>104</v>
      </c>
      <c r="X69" s="1" t="s">
        <v>727</v>
      </c>
      <c r="Y69" s="1"/>
      <c r="Z69" s="8"/>
      <c r="AA69" s="8"/>
      <c r="AB69" s="8"/>
      <c r="AC69" s="8"/>
      <c r="AD69" s="8"/>
      <c r="AE69" s="8"/>
      <c r="AF69" s="8"/>
      <c r="AG69" s="8"/>
      <c r="AH69" s="8"/>
      <c r="AI69" s="8">
        <v>1</v>
      </c>
      <c r="AJ69" s="8"/>
      <c r="AK69" s="8">
        <v>1</v>
      </c>
      <c r="AL69" s="8">
        <v>1</v>
      </c>
      <c r="AM69" s="8">
        <v>1</v>
      </c>
      <c r="AN69" s="8">
        <v>1</v>
      </c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1"/>
      <c r="BL69" s="58"/>
      <c r="BP69" t="str">
        <f t="shared" si="2"/>
        <v>GrassWater</v>
      </c>
      <c r="BQ69" t="s">
        <v>2</v>
      </c>
      <c r="BR69">
        <v>6</v>
      </c>
    </row>
    <row r="70" spans="1:70" x14ac:dyDescent="0.25">
      <c r="A70">
        <f t="shared" si="3"/>
        <v>69</v>
      </c>
      <c r="B70" t="s">
        <v>386</v>
      </c>
      <c r="D70" s="1" t="s">
        <v>11</v>
      </c>
      <c r="E70" s="1" t="s">
        <v>15</v>
      </c>
      <c r="F70" s="1" t="s">
        <v>50</v>
      </c>
      <c r="G70" s="1" t="s">
        <v>50</v>
      </c>
      <c r="H70" s="1" t="s">
        <v>50</v>
      </c>
      <c r="I70" s="1" t="s">
        <v>50</v>
      </c>
      <c r="J70" s="1" t="s">
        <v>50</v>
      </c>
      <c r="K70" s="1" t="s">
        <v>50</v>
      </c>
      <c r="L70" s="1" t="s">
        <v>50</v>
      </c>
      <c r="M70" s="1" t="s">
        <v>104</v>
      </c>
      <c r="N70" s="1" t="s">
        <v>50</v>
      </c>
      <c r="O70" s="1" t="s">
        <v>50</v>
      </c>
      <c r="P70" s="1" t="s">
        <v>832</v>
      </c>
      <c r="Q70" s="1" t="s">
        <v>104</v>
      </c>
      <c r="R70" s="1" t="s">
        <v>104</v>
      </c>
      <c r="S70" s="1" t="s">
        <v>104</v>
      </c>
      <c r="T70" s="1" t="s">
        <v>104</v>
      </c>
      <c r="U70" s="1" t="s">
        <v>104</v>
      </c>
      <c r="V70" s="1" t="s">
        <v>104</v>
      </c>
      <c r="W70" s="1" t="s">
        <v>104</v>
      </c>
      <c r="X70" s="1" t="s">
        <v>727</v>
      </c>
      <c r="Y70" s="1"/>
      <c r="Z70" s="8"/>
      <c r="AA70" s="8"/>
      <c r="AB70" s="8"/>
      <c r="AC70" s="8"/>
      <c r="AD70" s="8"/>
      <c r="AE70" s="8"/>
      <c r="AF70" s="8"/>
      <c r="AG70" s="8"/>
      <c r="AH70" s="8"/>
      <c r="AI70" s="8">
        <v>1</v>
      </c>
      <c r="AJ70" s="8"/>
      <c r="AK70" s="8">
        <v>1</v>
      </c>
      <c r="AL70" s="8">
        <v>1</v>
      </c>
      <c r="AM70" s="8">
        <v>1</v>
      </c>
      <c r="AN70" s="8">
        <v>1</v>
      </c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1"/>
      <c r="BJ70">
        <v>3</v>
      </c>
      <c r="BL70" s="58"/>
      <c r="BP70" t="str">
        <f t="shared" si="2"/>
        <v>GrassWater</v>
      </c>
      <c r="BR70">
        <v>6</v>
      </c>
    </row>
    <row r="71" spans="1:70" x14ac:dyDescent="0.25">
      <c r="A71">
        <f t="shared" si="3"/>
        <v>70</v>
      </c>
      <c r="B71" t="s">
        <v>168</v>
      </c>
      <c r="D71" s="1" t="s">
        <v>5</v>
      </c>
      <c r="E71" s="1" t="s">
        <v>41</v>
      </c>
      <c r="F71" s="1" t="s">
        <v>50</v>
      </c>
      <c r="G71" s="1" t="s">
        <v>50</v>
      </c>
      <c r="H71" s="1"/>
      <c r="I71" s="1" t="s">
        <v>50</v>
      </c>
      <c r="J71" s="1" t="s">
        <v>50</v>
      </c>
      <c r="K71" s="1" t="s">
        <v>50</v>
      </c>
      <c r="L71" s="1" t="s">
        <v>50</v>
      </c>
      <c r="M71" s="1" t="s">
        <v>50</v>
      </c>
      <c r="N71" s="1" t="s">
        <v>50</v>
      </c>
      <c r="O71" s="1" t="s">
        <v>50</v>
      </c>
      <c r="P71" s="13" t="s">
        <v>1722</v>
      </c>
      <c r="Q71" s="1" t="s">
        <v>104</v>
      </c>
      <c r="R71" s="1" t="s">
        <v>104</v>
      </c>
      <c r="S71" s="1" t="s">
        <v>104</v>
      </c>
      <c r="T71" s="1" t="s">
        <v>104</v>
      </c>
      <c r="U71" s="1" t="s">
        <v>104</v>
      </c>
      <c r="V71" s="1" t="s">
        <v>104</v>
      </c>
      <c r="W71" s="1" t="s">
        <v>104</v>
      </c>
      <c r="X71" s="1" t="s">
        <v>2119</v>
      </c>
      <c r="Y71" s="1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>
        <v>1</v>
      </c>
      <c r="AP71" s="8">
        <v>1</v>
      </c>
      <c r="AQ71" s="8">
        <v>1</v>
      </c>
      <c r="AR71" s="8">
        <v>1</v>
      </c>
      <c r="AS71" s="8"/>
      <c r="AT71" s="8"/>
      <c r="AU71" s="8"/>
      <c r="AV71" s="8"/>
      <c r="AW71" s="8"/>
      <c r="AX71" s="8"/>
      <c r="AY71" s="8"/>
      <c r="AZ71" s="8"/>
      <c r="BA71" s="8"/>
      <c r="BB71" s="1">
        <v>1</v>
      </c>
      <c r="BL71" s="58"/>
      <c r="BP71" t="str">
        <f t="shared" si="2"/>
        <v>IceSound</v>
      </c>
      <c r="BQ71" t="s">
        <v>2</v>
      </c>
      <c r="BR71">
        <v>6</v>
      </c>
    </row>
    <row r="72" spans="1:70" x14ac:dyDescent="0.25">
      <c r="A72">
        <f t="shared" si="3"/>
        <v>71</v>
      </c>
      <c r="B72" t="s">
        <v>169</v>
      </c>
      <c r="D72" s="1" t="s">
        <v>5</v>
      </c>
      <c r="E72" s="1" t="s">
        <v>41</v>
      </c>
      <c r="F72" s="1" t="s">
        <v>50</v>
      </c>
      <c r="G72" s="1" t="s">
        <v>50</v>
      </c>
      <c r="H72" s="1" t="s">
        <v>50</v>
      </c>
      <c r="I72" s="1" t="s">
        <v>50</v>
      </c>
      <c r="J72" s="1" t="s">
        <v>50</v>
      </c>
      <c r="K72" s="1" t="s">
        <v>50</v>
      </c>
      <c r="L72" s="1" t="s">
        <v>50</v>
      </c>
      <c r="M72" s="1" t="s">
        <v>104</v>
      </c>
      <c r="N72" s="1" t="s">
        <v>50</v>
      </c>
      <c r="O72" s="1" t="s">
        <v>50</v>
      </c>
      <c r="P72" s="13" t="s">
        <v>1722</v>
      </c>
      <c r="Q72" s="1" t="s">
        <v>104</v>
      </c>
      <c r="R72" s="1" t="s">
        <v>104</v>
      </c>
      <c r="S72" s="1" t="s">
        <v>104</v>
      </c>
      <c r="T72" s="1" t="s">
        <v>104</v>
      </c>
      <c r="U72" s="1" t="s">
        <v>104</v>
      </c>
      <c r="V72" s="1" t="s">
        <v>104</v>
      </c>
      <c r="W72" s="1" t="s">
        <v>104</v>
      </c>
      <c r="X72" s="1" t="s">
        <v>2119</v>
      </c>
      <c r="Y72" s="1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>
        <v>1</v>
      </c>
      <c r="AP72" s="8">
        <v>1</v>
      </c>
      <c r="AQ72" s="8">
        <v>1</v>
      </c>
      <c r="AR72" s="8">
        <v>1</v>
      </c>
      <c r="AS72" s="8"/>
      <c r="AT72" s="8"/>
      <c r="AU72" s="8"/>
      <c r="AV72" s="8"/>
      <c r="AW72" s="8"/>
      <c r="AX72" s="8"/>
      <c r="AY72" s="8"/>
      <c r="AZ72" s="8"/>
      <c r="BA72" s="8"/>
      <c r="BB72" s="1"/>
      <c r="BJ72">
        <v>3</v>
      </c>
      <c r="BK72">
        <v>1</v>
      </c>
      <c r="BL72" s="58"/>
      <c r="BP72" t="str">
        <f t="shared" si="2"/>
        <v>IceSound</v>
      </c>
      <c r="BR72">
        <v>6</v>
      </c>
    </row>
    <row r="73" spans="1:70" x14ac:dyDescent="0.25">
      <c r="A73">
        <f t="shared" si="3"/>
        <v>72</v>
      </c>
      <c r="B73" t="s">
        <v>170</v>
      </c>
      <c r="D73" s="1" t="s">
        <v>5</v>
      </c>
      <c r="E73" s="1" t="s">
        <v>42</v>
      </c>
      <c r="F73" s="1" t="s">
        <v>50</v>
      </c>
      <c r="G73" s="1" t="s">
        <v>50</v>
      </c>
      <c r="H73" s="1" t="s">
        <v>50</v>
      </c>
      <c r="I73" s="1" t="s">
        <v>50</v>
      </c>
      <c r="J73" s="1" t="s">
        <v>50</v>
      </c>
      <c r="K73" s="1" t="s">
        <v>50</v>
      </c>
      <c r="L73" s="1" t="s">
        <v>50</v>
      </c>
      <c r="M73" s="1" t="s">
        <v>50</v>
      </c>
      <c r="N73" s="1" t="s">
        <v>50</v>
      </c>
      <c r="O73" s="1" t="s">
        <v>50</v>
      </c>
      <c r="P73" s="13" t="s">
        <v>1787</v>
      </c>
      <c r="Q73" s="1" t="s">
        <v>104</v>
      </c>
      <c r="R73" s="1" t="s">
        <v>104</v>
      </c>
      <c r="S73" s="1" t="s">
        <v>104</v>
      </c>
      <c r="T73" s="1" t="s">
        <v>104</v>
      </c>
      <c r="U73" s="1" t="s">
        <v>104</v>
      </c>
      <c r="V73" s="1" t="s">
        <v>104</v>
      </c>
      <c r="W73" s="1" t="s">
        <v>104</v>
      </c>
      <c r="X73" s="1" t="s">
        <v>2326</v>
      </c>
      <c r="Y73" s="1"/>
      <c r="Z73" s="8"/>
      <c r="AA73" s="8"/>
      <c r="AB73" s="8"/>
      <c r="AC73" s="8"/>
      <c r="AD73" s="8"/>
      <c r="AE73" s="8"/>
      <c r="AF73" s="8"/>
      <c r="AG73" s="8">
        <v>1</v>
      </c>
      <c r="AH73" s="8">
        <v>1</v>
      </c>
      <c r="AI73" s="8"/>
      <c r="AJ73" s="8"/>
      <c r="AK73" s="8"/>
      <c r="AL73" s="8"/>
      <c r="AM73" s="8"/>
      <c r="AN73" s="8"/>
      <c r="AO73" s="8">
        <v>1</v>
      </c>
      <c r="AP73" s="8">
        <v>1</v>
      </c>
      <c r="AQ73" s="8">
        <v>1</v>
      </c>
      <c r="AR73" s="8">
        <v>1</v>
      </c>
      <c r="AS73" s="8"/>
      <c r="AT73" s="8"/>
      <c r="AU73" s="8">
        <v>1</v>
      </c>
      <c r="AV73" s="8"/>
      <c r="AW73" s="8"/>
      <c r="AX73" s="8"/>
      <c r="AY73" s="8"/>
      <c r="AZ73" s="8"/>
      <c r="BA73" s="8"/>
      <c r="BB73" s="1">
        <v>6</v>
      </c>
      <c r="BJ73">
        <v>1</v>
      </c>
      <c r="BK73">
        <v>1</v>
      </c>
      <c r="BL73" s="58"/>
      <c r="BP73" t="str">
        <f t="shared" si="2"/>
        <v>IceCosmic</v>
      </c>
      <c r="BR73">
        <v>3</v>
      </c>
    </row>
    <row r="74" spans="1:70" x14ac:dyDescent="0.25">
      <c r="A74">
        <f t="shared" si="3"/>
        <v>73</v>
      </c>
      <c r="B74" t="s">
        <v>171</v>
      </c>
      <c r="D74" s="1" t="s">
        <v>13</v>
      </c>
      <c r="E74" s="1" t="s">
        <v>42</v>
      </c>
      <c r="F74" s="1" t="s">
        <v>50</v>
      </c>
      <c r="G74" s="1" t="s">
        <v>50</v>
      </c>
      <c r="H74" s="1" t="s">
        <v>50</v>
      </c>
      <c r="I74" s="1" t="s">
        <v>50</v>
      </c>
      <c r="J74" s="1" t="s">
        <v>50</v>
      </c>
      <c r="K74" s="1" t="s">
        <v>50</v>
      </c>
      <c r="L74" s="1" t="s">
        <v>50</v>
      </c>
      <c r="M74" s="1" t="s">
        <v>50</v>
      </c>
      <c r="N74" s="1" t="s">
        <v>50</v>
      </c>
      <c r="O74" s="1" t="s">
        <v>50</v>
      </c>
      <c r="P74" s="13" t="s">
        <v>1790</v>
      </c>
      <c r="Q74" s="1" t="s">
        <v>104</v>
      </c>
      <c r="R74" s="1" t="s">
        <v>104</v>
      </c>
      <c r="S74" s="1" t="s">
        <v>104</v>
      </c>
      <c r="T74" s="1" t="s">
        <v>104</v>
      </c>
      <c r="U74" s="1" t="s">
        <v>104</v>
      </c>
      <c r="V74" s="1" t="s">
        <v>104</v>
      </c>
      <c r="W74" s="1" t="s">
        <v>104</v>
      </c>
      <c r="X74" s="1" t="s">
        <v>2326</v>
      </c>
      <c r="Y74" s="1"/>
      <c r="Z74" s="8"/>
      <c r="AA74" s="8"/>
      <c r="AB74" s="8"/>
      <c r="AC74" s="8"/>
      <c r="AD74" s="8"/>
      <c r="AE74" s="8"/>
      <c r="AF74" s="8"/>
      <c r="AG74" s="8">
        <v>1</v>
      </c>
      <c r="AH74" s="8">
        <v>1</v>
      </c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>
        <v>1</v>
      </c>
      <c r="AW74" s="8">
        <v>1</v>
      </c>
      <c r="AX74" s="8">
        <v>1</v>
      </c>
      <c r="AY74" s="8">
        <v>1</v>
      </c>
      <c r="AZ74" s="8"/>
      <c r="BA74" s="8"/>
      <c r="BB74" s="1"/>
      <c r="BJ74">
        <v>1</v>
      </c>
      <c r="BK74">
        <v>1</v>
      </c>
      <c r="BL74" s="58"/>
      <c r="BP74" t="str">
        <f t="shared" si="2"/>
        <v>FireCosmic</v>
      </c>
      <c r="BR74">
        <v>3</v>
      </c>
    </row>
    <row r="75" spans="1:70" x14ac:dyDescent="0.25">
      <c r="A75">
        <f t="shared" si="3"/>
        <v>74</v>
      </c>
      <c r="B75" t="s">
        <v>387</v>
      </c>
      <c r="D75" s="1" t="s">
        <v>0</v>
      </c>
      <c r="E75" s="1" t="s">
        <v>18</v>
      </c>
      <c r="F75" s="1" t="s">
        <v>50</v>
      </c>
      <c r="G75" s="1" t="s">
        <v>50</v>
      </c>
      <c r="H75" s="1"/>
      <c r="I75" s="1" t="s">
        <v>50</v>
      </c>
      <c r="J75" s="1" t="s">
        <v>50</v>
      </c>
      <c r="K75" s="1" t="s">
        <v>50</v>
      </c>
      <c r="L75" s="1" t="s">
        <v>50</v>
      </c>
      <c r="M75" s="1" t="s">
        <v>50</v>
      </c>
      <c r="N75" s="1" t="s">
        <v>50</v>
      </c>
      <c r="O75" s="1" t="s">
        <v>50</v>
      </c>
      <c r="P75" s="13" t="s">
        <v>823</v>
      </c>
      <c r="Q75" s="1" t="s">
        <v>104</v>
      </c>
      <c r="R75" s="1" t="s">
        <v>104</v>
      </c>
      <c r="S75" s="1" t="s">
        <v>104</v>
      </c>
      <c r="T75" s="1" t="s">
        <v>104</v>
      </c>
      <c r="U75" s="1" t="s">
        <v>104</v>
      </c>
      <c r="V75" s="1" t="s">
        <v>104</v>
      </c>
      <c r="W75" s="1" t="s">
        <v>104</v>
      </c>
      <c r="X75" s="1" t="s">
        <v>727</v>
      </c>
      <c r="Y75" s="1"/>
      <c r="Z75" s="8"/>
      <c r="AA75" s="8"/>
      <c r="AB75" s="8"/>
      <c r="AC75" s="8"/>
      <c r="AD75" s="8">
        <v>1</v>
      </c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>
        <v>1</v>
      </c>
      <c r="AY75" s="8">
        <v>1</v>
      </c>
      <c r="AZ75" s="8"/>
      <c r="BA75" s="8"/>
      <c r="BB75" s="1">
        <v>1</v>
      </c>
      <c r="BL75" s="58"/>
      <c r="BP75" t="str">
        <f t="shared" si="2"/>
        <v>DarkFighting</v>
      </c>
      <c r="BQ75" t="s">
        <v>2</v>
      </c>
      <c r="BR75">
        <v>1</v>
      </c>
    </row>
    <row r="76" spans="1:70" x14ac:dyDescent="0.25">
      <c r="A76">
        <f t="shared" si="3"/>
        <v>75</v>
      </c>
      <c r="B76" t="s">
        <v>172</v>
      </c>
      <c r="D76" s="1" t="s">
        <v>0</v>
      </c>
      <c r="E76" s="1" t="s">
        <v>18</v>
      </c>
      <c r="F76" s="1" t="s">
        <v>50</v>
      </c>
      <c r="G76" s="1" t="s">
        <v>50</v>
      </c>
      <c r="H76" s="1" t="s">
        <v>50</v>
      </c>
      <c r="I76" s="1" t="s">
        <v>50</v>
      </c>
      <c r="J76" s="1" t="s">
        <v>50</v>
      </c>
      <c r="K76" s="1" t="s">
        <v>50</v>
      </c>
      <c r="L76" s="1" t="s">
        <v>50</v>
      </c>
      <c r="M76" s="1" t="s">
        <v>104</v>
      </c>
      <c r="N76" s="1" t="s">
        <v>50</v>
      </c>
      <c r="O76" s="1" t="s">
        <v>50</v>
      </c>
      <c r="P76" s="13" t="s">
        <v>823</v>
      </c>
      <c r="Q76" s="1" t="s">
        <v>104</v>
      </c>
      <c r="R76" s="1" t="s">
        <v>104</v>
      </c>
      <c r="S76" s="1" t="s">
        <v>104</v>
      </c>
      <c r="T76" s="1" t="s">
        <v>104</v>
      </c>
      <c r="U76" s="1" t="s">
        <v>104</v>
      </c>
      <c r="V76" s="1" t="s">
        <v>104</v>
      </c>
      <c r="W76" s="1" t="s">
        <v>104</v>
      </c>
      <c r="X76" s="1" t="s">
        <v>727</v>
      </c>
      <c r="Y76" s="1"/>
      <c r="Z76" s="8"/>
      <c r="AA76" s="8"/>
      <c r="AB76" s="8"/>
      <c r="AC76" s="8"/>
      <c r="AD76" s="8">
        <v>1</v>
      </c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>
        <v>1</v>
      </c>
      <c r="AY76" s="8">
        <v>1</v>
      </c>
      <c r="AZ76" s="8"/>
      <c r="BA76" s="8"/>
      <c r="BB76" s="1"/>
      <c r="BJ76">
        <v>2</v>
      </c>
      <c r="BL76" s="58"/>
      <c r="BP76" t="str">
        <f t="shared" si="2"/>
        <v>DarkFighting</v>
      </c>
      <c r="BR76">
        <v>1</v>
      </c>
    </row>
    <row r="77" spans="1:70" x14ac:dyDescent="0.25">
      <c r="A77">
        <f t="shared" si="3"/>
        <v>76</v>
      </c>
      <c r="B77" t="s">
        <v>173</v>
      </c>
      <c r="D77" s="1" t="s">
        <v>15</v>
      </c>
      <c r="E77" s="1" t="s">
        <v>8</v>
      </c>
      <c r="F77" s="1" t="s">
        <v>50</v>
      </c>
      <c r="G77" s="1" t="s">
        <v>50</v>
      </c>
      <c r="H77" s="1"/>
      <c r="I77" s="1" t="s">
        <v>50</v>
      </c>
      <c r="J77" s="1" t="s">
        <v>50</v>
      </c>
      <c r="K77" s="1" t="s">
        <v>50</v>
      </c>
      <c r="L77" s="1"/>
      <c r="M77" s="1" t="s">
        <v>50</v>
      </c>
      <c r="N77" s="1" t="s">
        <v>50</v>
      </c>
      <c r="O77" s="1" t="s">
        <v>50</v>
      </c>
      <c r="P77" s="13" t="s">
        <v>2235</v>
      </c>
      <c r="Q77" s="1" t="s">
        <v>104</v>
      </c>
      <c r="R77" s="1" t="s">
        <v>104</v>
      </c>
      <c r="S77" s="1" t="s">
        <v>104</v>
      </c>
      <c r="T77" s="1" t="s">
        <v>104</v>
      </c>
      <c r="U77" s="1" t="s">
        <v>104</v>
      </c>
      <c r="V77" s="1" t="s">
        <v>104</v>
      </c>
      <c r="W77" s="1" t="s">
        <v>104</v>
      </c>
      <c r="X77" s="1" t="s">
        <v>2182</v>
      </c>
      <c r="Y77" s="1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>
        <v>1</v>
      </c>
      <c r="AK77" s="8">
        <v>1</v>
      </c>
      <c r="AL77" s="8">
        <v>1</v>
      </c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1">
        <v>1</v>
      </c>
      <c r="BL77" s="58"/>
      <c r="BP77" t="str">
        <f t="shared" si="2"/>
        <v>WaterGround</v>
      </c>
      <c r="BQ77" t="s">
        <v>2</v>
      </c>
      <c r="BR77">
        <v>1</v>
      </c>
    </row>
    <row r="78" spans="1:70" x14ac:dyDescent="0.25">
      <c r="A78">
        <f t="shared" si="3"/>
        <v>77</v>
      </c>
      <c r="B78" t="s">
        <v>388</v>
      </c>
      <c r="D78" s="1" t="s">
        <v>15</v>
      </c>
      <c r="E78" s="1" t="s">
        <v>8</v>
      </c>
      <c r="F78" s="1" t="s">
        <v>50</v>
      </c>
      <c r="G78" s="1" t="s">
        <v>50</v>
      </c>
      <c r="H78" s="1" t="s">
        <v>50</v>
      </c>
      <c r="I78" s="1" t="s">
        <v>50</v>
      </c>
      <c r="J78" s="1" t="s">
        <v>50</v>
      </c>
      <c r="K78" s="1" t="s">
        <v>50</v>
      </c>
      <c r="L78" s="1"/>
      <c r="M78" s="1" t="s">
        <v>104</v>
      </c>
      <c r="N78" s="1" t="s">
        <v>50</v>
      </c>
      <c r="O78" s="1" t="s">
        <v>50</v>
      </c>
      <c r="P78" s="13" t="s">
        <v>2235</v>
      </c>
      <c r="Q78" s="1" t="s">
        <v>104</v>
      </c>
      <c r="R78" s="1" t="s">
        <v>104</v>
      </c>
      <c r="S78" s="1" t="s">
        <v>104</v>
      </c>
      <c r="T78" s="1" t="s">
        <v>104</v>
      </c>
      <c r="U78" s="1" t="s">
        <v>104</v>
      </c>
      <c r="V78" s="1" t="s">
        <v>104</v>
      </c>
      <c r="W78" s="1" t="s">
        <v>104</v>
      </c>
      <c r="X78" s="1" t="s">
        <v>2182</v>
      </c>
      <c r="Y78" s="1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>
        <v>1</v>
      </c>
      <c r="AK78" s="8">
        <v>1</v>
      </c>
      <c r="AL78" s="8">
        <v>1</v>
      </c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1"/>
      <c r="BJ78">
        <v>1</v>
      </c>
      <c r="BL78" s="58"/>
      <c r="BP78" t="str">
        <f t="shared" si="2"/>
        <v>WaterGround</v>
      </c>
      <c r="BR78">
        <v>1</v>
      </c>
    </row>
    <row r="79" spans="1:70" x14ac:dyDescent="0.25">
      <c r="A79">
        <f t="shared" si="3"/>
        <v>78</v>
      </c>
      <c r="B79" t="s">
        <v>389</v>
      </c>
      <c r="D79" s="1" t="s">
        <v>9</v>
      </c>
      <c r="E79" s="1" t="s">
        <v>5</v>
      </c>
      <c r="F79" s="1" t="s">
        <v>50</v>
      </c>
      <c r="G79" s="1" t="s">
        <v>50</v>
      </c>
      <c r="H79" s="1"/>
      <c r="I79" s="1" t="s">
        <v>50</v>
      </c>
      <c r="J79" s="1" t="s">
        <v>50</v>
      </c>
      <c r="K79" s="1" t="s">
        <v>50</v>
      </c>
      <c r="L79" s="1"/>
      <c r="M79" s="1" t="s">
        <v>50</v>
      </c>
      <c r="N79" s="1" t="s">
        <v>50</v>
      </c>
      <c r="O79" s="1" t="s">
        <v>50</v>
      </c>
      <c r="P79" s="1" t="s">
        <v>832</v>
      </c>
      <c r="Q79" s="1" t="s">
        <v>104</v>
      </c>
      <c r="R79" s="1" t="s">
        <v>104</v>
      </c>
      <c r="S79" s="1" t="s">
        <v>104</v>
      </c>
      <c r="T79" s="1" t="s">
        <v>104</v>
      </c>
      <c r="U79" s="1" t="s">
        <v>104</v>
      </c>
      <c r="V79" s="1" t="s">
        <v>104</v>
      </c>
      <c r="W79" s="1" t="s">
        <v>104</v>
      </c>
      <c r="X79" s="1" t="s">
        <v>2441</v>
      </c>
      <c r="Y79" s="1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>
        <v>1</v>
      </c>
      <c r="AP79" s="8">
        <v>1</v>
      </c>
      <c r="AQ79" s="8">
        <v>1</v>
      </c>
      <c r="AR79" s="8">
        <v>1</v>
      </c>
      <c r="AS79" s="8"/>
      <c r="AT79" s="8"/>
      <c r="AU79" s="8"/>
      <c r="AV79" s="8"/>
      <c r="AW79" s="8"/>
      <c r="AX79" s="8">
        <v>1</v>
      </c>
      <c r="AY79" s="8">
        <v>1</v>
      </c>
      <c r="AZ79" s="8"/>
      <c r="BA79" s="8"/>
      <c r="BB79" s="1">
        <v>1</v>
      </c>
      <c r="BL79" s="58"/>
      <c r="BP79" t="str">
        <f t="shared" si="2"/>
        <v>RockIce</v>
      </c>
      <c r="BQ79" t="s">
        <v>2</v>
      </c>
      <c r="BR79">
        <v>6</v>
      </c>
    </row>
    <row r="80" spans="1:70" x14ac:dyDescent="0.25">
      <c r="A80">
        <f t="shared" si="3"/>
        <v>79</v>
      </c>
      <c r="B80" t="s">
        <v>174</v>
      </c>
      <c r="D80" s="1" t="s">
        <v>9</v>
      </c>
      <c r="E80" s="1" t="s">
        <v>5</v>
      </c>
      <c r="F80" s="1" t="s">
        <v>50</v>
      </c>
      <c r="G80" s="1" t="s">
        <v>50</v>
      </c>
      <c r="H80" s="1" t="s">
        <v>50</v>
      </c>
      <c r="I80" s="1" t="s">
        <v>50</v>
      </c>
      <c r="J80" s="1" t="s">
        <v>50</v>
      </c>
      <c r="K80" s="1" t="s">
        <v>50</v>
      </c>
      <c r="L80" s="1"/>
      <c r="M80" s="1" t="s">
        <v>104</v>
      </c>
      <c r="N80" s="1" t="s">
        <v>50</v>
      </c>
      <c r="O80" s="1" t="s">
        <v>50</v>
      </c>
      <c r="P80" s="1" t="s">
        <v>832</v>
      </c>
      <c r="Q80" s="1" t="s">
        <v>104</v>
      </c>
      <c r="R80" s="1" t="s">
        <v>104</v>
      </c>
      <c r="S80" s="1" t="s">
        <v>104</v>
      </c>
      <c r="T80" s="1" t="s">
        <v>104</v>
      </c>
      <c r="U80" s="1" t="s">
        <v>104</v>
      </c>
      <c r="V80" s="1" t="s">
        <v>104</v>
      </c>
      <c r="W80" s="1" t="s">
        <v>104</v>
      </c>
      <c r="X80" s="1" t="s">
        <v>2441</v>
      </c>
      <c r="Y80" s="1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>
        <v>1</v>
      </c>
      <c r="AP80" s="8">
        <v>1</v>
      </c>
      <c r="AQ80" s="8">
        <v>1</v>
      </c>
      <c r="AR80" s="8">
        <v>1</v>
      </c>
      <c r="AS80" s="8"/>
      <c r="AT80" s="8"/>
      <c r="AU80" s="8"/>
      <c r="AV80" s="8"/>
      <c r="AW80" s="8"/>
      <c r="AX80" s="8">
        <v>1</v>
      </c>
      <c r="AY80" s="8">
        <v>1</v>
      </c>
      <c r="AZ80" s="8"/>
      <c r="BA80" s="8"/>
      <c r="BB80" s="1">
        <v>4</v>
      </c>
      <c r="BJ80">
        <v>3</v>
      </c>
      <c r="BK80">
        <v>3</v>
      </c>
      <c r="BL80" s="58">
        <v>1</v>
      </c>
      <c r="BP80" t="str">
        <f t="shared" si="2"/>
        <v>RockIce</v>
      </c>
      <c r="BR80">
        <v>6</v>
      </c>
    </row>
    <row r="81" spans="1:70" x14ac:dyDescent="0.25">
      <c r="A81">
        <f t="shared" si="3"/>
        <v>80</v>
      </c>
      <c r="B81" t="s">
        <v>175</v>
      </c>
      <c r="D81" s="1" t="s">
        <v>17</v>
      </c>
      <c r="E81" s="1" t="s">
        <v>11</v>
      </c>
      <c r="F81" s="1" t="s">
        <v>50</v>
      </c>
      <c r="G81" s="1" t="s">
        <v>50</v>
      </c>
      <c r="H81" s="1"/>
      <c r="I81" s="1" t="s">
        <v>50</v>
      </c>
      <c r="J81" s="1" t="s">
        <v>50</v>
      </c>
      <c r="K81" s="1" t="s">
        <v>50</v>
      </c>
      <c r="L81" s="1"/>
      <c r="M81" s="1" t="s">
        <v>50</v>
      </c>
      <c r="N81" s="1" t="s">
        <v>50</v>
      </c>
      <c r="O81" s="1" t="s">
        <v>50</v>
      </c>
      <c r="P81" s="1" t="s">
        <v>832</v>
      </c>
      <c r="Q81" s="1" t="s">
        <v>104</v>
      </c>
      <c r="R81" s="1" t="s">
        <v>104</v>
      </c>
      <c r="S81" s="1" t="s">
        <v>104</v>
      </c>
      <c r="T81" s="1" t="s">
        <v>104</v>
      </c>
      <c r="U81" s="1" t="s">
        <v>104</v>
      </c>
      <c r="V81" s="1" t="s">
        <v>104</v>
      </c>
      <c r="W81" s="1" t="s">
        <v>104</v>
      </c>
      <c r="X81" s="1" t="s">
        <v>2436</v>
      </c>
      <c r="Y81" s="1"/>
      <c r="Z81" s="8"/>
      <c r="AA81" s="8"/>
      <c r="AB81" s="8">
        <v>1</v>
      </c>
      <c r="AC81" s="8">
        <v>1</v>
      </c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>
        <v>1</v>
      </c>
      <c r="BA81" s="8"/>
      <c r="BB81" s="1">
        <v>1</v>
      </c>
      <c r="BL81" s="58"/>
      <c r="BP81" t="str">
        <f t="shared" si="2"/>
        <v>BugGrass</v>
      </c>
      <c r="BQ81" t="s">
        <v>2</v>
      </c>
      <c r="BR81">
        <v>1</v>
      </c>
    </row>
    <row r="82" spans="1:70" x14ac:dyDescent="0.25">
      <c r="A82">
        <f t="shared" si="3"/>
        <v>81</v>
      </c>
      <c r="B82" t="s">
        <v>176</v>
      </c>
      <c r="D82" s="1" t="s">
        <v>17</v>
      </c>
      <c r="E82" s="1" t="s">
        <v>11</v>
      </c>
      <c r="F82" s="1" t="s">
        <v>50</v>
      </c>
      <c r="G82" s="1" t="s">
        <v>50</v>
      </c>
      <c r="H82" s="1" t="s">
        <v>50</v>
      </c>
      <c r="I82" s="1" t="s">
        <v>50</v>
      </c>
      <c r="J82" s="1" t="s">
        <v>50</v>
      </c>
      <c r="K82" s="1" t="s">
        <v>50</v>
      </c>
      <c r="L82" s="1"/>
      <c r="M82" s="1" t="s">
        <v>104</v>
      </c>
      <c r="N82" s="1" t="s">
        <v>50</v>
      </c>
      <c r="O82" s="1" t="s">
        <v>50</v>
      </c>
      <c r="P82" s="1" t="s">
        <v>832</v>
      </c>
      <c r="Q82" s="1" t="s">
        <v>104</v>
      </c>
      <c r="R82" s="1" t="s">
        <v>104</v>
      </c>
      <c r="S82" s="1" t="s">
        <v>104</v>
      </c>
      <c r="T82" s="1" t="s">
        <v>104</v>
      </c>
      <c r="U82" s="1" t="s">
        <v>104</v>
      </c>
      <c r="V82" s="1" t="s">
        <v>104</v>
      </c>
      <c r="W82" s="1" t="s">
        <v>104</v>
      </c>
      <c r="X82" s="1" t="s">
        <v>2436</v>
      </c>
      <c r="Y82" s="1"/>
      <c r="Z82" s="8"/>
      <c r="AA82" s="8"/>
      <c r="AB82" s="8">
        <v>1</v>
      </c>
      <c r="AC82" s="8">
        <v>1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>
        <v>1</v>
      </c>
      <c r="BA82" s="8"/>
      <c r="BB82" s="1"/>
      <c r="BJ82">
        <v>4</v>
      </c>
      <c r="BK82">
        <v>2</v>
      </c>
      <c r="BL82" s="58"/>
      <c r="BP82" t="str">
        <f t="shared" si="2"/>
        <v>BugGrass</v>
      </c>
      <c r="BR82">
        <v>1</v>
      </c>
    </row>
    <row r="83" spans="1:70" x14ac:dyDescent="0.25">
      <c r="A83">
        <f t="shared" si="3"/>
        <v>82</v>
      </c>
      <c r="B83" t="s">
        <v>177</v>
      </c>
      <c r="D83" s="1" t="s">
        <v>6</v>
      </c>
      <c r="E83" s="1">
        <v>0</v>
      </c>
      <c r="F83" s="1" t="s">
        <v>50</v>
      </c>
      <c r="G83" s="1" t="s">
        <v>50</v>
      </c>
      <c r="H83" s="1"/>
      <c r="I83" s="1" t="s">
        <v>50</v>
      </c>
      <c r="J83" s="1" t="s">
        <v>50</v>
      </c>
      <c r="K83" s="1" t="s">
        <v>50</v>
      </c>
      <c r="L83" s="1"/>
      <c r="M83" s="1" t="s">
        <v>50</v>
      </c>
      <c r="N83" s="1" t="s">
        <v>50</v>
      </c>
      <c r="O83" s="1" t="s">
        <v>50</v>
      </c>
      <c r="P83" s="1" t="s">
        <v>832</v>
      </c>
      <c r="Q83" s="1" t="s">
        <v>104</v>
      </c>
      <c r="R83" s="1" t="s">
        <v>104</v>
      </c>
      <c r="S83" s="1" t="s">
        <v>104</v>
      </c>
      <c r="T83" s="1" t="s">
        <v>104</v>
      </c>
      <c r="U83" s="1" t="s">
        <v>104</v>
      </c>
      <c r="V83" s="1" t="s">
        <v>104</v>
      </c>
      <c r="W83" s="1" t="s">
        <v>104</v>
      </c>
      <c r="X83" s="1" t="s">
        <v>727</v>
      </c>
      <c r="Y83" s="1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>
        <v>1</v>
      </c>
      <c r="AT83" s="8"/>
      <c r="AU83" s="8">
        <v>1</v>
      </c>
      <c r="AV83" s="8"/>
      <c r="AW83" s="8"/>
      <c r="AX83" s="8"/>
      <c r="AY83" s="8"/>
      <c r="AZ83" s="8"/>
      <c r="BA83" s="8"/>
      <c r="BB83" s="1">
        <v>1</v>
      </c>
      <c r="BL83" s="58"/>
      <c r="BP83" t="str">
        <f t="shared" si="2"/>
        <v>Steel0</v>
      </c>
      <c r="BQ83" t="s">
        <v>2</v>
      </c>
      <c r="BR83">
        <v>3</v>
      </c>
    </row>
    <row r="84" spans="1:70" x14ac:dyDescent="0.25">
      <c r="A84">
        <f t="shared" si="3"/>
        <v>83</v>
      </c>
      <c r="B84" t="s">
        <v>178</v>
      </c>
      <c r="D84" s="1" t="s">
        <v>6</v>
      </c>
      <c r="E84" s="1" t="s">
        <v>18</v>
      </c>
      <c r="F84" s="1" t="s">
        <v>50</v>
      </c>
      <c r="G84" s="1" t="s">
        <v>50</v>
      </c>
      <c r="H84" s="1" t="s">
        <v>50</v>
      </c>
      <c r="I84" s="1" t="s">
        <v>50</v>
      </c>
      <c r="J84" s="1" t="s">
        <v>50</v>
      </c>
      <c r="K84" s="1" t="s">
        <v>50</v>
      </c>
      <c r="L84" s="1"/>
      <c r="M84" s="1" t="s">
        <v>104</v>
      </c>
      <c r="N84" s="1" t="s">
        <v>50</v>
      </c>
      <c r="O84" s="1" t="s">
        <v>50</v>
      </c>
      <c r="P84" s="1" t="s">
        <v>832</v>
      </c>
      <c r="Q84" s="1" t="s">
        <v>104</v>
      </c>
      <c r="R84" s="1" t="s">
        <v>104</v>
      </c>
      <c r="S84" s="1" t="s">
        <v>104</v>
      </c>
      <c r="T84" s="1" t="s">
        <v>104</v>
      </c>
      <c r="U84" s="1" t="s">
        <v>104</v>
      </c>
      <c r="V84" s="1" t="s">
        <v>104</v>
      </c>
      <c r="W84" s="1" t="s">
        <v>104</v>
      </c>
      <c r="X84" s="1" t="s">
        <v>727</v>
      </c>
      <c r="Y84" s="1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>
        <v>1</v>
      </c>
      <c r="AT84" s="8"/>
      <c r="AU84" s="8">
        <v>1</v>
      </c>
      <c r="AV84" s="8"/>
      <c r="AW84" s="8"/>
      <c r="AX84" s="8"/>
      <c r="AY84" s="8"/>
      <c r="AZ84" s="8"/>
      <c r="BA84" s="8"/>
      <c r="BB84" s="1"/>
      <c r="BJ84">
        <v>4</v>
      </c>
      <c r="BK84">
        <v>1</v>
      </c>
      <c r="BL84" s="58"/>
      <c r="BP84" t="str">
        <f t="shared" si="2"/>
        <v>SteelFighting</v>
      </c>
      <c r="BR84">
        <v>3</v>
      </c>
    </row>
    <row r="85" spans="1:70" x14ac:dyDescent="0.25">
      <c r="A85">
        <f t="shared" si="3"/>
        <v>84</v>
      </c>
      <c r="B85" t="s">
        <v>390</v>
      </c>
      <c r="D85" s="1" t="s">
        <v>12</v>
      </c>
      <c r="E85" s="1" t="s">
        <v>16</v>
      </c>
      <c r="F85" s="1" t="s">
        <v>50</v>
      </c>
      <c r="G85" s="1" t="s">
        <v>50</v>
      </c>
      <c r="H85" s="1" t="s">
        <v>50</v>
      </c>
      <c r="I85" s="1" t="s">
        <v>50</v>
      </c>
      <c r="J85" s="1" t="s">
        <v>50</v>
      </c>
      <c r="K85" s="1" t="s">
        <v>50</v>
      </c>
      <c r="L85" s="1"/>
      <c r="M85" s="1" t="s">
        <v>50</v>
      </c>
      <c r="N85" s="1" t="s">
        <v>50</v>
      </c>
      <c r="O85" s="1" t="s">
        <v>50</v>
      </c>
      <c r="P85" s="1" t="s">
        <v>832</v>
      </c>
      <c r="Q85" s="1" t="s">
        <v>50</v>
      </c>
      <c r="R85" s="1" t="s">
        <v>50</v>
      </c>
      <c r="S85" s="1" t="s">
        <v>50</v>
      </c>
      <c r="T85" s="1" t="s">
        <v>50</v>
      </c>
      <c r="U85" s="1" t="s">
        <v>50</v>
      </c>
      <c r="V85" s="1" t="s">
        <v>50</v>
      </c>
      <c r="W85" s="1" t="s">
        <v>50</v>
      </c>
      <c r="X85" s="1" t="s">
        <v>727</v>
      </c>
      <c r="Y85" s="1"/>
      <c r="Z85" s="8"/>
      <c r="AA85" s="8"/>
      <c r="AB85" s="8">
        <v>1</v>
      </c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1">
        <v>6</v>
      </c>
      <c r="BJ85">
        <v>6</v>
      </c>
      <c r="BK85">
        <v>4</v>
      </c>
      <c r="BL85" s="58">
        <v>1</v>
      </c>
      <c r="BP85" t="str">
        <f t="shared" si="2"/>
        <v>DragonFlying</v>
      </c>
      <c r="BR85">
        <v>1</v>
      </c>
    </row>
    <row r="86" spans="1:70" x14ac:dyDescent="0.25">
      <c r="A86">
        <f t="shared" si="3"/>
        <v>85</v>
      </c>
      <c r="B86" t="s">
        <v>179</v>
      </c>
      <c r="D86" s="1" t="s">
        <v>5</v>
      </c>
      <c r="E86" s="1" t="s">
        <v>15</v>
      </c>
      <c r="F86" s="1" t="s">
        <v>50</v>
      </c>
      <c r="G86" s="1" t="s">
        <v>50</v>
      </c>
      <c r="H86" s="1"/>
      <c r="I86" s="1" t="s">
        <v>50</v>
      </c>
      <c r="J86" s="1" t="s">
        <v>50</v>
      </c>
      <c r="K86" s="1" t="s">
        <v>50</v>
      </c>
      <c r="L86" s="1" t="s">
        <v>50</v>
      </c>
      <c r="M86" s="1" t="s">
        <v>50</v>
      </c>
      <c r="N86" s="1" t="s">
        <v>50</v>
      </c>
      <c r="O86" s="1" t="s">
        <v>50</v>
      </c>
      <c r="P86" s="1" t="s">
        <v>2429</v>
      </c>
      <c r="Q86" s="1" t="s">
        <v>104</v>
      </c>
      <c r="R86" s="1" t="s">
        <v>104</v>
      </c>
      <c r="S86" s="1" t="s">
        <v>104</v>
      </c>
      <c r="T86" s="1" t="s">
        <v>104</v>
      </c>
      <c r="U86" s="1" t="s">
        <v>104</v>
      </c>
      <c r="V86" s="1" t="s">
        <v>104</v>
      </c>
      <c r="W86" s="1" t="s">
        <v>104</v>
      </c>
      <c r="X86" s="1" t="s">
        <v>2121</v>
      </c>
      <c r="Y86" s="1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>
        <v>1</v>
      </c>
      <c r="AM86" s="8">
        <v>1</v>
      </c>
      <c r="AN86" s="8">
        <v>1</v>
      </c>
      <c r="AO86" s="8"/>
      <c r="AP86" s="8">
        <v>1</v>
      </c>
      <c r="AQ86" s="8"/>
      <c r="AR86" s="8">
        <v>1</v>
      </c>
      <c r="AS86" s="8"/>
      <c r="AT86" s="8"/>
      <c r="AU86" s="8"/>
      <c r="AV86" s="8"/>
      <c r="AW86" s="8"/>
      <c r="AX86" s="8"/>
      <c r="AY86" s="8"/>
      <c r="AZ86" s="8"/>
      <c r="BA86" s="8"/>
      <c r="BB86" s="1">
        <v>1</v>
      </c>
      <c r="BL86" s="58"/>
      <c r="BP86" t="str">
        <f t="shared" si="2"/>
        <v>IceWater</v>
      </c>
      <c r="BQ86" t="s">
        <v>2</v>
      </c>
      <c r="BR86">
        <v>5</v>
      </c>
    </row>
    <row r="87" spans="1:70" x14ac:dyDescent="0.25">
      <c r="A87">
        <f t="shared" si="3"/>
        <v>86</v>
      </c>
      <c r="B87" t="s">
        <v>391</v>
      </c>
      <c r="D87" s="1" t="s">
        <v>5</v>
      </c>
      <c r="E87" s="1" t="s">
        <v>15</v>
      </c>
      <c r="F87" s="1" t="s">
        <v>50</v>
      </c>
      <c r="G87" s="1" t="s">
        <v>50</v>
      </c>
      <c r="H87" s="1"/>
      <c r="I87" s="1" t="s">
        <v>50</v>
      </c>
      <c r="J87" s="1" t="s">
        <v>50</v>
      </c>
      <c r="K87" s="1" t="s">
        <v>50</v>
      </c>
      <c r="L87" s="1" t="s">
        <v>50</v>
      </c>
      <c r="M87" s="1" t="s">
        <v>104</v>
      </c>
      <c r="N87" s="1" t="s">
        <v>50</v>
      </c>
      <c r="O87" s="1" t="s">
        <v>50</v>
      </c>
      <c r="P87" s="1" t="s">
        <v>2429</v>
      </c>
      <c r="Q87" s="1" t="s">
        <v>104</v>
      </c>
      <c r="R87" s="1" t="s">
        <v>104</v>
      </c>
      <c r="S87" s="1" t="s">
        <v>104</v>
      </c>
      <c r="T87" s="1" t="s">
        <v>104</v>
      </c>
      <c r="U87" s="1" t="s">
        <v>104</v>
      </c>
      <c r="V87" s="1" t="s">
        <v>104</v>
      </c>
      <c r="W87" s="1" t="s">
        <v>104</v>
      </c>
      <c r="X87" s="1" t="s">
        <v>2121</v>
      </c>
      <c r="Y87" s="1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>
        <v>1</v>
      </c>
      <c r="AM87" s="8">
        <v>1</v>
      </c>
      <c r="AN87" s="8">
        <v>1</v>
      </c>
      <c r="AO87" s="8"/>
      <c r="AP87" s="8">
        <v>1</v>
      </c>
      <c r="AQ87" s="8"/>
      <c r="AR87" s="8">
        <v>1</v>
      </c>
      <c r="AS87" s="8"/>
      <c r="AT87" s="8"/>
      <c r="AU87" s="8"/>
      <c r="AV87" s="8"/>
      <c r="AW87" s="8"/>
      <c r="AX87" s="8"/>
      <c r="AY87" s="8"/>
      <c r="AZ87" s="8"/>
      <c r="BA87" s="8"/>
      <c r="BB87" s="1"/>
      <c r="BL87" s="58"/>
      <c r="BP87" t="str">
        <f t="shared" si="2"/>
        <v>IceWater</v>
      </c>
      <c r="BQ87" t="s">
        <v>2</v>
      </c>
      <c r="BR87">
        <v>5</v>
      </c>
    </row>
    <row r="88" spans="1:70" x14ac:dyDescent="0.25">
      <c r="A88">
        <f t="shared" si="3"/>
        <v>87</v>
      </c>
      <c r="B88" t="s">
        <v>180</v>
      </c>
      <c r="D88" s="1" t="s">
        <v>5</v>
      </c>
      <c r="E88" s="1" t="s">
        <v>15</v>
      </c>
      <c r="F88" s="1" t="s">
        <v>50</v>
      </c>
      <c r="G88" s="1" t="s">
        <v>50</v>
      </c>
      <c r="H88" s="1" t="s">
        <v>50</v>
      </c>
      <c r="I88" s="1" t="s">
        <v>50</v>
      </c>
      <c r="J88" s="1" t="s">
        <v>50</v>
      </c>
      <c r="K88" s="1" t="s">
        <v>50</v>
      </c>
      <c r="L88" s="1" t="s">
        <v>50</v>
      </c>
      <c r="M88" s="1" t="s">
        <v>104</v>
      </c>
      <c r="N88" s="1" t="s">
        <v>50</v>
      </c>
      <c r="O88" s="1" t="s">
        <v>50</v>
      </c>
      <c r="P88" s="1" t="s">
        <v>2429</v>
      </c>
      <c r="Q88" s="1" t="s">
        <v>50</v>
      </c>
      <c r="R88" s="1" t="s">
        <v>50</v>
      </c>
      <c r="S88" s="1" t="s">
        <v>50</v>
      </c>
      <c r="T88" s="1" t="s">
        <v>50</v>
      </c>
      <c r="U88" s="1" t="s">
        <v>50</v>
      </c>
      <c r="V88" s="1" t="s">
        <v>50</v>
      </c>
      <c r="W88" s="1" t="s">
        <v>50</v>
      </c>
      <c r="X88" s="1" t="s">
        <v>2121</v>
      </c>
      <c r="Y88" s="1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>
        <v>1</v>
      </c>
      <c r="AM88" s="8">
        <v>1</v>
      </c>
      <c r="AN88" s="8">
        <v>1</v>
      </c>
      <c r="AO88" s="8"/>
      <c r="AP88" s="8">
        <v>1</v>
      </c>
      <c r="AQ88" s="8"/>
      <c r="AR88" s="8">
        <v>1</v>
      </c>
      <c r="AS88" s="8"/>
      <c r="AT88" s="8"/>
      <c r="AU88" s="8"/>
      <c r="AV88" s="8"/>
      <c r="AW88" s="8"/>
      <c r="AX88" s="8"/>
      <c r="AY88" s="8"/>
      <c r="AZ88" s="8"/>
      <c r="BA88" s="8"/>
      <c r="BB88" s="1"/>
      <c r="BJ88">
        <v>3</v>
      </c>
      <c r="BK88">
        <v>2</v>
      </c>
      <c r="BL88" s="58"/>
      <c r="BP88" t="str">
        <f t="shared" si="2"/>
        <v>IceWater</v>
      </c>
      <c r="BR88">
        <v>5</v>
      </c>
    </row>
    <row r="89" spans="1:70" x14ac:dyDescent="0.25">
      <c r="A89">
        <f t="shared" si="3"/>
        <v>88</v>
      </c>
      <c r="B89" t="s">
        <v>181</v>
      </c>
      <c r="D89" s="1" t="s">
        <v>7</v>
      </c>
      <c r="E89" s="1" t="s">
        <v>15</v>
      </c>
      <c r="F89" s="1" t="s">
        <v>50</v>
      </c>
      <c r="G89" s="1" t="s">
        <v>50</v>
      </c>
      <c r="H89" s="1"/>
      <c r="I89" s="1" t="s">
        <v>50</v>
      </c>
      <c r="J89" s="1" t="s">
        <v>50</v>
      </c>
      <c r="K89" s="1" t="s">
        <v>50</v>
      </c>
      <c r="L89" s="1" t="s">
        <v>50</v>
      </c>
      <c r="M89" s="1" t="s">
        <v>50</v>
      </c>
      <c r="N89" s="1" t="s">
        <v>50</v>
      </c>
      <c r="O89" s="1" t="s">
        <v>50</v>
      </c>
      <c r="P89" s="1" t="s">
        <v>832</v>
      </c>
      <c r="Q89" s="1" t="s">
        <v>104</v>
      </c>
      <c r="R89" s="1" t="s">
        <v>104</v>
      </c>
      <c r="S89" s="1" t="s">
        <v>104</v>
      </c>
      <c r="T89" s="1" t="s">
        <v>104</v>
      </c>
      <c r="U89" s="1" t="s">
        <v>104</v>
      </c>
      <c r="V89" s="1" t="s">
        <v>104</v>
      </c>
      <c r="W89" s="1" t="s">
        <v>104</v>
      </c>
      <c r="X89" s="1" t="s">
        <v>2565</v>
      </c>
      <c r="Y89" s="1"/>
      <c r="Z89" s="8"/>
      <c r="AA89" s="8"/>
      <c r="AB89" s="8"/>
      <c r="AC89" s="8"/>
      <c r="AD89" s="8"/>
      <c r="AE89" s="8"/>
      <c r="AF89" s="8"/>
      <c r="AG89" s="8"/>
      <c r="AH89" s="8"/>
      <c r="AI89" s="8">
        <v>1</v>
      </c>
      <c r="AJ89" s="8"/>
      <c r="AK89" s="8">
        <v>1</v>
      </c>
      <c r="AL89" s="8">
        <v>1</v>
      </c>
      <c r="AM89" s="8">
        <v>1</v>
      </c>
      <c r="AN89" s="8">
        <v>1</v>
      </c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>
        <v>1</v>
      </c>
      <c r="BL89" s="58"/>
      <c r="BP89" t="str">
        <f t="shared" si="2"/>
        <v>FairyWater</v>
      </c>
      <c r="BQ89" t="s">
        <v>2</v>
      </c>
      <c r="BR89">
        <v>4</v>
      </c>
    </row>
    <row r="90" spans="1:70" x14ac:dyDescent="0.25">
      <c r="A90">
        <f t="shared" si="3"/>
        <v>89</v>
      </c>
      <c r="B90" t="s">
        <v>182</v>
      </c>
      <c r="D90" s="1" t="s">
        <v>7</v>
      </c>
      <c r="E90" s="1" t="s">
        <v>15</v>
      </c>
      <c r="F90" s="1" t="s">
        <v>50</v>
      </c>
      <c r="G90" s="1" t="s">
        <v>50</v>
      </c>
      <c r="H90" s="1" t="s">
        <v>50</v>
      </c>
      <c r="I90" s="1" t="s">
        <v>50</v>
      </c>
      <c r="J90" s="1" t="s">
        <v>50</v>
      </c>
      <c r="K90" s="1" t="s">
        <v>50</v>
      </c>
      <c r="L90" s="1" t="s">
        <v>50</v>
      </c>
      <c r="M90" s="1" t="s">
        <v>104</v>
      </c>
      <c r="N90" s="1" t="s">
        <v>50</v>
      </c>
      <c r="O90" s="1" t="s">
        <v>50</v>
      </c>
      <c r="P90" s="1" t="s">
        <v>832</v>
      </c>
      <c r="Q90" s="1" t="s">
        <v>104</v>
      </c>
      <c r="R90" s="1" t="s">
        <v>104</v>
      </c>
      <c r="S90" s="1" t="s">
        <v>104</v>
      </c>
      <c r="T90" s="1" t="s">
        <v>104</v>
      </c>
      <c r="U90" s="1" t="s">
        <v>104</v>
      </c>
      <c r="V90" s="1" t="s">
        <v>104</v>
      </c>
      <c r="W90" s="1" t="s">
        <v>104</v>
      </c>
      <c r="X90" s="1" t="s">
        <v>2565</v>
      </c>
      <c r="Y90" s="1"/>
      <c r="Z90" s="8"/>
      <c r="AA90" s="8"/>
      <c r="AB90" s="8"/>
      <c r="AC90" s="8"/>
      <c r="AD90" s="8"/>
      <c r="AE90" s="8"/>
      <c r="AF90" s="8"/>
      <c r="AG90" s="8"/>
      <c r="AH90" s="8"/>
      <c r="AI90" s="8">
        <v>1</v>
      </c>
      <c r="AJ90" s="8"/>
      <c r="AK90" s="8">
        <v>1</v>
      </c>
      <c r="AL90" s="8">
        <v>1</v>
      </c>
      <c r="AM90" s="8">
        <v>1</v>
      </c>
      <c r="AN90" s="8">
        <v>1</v>
      </c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1"/>
      <c r="BJ90">
        <v>4</v>
      </c>
      <c r="BL90" s="58"/>
      <c r="BP90" t="str">
        <f t="shared" si="2"/>
        <v>FairyWater</v>
      </c>
      <c r="BR90">
        <v>4</v>
      </c>
    </row>
    <row r="91" spans="1:70" x14ac:dyDescent="0.25">
      <c r="A91">
        <f t="shared" si="3"/>
        <v>90</v>
      </c>
      <c r="B91" t="s">
        <v>183</v>
      </c>
      <c r="D91" s="1" t="s">
        <v>9</v>
      </c>
      <c r="E91" s="1" t="s">
        <v>12</v>
      </c>
      <c r="F91" s="1" t="s">
        <v>50</v>
      </c>
      <c r="G91" s="1" t="s">
        <v>50</v>
      </c>
      <c r="H91" s="1"/>
      <c r="I91" s="1" t="s">
        <v>50</v>
      </c>
      <c r="J91" s="1" t="s">
        <v>50</v>
      </c>
      <c r="K91" s="1" t="s">
        <v>50</v>
      </c>
      <c r="L91" s="1"/>
      <c r="M91" s="1" t="s">
        <v>50</v>
      </c>
      <c r="N91" s="1" t="s">
        <v>50</v>
      </c>
      <c r="O91" s="1" t="s">
        <v>50</v>
      </c>
      <c r="P91" s="1" t="s">
        <v>2499</v>
      </c>
      <c r="Q91" s="1" t="s">
        <v>104</v>
      </c>
      <c r="R91" s="1" t="s">
        <v>104</v>
      </c>
      <c r="S91" s="1" t="s">
        <v>104</v>
      </c>
      <c r="T91" s="1" t="s">
        <v>104</v>
      </c>
      <c r="U91" s="1" t="s">
        <v>104</v>
      </c>
      <c r="V91" s="1" t="s">
        <v>104</v>
      </c>
      <c r="W91" s="1" t="s">
        <v>104</v>
      </c>
      <c r="X91" s="1" t="s">
        <v>726</v>
      </c>
      <c r="Y91" s="1"/>
      <c r="Z91" s="8"/>
      <c r="AA91" s="8"/>
      <c r="AB91" s="8"/>
      <c r="AC91" s="8"/>
      <c r="AD91" s="8"/>
      <c r="AE91" s="8"/>
      <c r="AF91" s="8"/>
      <c r="AG91" s="8"/>
      <c r="AH91" s="8">
        <v>1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>
        <v>1</v>
      </c>
      <c r="AT91" s="8"/>
      <c r="AU91" s="8"/>
      <c r="AV91" s="8"/>
      <c r="AW91" s="8"/>
      <c r="AX91" s="8">
        <v>1</v>
      </c>
      <c r="AY91" s="8">
        <v>1</v>
      </c>
      <c r="AZ91" s="8"/>
      <c r="BA91" s="8"/>
      <c r="BB91" s="1">
        <v>1</v>
      </c>
      <c r="BL91" s="58"/>
      <c r="BP91" t="str">
        <f t="shared" si="2"/>
        <v>RockDragon</v>
      </c>
      <c r="BQ91" t="s">
        <v>2</v>
      </c>
      <c r="BR91">
        <v>2</v>
      </c>
    </row>
    <row r="92" spans="1:70" x14ac:dyDescent="0.25">
      <c r="A92">
        <f t="shared" si="3"/>
        <v>91</v>
      </c>
      <c r="B92" t="s">
        <v>184</v>
      </c>
      <c r="D92" s="1" t="s">
        <v>9</v>
      </c>
      <c r="E92" s="1" t="s">
        <v>12</v>
      </c>
      <c r="F92" s="1" t="s">
        <v>50</v>
      </c>
      <c r="G92" s="1" t="s">
        <v>50</v>
      </c>
      <c r="H92" s="1" t="s">
        <v>50</v>
      </c>
      <c r="I92" s="1" t="s">
        <v>50</v>
      </c>
      <c r="J92" s="1" t="s">
        <v>50</v>
      </c>
      <c r="K92" s="1" t="s">
        <v>50</v>
      </c>
      <c r="L92" s="1"/>
      <c r="M92" s="1" t="s">
        <v>104</v>
      </c>
      <c r="N92" s="1" t="s">
        <v>50</v>
      </c>
      <c r="O92" s="1" t="s">
        <v>50</v>
      </c>
      <c r="P92" s="1" t="s">
        <v>2503</v>
      </c>
      <c r="Q92" s="1" t="s">
        <v>50</v>
      </c>
      <c r="R92" s="1" t="s">
        <v>50</v>
      </c>
      <c r="S92" s="1" t="s">
        <v>50</v>
      </c>
      <c r="T92" s="1" t="s">
        <v>50</v>
      </c>
      <c r="U92" s="1" t="s">
        <v>50</v>
      </c>
      <c r="V92" s="1" t="s">
        <v>50</v>
      </c>
      <c r="W92" s="1" t="s">
        <v>50</v>
      </c>
      <c r="X92" s="1" t="s">
        <v>726</v>
      </c>
      <c r="Y92" s="1"/>
      <c r="Z92" s="8"/>
      <c r="AA92" s="8"/>
      <c r="AB92" s="8"/>
      <c r="AC92" s="8"/>
      <c r="AD92" s="8"/>
      <c r="AE92" s="8"/>
      <c r="AF92" s="8"/>
      <c r="AG92" s="8"/>
      <c r="AH92" s="8">
        <v>1</v>
      </c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>
        <v>1</v>
      </c>
      <c r="AT92" s="8"/>
      <c r="AU92" s="8"/>
      <c r="AV92" s="8"/>
      <c r="AW92" s="8"/>
      <c r="AX92" s="8">
        <v>1</v>
      </c>
      <c r="AY92" s="8">
        <v>1</v>
      </c>
      <c r="AZ92" s="8"/>
      <c r="BA92" s="8"/>
      <c r="BB92" s="1"/>
      <c r="BJ92">
        <v>2</v>
      </c>
      <c r="BK92">
        <v>1</v>
      </c>
      <c r="BL92" s="58">
        <v>1</v>
      </c>
      <c r="BP92" t="str">
        <f t="shared" si="2"/>
        <v>RockDragon</v>
      </c>
      <c r="BR92">
        <v>4</v>
      </c>
    </row>
    <row r="93" spans="1:70" x14ac:dyDescent="0.25">
      <c r="A93">
        <f t="shared" si="3"/>
        <v>92</v>
      </c>
      <c r="B93" t="s">
        <v>185</v>
      </c>
      <c r="D93" s="1" t="s">
        <v>0</v>
      </c>
      <c r="E93" s="1" t="s">
        <v>14</v>
      </c>
      <c r="F93" s="1" t="s">
        <v>50</v>
      </c>
      <c r="G93" s="1" t="s">
        <v>50</v>
      </c>
      <c r="H93" s="1"/>
      <c r="I93" s="1" t="s">
        <v>50</v>
      </c>
      <c r="J93" s="1" t="s">
        <v>50</v>
      </c>
      <c r="K93" s="1" t="s">
        <v>50</v>
      </c>
      <c r="L93" s="1" t="s">
        <v>50</v>
      </c>
      <c r="M93" s="1" t="s">
        <v>50</v>
      </c>
      <c r="N93" s="1" t="s">
        <v>50</v>
      </c>
      <c r="O93" s="1" t="s">
        <v>50</v>
      </c>
      <c r="P93" s="1" t="s">
        <v>832</v>
      </c>
      <c r="Q93" s="1" t="s">
        <v>104</v>
      </c>
      <c r="R93" s="1" t="s">
        <v>104</v>
      </c>
      <c r="S93" s="1" t="s">
        <v>104</v>
      </c>
      <c r="T93" s="1" t="s">
        <v>104</v>
      </c>
      <c r="U93" s="1" t="s">
        <v>104</v>
      </c>
      <c r="V93" s="1" t="s">
        <v>104</v>
      </c>
      <c r="W93" s="1" t="s">
        <v>104</v>
      </c>
      <c r="X93" s="1" t="s">
        <v>727</v>
      </c>
      <c r="Y93" s="1"/>
      <c r="Z93" s="8"/>
      <c r="AA93" s="8"/>
      <c r="AB93" s="8"/>
      <c r="AC93" s="8"/>
      <c r="AD93" s="8"/>
      <c r="AE93" s="8"/>
      <c r="AF93" s="8"/>
      <c r="AG93" s="8">
        <v>1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>
        <v>1</v>
      </c>
      <c r="AT93" s="8">
        <v>1</v>
      </c>
      <c r="AU93" s="8"/>
      <c r="AV93" s="8"/>
      <c r="AW93" s="8"/>
      <c r="AX93" s="8"/>
      <c r="AY93" s="8">
        <v>1</v>
      </c>
      <c r="AZ93" s="8"/>
      <c r="BA93" s="8"/>
      <c r="BB93" s="1">
        <v>1</v>
      </c>
      <c r="BL93" s="58"/>
      <c r="BP93" t="str">
        <f t="shared" si="2"/>
        <v>DarkGhost</v>
      </c>
      <c r="BQ93" t="s">
        <v>2</v>
      </c>
      <c r="BR93">
        <v>5</v>
      </c>
    </row>
    <row r="94" spans="1:70" x14ac:dyDescent="0.25">
      <c r="A94">
        <f t="shared" si="3"/>
        <v>93</v>
      </c>
      <c r="B94" t="s">
        <v>392</v>
      </c>
      <c r="D94" s="1" t="s">
        <v>0</v>
      </c>
      <c r="E94" s="1" t="s">
        <v>14</v>
      </c>
      <c r="F94" s="1" t="s">
        <v>50</v>
      </c>
      <c r="G94" s="1" t="s">
        <v>50</v>
      </c>
      <c r="H94" s="1"/>
      <c r="I94" s="1" t="s">
        <v>50</v>
      </c>
      <c r="J94" s="1" t="s">
        <v>50</v>
      </c>
      <c r="K94" s="1" t="s">
        <v>50</v>
      </c>
      <c r="L94" s="1"/>
      <c r="M94" s="1" t="s">
        <v>104</v>
      </c>
      <c r="N94" s="1" t="s">
        <v>50</v>
      </c>
      <c r="O94" s="1" t="s">
        <v>50</v>
      </c>
      <c r="P94" s="1" t="s">
        <v>832</v>
      </c>
      <c r="Q94" s="1" t="s">
        <v>104</v>
      </c>
      <c r="R94" s="1" t="s">
        <v>104</v>
      </c>
      <c r="S94" s="1" t="s">
        <v>104</v>
      </c>
      <c r="T94" s="1" t="s">
        <v>104</v>
      </c>
      <c r="U94" s="1" t="s">
        <v>104</v>
      </c>
      <c r="V94" s="1" t="s">
        <v>104</v>
      </c>
      <c r="W94" s="1" t="s">
        <v>104</v>
      </c>
      <c r="X94" s="1" t="s">
        <v>727</v>
      </c>
      <c r="Y94" s="1"/>
      <c r="Z94" s="8"/>
      <c r="AA94" s="8"/>
      <c r="AB94" s="8"/>
      <c r="AC94" s="8"/>
      <c r="AD94" s="8"/>
      <c r="AE94" s="8"/>
      <c r="AF94" s="8"/>
      <c r="AG94" s="8">
        <v>1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>
        <v>1</v>
      </c>
      <c r="AT94" s="8">
        <v>1</v>
      </c>
      <c r="AU94" s="8"/>
      <c r="AV94" s="8"/>
      <c r="AW94" s="8"/>
      <c r="AX94" s="8"/>
      <c r="AY94" s="8">
        <v>1</v>
      </c>
      <c r="AZ94" s="8"/>
      <c r="BA94" s="8"/>
      <c r="BB94" s="1"/>
      <c r="BL94" s="58"/>
      <c r="BP94" t="str">
        <f t="shared" si="2"/>
        <v>DarkGhost</v>
      </c>
      <c r="BQ94" t="s">
        <v>2</v>
      </c>
      <c r="BR94">
        <v>5</v>
      </c>
    </row>
    <row r="95" spans="1:70" x14ac:dyDescent="0.25">
      <c r="A95">
        <f t="shared" si="3"/>
        <v>94</v>
      </c>
      <c r="B95" t="s">
        <v>393</v>
      </c>
      <c r="D95" s="1" t="s">
        <v>0</v>
      </c>
      <c r="E95" s="1" t="s">
        <v>14</v>
      </c>
      <c r="F95" s="1" t="s">
        <v>50</v>
      </c>
      <c r="G95" s="1" t="s">
        <v>50</v>
      </c>
      <c r="H95" s="1" t="s">
        <v>50</v>
      </c>
      <c r="I95" s="1" t="s">
        <v>50</v>
      </c>
      <c r="J95" s="1" t="s">
        <v>50</v>
      </c>
      <c r="K95" s="1" t="s">
        <v>50</v>
      </c>
      <c r="L95" s="1" t="s">
        <v>50</v>
      </c>
      <c r="M95" s="1" t="s">
        <v>104</v>
      </c>
      <c r="N95" s="1" t="s">
        <v>50</v>
      </c>
      <c r="O95" s="1" t="s">
        <v>50</v>
      </c>
      <c r="P95" s="1" t="s">
        <v>832</v>
      </c>
      <c r="Q95" s="1" t="s">
        <v>104</v>
      </c>
      <c r="R95" s="1" t="s">
        <v>104</v>
      </c>
      <c r="S95" s="1" t="s">
        <v>104</v>
      </c>
      <c r="T95" s="1" t="s">
        <v>104</v>
      </c>
      <c r="U95" s="1" t="s">
        <v>104</v>
      </c>
      <c r="V95" s="1" t="s">
        <v>104</v>
      </c>
      <c r="W95" s="1" t="s">
        <v>104</v>
      </c>
      <c r="X95" s="1" t="s">
        <v>727</v>
      </c>
      <c r="Y95" s="1"/>
      <c r="Z95" s="8"/>
      <c r="AA95" s="8"/>
      <c r="AB95" s="8"/>
      <c r="AC95" s="8"/>
      <c r="AD95" s="8"/>
      <c r="AE95" s="8"/>
      <c r="AF95" s="8"/>
      <c r="AG95" s="8">
        <v>1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>
        <v>1</v>
      </c>
      <c r="AT95" s="8">
        <v>1</v>
      </c>
      <c r="AU95" s="8"/>
      <c r="AV95" s="8"/>
      <c r="AW95" s="8"/>
      <c r="AX95" s="8"/>
      <c r="AY95" s="8">
        <v>1</v>
      </c>
      <c r="AZ95" s="8"/>
      <c r="BA95" s="8"/>
      <c r="BB95" s="1"/>
      <c r="BJ95">
        <v>12</v>
      </c>
      <c r="BK95">
        <v>1</v>
      </c>
      <c r="BL95" s="58"/>
      <c r="BP95" t="str">
        <f t="shared" si="2"/>
        <v>DarkGhost</v>
      </c>
      <c r="BR95">
        <v>5</v>
      </c>
    </row>
    <row r="96" spans="1:70" x14ac:dyDescent="0.25">
      <c r="A96">
        <f t="shared" si="3"/>
        <v>95</v>
      </c>
      <c r="B96" t="s">
        <v>394</v>
      </c>
      <c r="D96" s="1" t="s">
        <v>13</v>
      </c>
      <c r="E96" s="1" t="s">
        <v>16</v>
      </c>
      <c r="F96" s="1" t="s">
        <v>50</v>
      </c>
      <c r="G96" s="1" t="s">
        <v>50</v>
      </c>
      <c r="H96" s="1"/>
      <c r="I96" s="1" t="s">
        <v>50</v>
      </c>
      <c r="J96" s="1" t="s">
        <v>50</v>
      </c>
      <c r="K96" s="1" t="s">
        <v>50</v>
      </c>
      <c r="L96" s="1" t="s">
        <v>50</v>
      </c>
      <c r="M96" s="1" t="s">
        <v>50</v>
      </c>
      <c r="N96" s="1" t="s">
        <v>50</v>
      </c>
      <c r="O96" s="1" t="s">
        <v>50</v>
      </c>
      <c r="P96" s="13" t="s">
        <v>788</v>
      </c>
      <c r="Q96" s="1" t="s">
        <v>104</v>
      </c>
      <c r="R96" s="1" t="s">
        <v>104</v>
      </c>
      <c r="S96" s="1" t="s">
        <v>104</v>
      </c>
      <c r="T96" s="1" t="s">
        <v>104</v>
      </c>
      <c r="U96" s="1" t="s">
        <v>104</v>
      </c>
      <c r="V96" s="1" t="s">
        <v>104</v>
      </c>
      <c r="W96" s="1" t="s">
        <v>104</v>
      </c>
      <c r="X96" s="1" t="s">
        <v>2121</v>
      </c>
      <c r="Y96" s="1"/>
      <c r="Z96" s="8">
        <v>1</v>
      </c>
      <c r="AA96" s="8"/>
      <c r="AB96" s="8"/>
      <c r="AC96" s="8"/>
      <c r="AD96" s="8"/>
      <c r="AE96" s="8"/>
      <c r="AF96" s="8"/>
      <c r="AG96" s="8">
        <v>1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>
        <v>1</v>
      </c>
      <c r="AY96" s="8"/>
      <c r="AZ96" s="8"/>
      <c r="BA96" s="8"/>
      <c r="BB96" s="1">
        <v>1</v>
      </c>
      <c r="BL96" s="58"/>
      <c r="BP96" t="str">
        <f t="shared" si="2"/>
        <v>FireFlying</v>
      </c>
      <c r="BQ96" t="s">
        <v>2</v>
      </c>
      <c r="BR96">
        <v>4</v>
      </c>
    </row>
    <row r="97" spans="1:70" x14ac:dyDescent="0.25">
      <c r="A97">
        <f t="shared" si="3"/>
        <v>96</v>
      </c>
      <c r="B97" t="s">
        <v>395</v>
      </c>
      <c r="D97" s="1" t="s">
        <v>13</v>
      </c>
      <c r="E97" s="1" t="s">
        <v>16</v>
      </c>
      <c r="F97" s="1" t="s">
        <v>50</v>
      </c>
      <c r="G97" s="1" t="s">
        <v>50</v>
      </c>
      <c r="H97" s="1" t="s">
        <v>50</v>
      </c>
      <c r="I97" s="1" t="s">
        <v>50</v>
      </c>
      <c r="J97" s="1" t="s">
        <v>50</v>
      </c>
      <c r="K97" s="1" t="s">
        <v>50</v>
      </c>
      <c r="L97" s="1" t="s">
        <v>50</v>
      </c>
      <c r="M97" s="1" t="s">
        <v>104</v>
      </c>
      <c r="N97" s="1" t="s">
        <v>50</v>
      </c>
      <c r="O97" s="1" t="s">
        <v>50</v>
      </c>
      <c r="P97" s="13" t="s">
        <v>788</v>
      </c>
      <c r="Q97" s="1" t="s">
        <v>104</v>
      </c>
      <c r="R97" s="1" t="s">
        <v>104</v>
      </c>
      <c r="S97" s="1" t="s">
        <v>104</v>
      </c>
      <c r="T97" s="1" t="s">
        <v>104</v>
      </c>
      <c r="U97" s="1" t="s">
        <v>104</v>
      </c>
      <c r="V97" s="1" t="s">
        <v>104</v>
      </c>
      <c r="W97" s="1" t="s">
        <v>104</v>
      </c>
      <c r="X97" s="1" t="s">
        <v>2121</v>
      </c>
      <c r="Y97" s="1"/>
      <c r="Z97" s="8">
        <v>1</v>
      </c>
      <c r="AA97" s="8"/>
      <c r="AB97" s="8"/>
      <c r="AC97" s="8"/>
      <c r="AD97" s="8"/>
      <c r="AE97" s="8"/>
      <c r="AF97" s="8"/>
      <c r="AG97" s="8">
        <v>1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>
        <v>1</v>
      </c>
      <c r="AY97" s="8"/>
      <c r="AZ97" s="8"/>
      <c r="BA97" s="8"/>
      <c r="BB97" s="1"/>
      <c r="BL97" s="58"/>
      <c r="BP97" t="str">
        <f t="shared" si="2"/>
        <v>FireFlying</v>
      </c>
      <c r="BR97">
        <v>4</v>
      </c>
    </row>
    <row r="98" spans="1:70" x14ac:dyDescent="0.25">
      <c r="A98">
        <f t="shared" si="3"/>
        <v>97</v>
      </c>
      <c r="B98" t="s">
        <v>186</v>
      </c>
      <c r="D98" s="1" t="s">
        <v>14</v>
      </c>
      <c r="E98" s="1" t="s">
        <v>7</v>
      </c>
      <c r="F98" s="1" t="s">
        <v>50</v>
      </c>
      <c r="G98" s="1" t="s">
        <v>50</v>
      </c>
      <c r="H98" s="1"/>
      <c r="I98" s="1" t="s">
        <v>50</v>
      </c>
      <c r="J98" s="1" t="s">
        <v>50</v>
      </c>
      <c r="K98" s="1" t="s">
        <v>50</v>
      </c>
      <c r="L98" s="1" t="s">
        <v>50</v>
      </c>
      <c r="M98" s="1" t="s">
        <v>50</v>
      </c>
      <c r="N98" s="1" t="s">
        <v>50</v>
      </c>
      <c r="O98" s="1" t="s">
        <v>50</v>
      </c>
      <c r="P98" s="1" t="s">
        <v>832</v>
      </c>
      <c r="Q98" s="1" t="s">
        <v>104</v>
      </c>
      <c r="R98" s="1" t="s">
        <v>104</v>
      </c>
      <c r="S98" s="1" t="s">
        <v>104</v>
      </c>
      <c r="T98" s="1" t="s">
        <v>104</v>
      </c>
      <c r="U98" s="1" t="s">
        <v>104</v>
      </c>
      <c r="V98" s="1" t="s">
        <v>104</v>
      </c>
      <c r="W98" s="1" t="s">
        <v>104</v>
      </c>
      <c r="X98" s="1" t="s">
        <v>2457</v>
      </c>
      <c r="Y98" s="1"/>
      <c r="Z98" s="8"/>
      <c r="AA98" s="8"/>
      <c r="AB98" s="8"/>
      <c r="AC98" s="8"/>
      <c r="AD98" s="8"/>
      <c r="AE98" s="8"/>
      <c r="AF98" s="8"/>
      <c r="AG98" s="8">
        <v>1</v>
      </c>
      <c r="AH98" s="8">
        <v>1</v>
      </c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>
        <v>1</v>
      </c>
      <c r="AT98" s="8"/>
      <c r="AU98" s="8"/>
      <c r="AV98" s="8"/>
      <c r="AW98" s="8"/>
      <c r="AX98" s="8"/>
      <c r="AY98" s="8"/>
      <c r="AZ98" s="8"/>
      <c r="BA98" s="8"/>
      <c r="BB98" s="1">
        <v>1</v>
      </c>
      <c r="BL98" s="58"/>
      <c r="BP98" t="str">
        <f t="shared" si="2"/>
        <v>GhostFairy</v>
      </c>
      <c r="BQ98" t="s">
        <v>2</v>
      </c>
      <c r="BR98">
        <v>5</v>
      </c>
    </row>
    <row r="99" spans="1:70" x14ac:dyDescent="0.25">
      <c r="A99">
        <f t="shared" si="3"/>
        <v>98</v>
      </c>
      <c r="B99" t="s">
        <v>187</v>
      </c>
      <c r="D99" s="1" t="s">
        <v>14</v>
      </c>
      <c r="E99" s="1" t="s">
        <v>7</v>
      </c>
      <c r="F99" s="1" t="s">
        <v>50</v>
      </c>
      <c r="G99" s="1" t="s">
        <v>50</v>
      </c>
      <c r="H99" s="1" t="s">
        <v>50</v>
      </c>
      <c r="I99" s="1" t="s">
        <v>50</v>
      </c>
      <c r="J99" s="1" t="s">
        <v>50</v>
      </c>
      <c r="K99" s="1" t="s">
        <v>50</v>
      </c>
      <c r="L99" s="1" t="s">
        <v>50</v>
      </c>
      <c r="M99" s="1" t="s">
        <v>104</v>
      </c>
      <c r="N99" s="1" t="s">
        <v>50</v>
      </c>
      <c r="O99" s="1" t="s">
        <v>50</v>
      </c>
      <c r="P99" s="1" t="s">
        <v>832</v>
      </c>
      <c r="Q99" s="1" t="s">
        <v>104</v>
      </c>
      <c r="R99" s="1" t="s">
        <v>104</v>
      </c>
      <c r="S99" s="1" t="s">
        <v>104</v>
      </c>
      <c r="T99" s="1" t="s">
        <v>104</v>
      </c>
      <c r="U99" s="1" t="s">
        <v>104</v>
      </c>
      <c r="V99" s="1" t="s">
        <v>104</v>
      </c>
      <c r="W99" s="1" t="s">
        <v>104</v>
      </c>
      <c r="X99" s="1" t="s">
        <v>2457</v>
      </c>
      <c r="Y99" s="1"/>
      <c r="Z99" s="8"/>
      <c r="AA99" s="8"/>
      <c r="AB99" s="8"/>
      <c r="AC99" s="8"/>
      <c r="AD99" s="8"/>
      <c r="AE99" s="8"/>
      <c r="AF99" s="8"/>
      <c r="AG99" s="8"/>
      <c r="AH99" s="8">
        <v>1</v>
      </c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>
        <v>1</v>
      </c>
      <c r="AT99" s="8"/>
      <c r="AU99" s="8"/>
      <c r="AV99" s="8"/>
      <c r="AW99" s="8"/>
      <c r="AX99" s="8"/>
      <c r="AY99" s="8"/>
      <c r="AZ99" s="8"/>
      <c r="BA99" s="8"/>
      <c r="BB99" s="1"/>
      <c r="BJ99">
        <v>9</v>
      </c>
      <c r="BK99">
        <v>1</v>
      </c>
      <c r="BL99" s="58"/>
      <c r="BP99" t="str">
        <f t="shared" si="2"/>
        <v>GhostFairy</v>
      </c>
      <c r="BR99">
        <v>5</v>
      </c>
    </row>
    <row r="100" spans="1:70" x14ac:dyDescent="0.25">
      <c r="A100">
        <f t="shared" si="3"/>
        <v>99</v>
      </c>
      <c r="B100" t="s">
        <v>188</v>
      </c>
      <c r="D100" s="1" t="s">
        <v>8</v>
      </c>
      <c r="E100" s="1" t="s">
        <v>11</v>
      </c>
      <c r="F100" s="1" t="s">
        <v>50</v>
      </c>
      <c r="G100" s="1" t="s">
        <v>50</v>
      </c>
      <c r="H100" s="1"/>
      <c r="I100" s="1" t="s">
        <v>50</v>
      </c>
      <c r="J100" s="1" t="s">
        <v>50</v>
      </c>
      <c r="K100" s="1" t="s">
        <v>50</v>
      </c>
      <c r="L100" s="1"/>
      <c r="M100" s="1" t="s">
        <v>50</v>
      </c>
      <c r="N100" s="1" t="s">
        <v>50</v>
      </c>
      <c r="O100" s="1" t="s">
        <v>50</v>
      </c>
      <c r="P100" s="13" t="s">
        <v>810</v>
      </c>
      <c r="Q100" s="1" t="s">
        <v>104</v>
      </c>
      <c r="R100" s="1" t="s">
        <v>104</v>
      </c>
      <c r="S100" s="1" t="s">
        <v>104</v>
      </c>
      <c r="T100" s="1" t="s">
        <v>104</v>
      </c>
      <c r="U100" s="1" t="s">
        <v>104</v>
      </c>
      <c r="V100" s="1" t="s">
        <v>104</v>
      </c>
      <c r="W100" s="1" t="s">
        <v>104</v>
      </c>
      <c r="X100" s="1" t="s">
        <v>747</v>
      </c>
      <c r="Y100" s="1"/>
      <c r="Z100" s="8"/>
      <c r="AA100" s="8"/>
      <c r="AB100" s="8"/>
      <c r="AC100" s="8"/>
      <c r="AD100" s="8"/>
      <c r="AE100" s="8">
        <v>1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1">
        <v>1</v>
      </c>
      <c r="BK100">
        <v>1</v>
      </c>
      <c r="BL100" s="58"/>
      <c r="BP100" t="str">
        <f t="shared" si="2"/>
        <v>GroundGrass</v>
      </c>
      <c r="BQ100" t="s">
        <v>2</v>
      </c>
      <c r="BR100">
        <v>4</v>
      </c>
    </row>
    <row r="101" spans="1:70" x14ac:dyDescent="0.25">
      <c r="A101">
        <f t="shared" si="3"/>
        <v>100</v>
      </c>
      <c r="B101" t="s">
        <v>396</v>
      </c>
      <c r="D101" s="1" t="s">
        <v>8</v>
      </c>
      <c r="E101" s="1" t="s">
        <v>11</v>
      </c>
      <c r="F101" s="1" t="s">
        <v>50</v>
      </c>
      <c r="G101" s="1" t="s">
        <v>50</v>
      </c>
      <c r="H101" s="1" t="s">
        <v>50</v>
      </c>
      <c r="I101" s="1" t="s">
        <v>50</v>
      </c>
      <c r="J101" s="1" t="s">
        <v>50</v>
      </c>
      <c r="K101" s="1" t="s">
        <v>50</v>
      </c>
      <c r="L101" s="1"/>
      <c r="M101" s="1" t="s">
        <v>104</v>
      </c>
      <c r="N101" s="1" t="s">
        <v>50</v>
      </c>
      <c r="O101" s="1" t="s">
        <v>50</v>
      </c>
      <c r="P101" s="13" t="s">
        <v>810</v>
      </c>
      <c r="Q101" s="1" t="s">
        <v>1724</v>
      </c>
      <c r="R101" s="1" t="s">
        <v>1724</v>
      </c>
      <c r="S101" s="1" t="s">
        <v>1724</v>
      </c>
      <c r="T101" s="1" t="s">
        <v>1724</v>
      </c>
      <c r="U101" s="1" t="s">
        <v>1724</v>
      </c>
      <c r="V101" s="1" t="s">
        <v>1724</v>
      </c>
      <c r="W101" s="1" t="s">
        <v>1724</v>
      </c>
      <c r="X101" s="1" t="s">
        <v>2357</v>
      </c>
      <c r="Y101" s="1"/>
      <c r="Z101" s="8"/>
      <c r="AA101" s="8"/>
      <c r="AB101" s="8"/>
      <c r="AC101" s="8"/>
      <c r="AD101" s="8"/>
      <c r="AE101" s="8">
        <v>1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1">
        <v>6</v>
      </c>
      <c r="BJ101">
        <v>1</v>
      </c>
      <c r="BK101">
        <v>1</v>
      </c>
      <c r="BL101" s="58">
        <v>2</v>
      </c>
      <c r="BP101" t="str">
        <f t="shared" si="2"/>
        <v>GroundGrass</v>
      </c>
      <c r="BR101">
        <v>2</v>
      </c>
    </row>
    <row r="102" spans="1:70" x14ac:dyDescent="0.25">
      <c r="A102">
        <f t="shared" si="3"/>
        <v>101</v>
      </c>
      <c r="B102" t="s">
        <v>397</v>
      </c>
      <c r="D102" s="1" t="s">
        <v>12</v>
      </c>
      <c r="E102" s="1" t="s">
        <v>18</v>
      </c>
      <c r="F102" s="1" t="s">
        <v>50</v>
      </c>
      <c r="G102" s="1" t="s">
        <v>50</v>
      </c>
      <c r="H102" s="1" t="s">
        <v>50</v>
      </c>
      <c r="I102" s="1" t="s">
        <v>50</v>
      </c>
      <c r="J102" s="1" t="s">
        <v>50</v>
      </c>
      <c r="K102" s="1" t="s">
        <v>50</v>
      </c>
      <c r="L102" s="1"/>
      <c r="M102" s="1" t="s">
        <v>50</v>
      </c>
      <c r="N102" s="1" t="s">
        <v>50</v>
      </c>
      <c r="O102" s="1" t="s">
        <v>50</v>
      </c>
      <c r="P102" s="1" t="s">
        <v>832</v>
      </c>
      <c r="Q102" s="1" t="s">
        <v>104</v>
      </c>
      <c r="R102" s="1" t="s">
        <v>104</v>
      </c>
      <c r="S102" s="1" t="s">
        <v>104</v>
      </c>
      <c r="T102" s="1" t="s">
        <v>104</v>
      </c>
      <c r="U102" s="1" t="s">
        <v>104</v>
      </c>
      <c r="V102" s="1" t="s">
        <v>104</v>
      </c>
      <c r="W102" s="1" t="s">
        <v>104</v>
      </c>
      <c r="X102" s="1" t="s">
        <v>2438</v>
      </c>
      <c r="Y102" s="1"/>
      <c r="Z102" s="8"/>
      <c r="AA102" s="8"/>
      <c r="AB102" s="8"/>
      <c r="AC102" s="8"/>
      <c r="AD102" s="8">
        <v>1</v>
      </c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>
        <v>1</v>
      </c>
      <c r="AQ102" s="8"/>
      <c r="AR102" s="8"/>
      <c r="AS102" s="8"/>
      <c r="AT102" s="8"/>
      <c r="AU102" s="8"/>
      <c r="AV102" s="8">
        <v>1</v>
      </c>
      <c r="AW102" s="8"/>
      <c r="AX102" s="8">
        <v>1</v>
      </c>
      <c r="AY102" s="8">
        <v>1</v>
      </c>
      <c r="AZ102" s="8"/>
      <c r="BA102" s="8"/>
      <c r="BB102" s="1">
        <v>6</v>
      </c>
      <c r="BL102" s="58"/>
      <c r="BP102" t="str">
        <f t="shared" si="2"/>
        <v>DragonFighting</v>
      </c>
      <c r="BR102">
        <v>5</v>
      </c>
    </row>
    <row r="103" spans="1:70" x14ac:dyDescent="0.25">
      <c r="A103">
        <f t="shared" si="3"/>
        <v>102</v>
      </c>
      <c r="B103" t="s">
        <v>189</v>
      </c>
      <c r="D103" s="1" t="s">
        <v>10</v>
      </c>
      <c r="E103" s="1" t="s">
        <v>16</v>
      </c>
      <c r="F103" s="1" t="s">
        <v>50</v>
      </c>
      <c r="G103" s="1" t="s">
        <v>50</v>
      </c>
      <c r="H103" s="1"/>
      <c r="I103" s="1" t="s">
        <v>50</v>
      </c>
      <c r="J103" s="1" t="s">
        <v>50</v>
      </c>
      <c r="K103" s="1" t="s">
        <v>50</v>
      </c>
      <c r="L103" s="1"/>
      <c r="M103" s="1" t="s">
        <v>50</v>
      </c>
      <c r="N103" s="1" t="s">
        <v>50</v>
      </c>
      <c r="O103" s="1" t="s">
        <v>50</v>
      </c>
      <c r="P103" s="1" t="s">
        <v>832</v>
      </c>
      <c r="Q103" s="1" t="s">
        <v>104</v>
      </c>
      <c r="R103" s="1" t="s">
        <v>104</v>
      </c>
      <c r="S103" s="1" t="s">
        <v>104</v>
      </c>
      <c r="T103" s="1" t="s">
        <v>104</v>
      </c>
      <c r="U103" s="1" t="s">
        <v>104</v>
      </c>
      <c r="V103" s="1" t="s">
        <v>104</v>
      </c>
      <c r="W103" s="1" t="s">
        <v>104</v>
      </c>
      <c r="X103" s="1" t="s">
        <v>727</v>
      </c>
      <c r="Y103" s="1"/>
      <c r="Z103" s="8"/>
      <c r="AA103" s="8"/>
      <c r="AB103" s="8"/>
      <c r="AC103" s="8"/>
      <c r="AD103" s="8">
        <v>1</v>
      </c>
      <c r="AE103" s="8"/>
      <c r="AF103" s="8">
        <v>1</v>
      </c>
      <c r="AG103" s="8">
        <v>1</v>
      </c>
      <c r="AH103" s="8">
        <v>1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>
        <v>1</v>
      </c>
      <c r="AT103" s="8">
        <v>1</v>
      </c>
      <c r="AU103" s="8"/>
      <c r="AV103" s="8"/>
      <c r="AW103" s="8"/>
      <c r="AX103" s="8">
        <v>1</v>
      </c>
      <c r="AY103" s="8"/>
      <c r="AZ103" s="8"/>
      <c r="BA103" s="8"/>
      <c r="BB103" s="1">
        <v>1</v>
      </c>
      <c r="BL103" s="58"/>
      <c r="BP103" t="str">
        <f t="shared" si="2"/>
        <v>PoisonFlying</v>
      </c>
      <c r="BQ103" t="s">
        <v>2</v>
      </c>
      <c r="BR103">
        <v>5</v>
      </c>
    </row>
    <row r="104" spans="1:70" x14ac:dyDescent="0.25">
      <c r="A104">
        <f t="shared" si="3"/>
        <v>103</v>
      </c>
      <c r="B104" t="s">
        <v>190</v>
      </c>
      <c r="D104" s="1" t="s">
        <v>10</v>
      </c>
      <c r="E104" s="1" t="s">
        <v>16</v>
      </c>
      <c r="F104" s="1" t="s">
        <v>50</v>
      </c>
      <c r="G104" s="1" t="s">
        <v>50</v>
      </c>
      <c r="H104" s="1" t="s">
        <v>50</v>
      </c>
      <c r="I104" s="1" t="s">
        <v>50</v>
      </c>
      <c r="J104" s="1" t="s">
        <v>50</v>
      </c>
      <c r="K104" s="1" t="s">
        <v>50</v>
      </c>
      <c r="L104" s="1" t="s">
        <v>50</v>
      </c>
      <c r="M104" s="1" t="s">
        <v>104</v>
      </c>
      <c r="N104" s="1" t="s">
        <v>50</v>
      </c>
      <c r="O104" s="1" t="s">
        <v>50</v>
      </c>
      <c r="P104" s="1" t="s">
        <v>832</v>
      </c>
      <c r="Q104" s="1" t="s">
        <v>104</v>
      </c>
      <c r="R104" s="1" t="s">
        <v>104</v>
      </c>
      <c r="S104" s="1" t="s">
        <v>104</v>
      </c>
      <c r="T104" s="1" t="s">
        <v>104</v>
      </c>
      <c r="U104" s="1" t="s">
        <v>104</v>
      </c>
      <c r="V104" s="1" t="s">
        <v>104</v>
      </c>
      <c r="W104" s="1" t="s">
        <v>104</v>
      </c>
      <c r="X104" s="1" t="s">
        <v>727</v>
      </c>
      <c r="Y104" s="1"/>
      <c r="Z104" s="8"/>
      <c r="AA104" s="8"/>
      <c r="AB104" s="8"/>
      <c r="AC104" s="8"/>
      <c r="AD104" s="8">
        <v>1</v>
      </c>
      <c r="AE104" s="8"/>
      <c r="AF104" s="8">
        <v>1</v>
      </c>
      <c r="AG104" s="8">
        <v>1</v>
      </c>
      <c r="AH104" s="8">
        <v>1</v>
      </c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>
        <v>1</v>
      </c>
      <c r="AT104" s="8">
        <v>1</v>
      </c>
      <c r="AU104" s="8"/>
      <c r="AV104" s="8"/>
      <c r="AW104" s="8"/>
      <c r="AX104" s="8">
        <v>1</v>
      </c>
      <c r="AY104" s="8"/>
      <c r="AZ104" s="8"/>
      <c r="BA104" s="8"/>
      <c r="BB104" s="1"/>
      <c r="BK104">
        <v>1</v>
      </c>
      <c r="BL104" s="58"/>
      <c r="BP104" t="str">
        <f t="shared" si="2"/>
        <v>PoisonFlying</v>
      </c>
      <c r="BR104">
        <v>5</v>
      </c>
    </row>
    <row r="105" spans="1:70" x14ac:dyDescent="0.25">
      <c r="A105">
        <f t="shared" si="3"/>
        <v>104</v>
      </c>
      <c r="B105" t="s">
        <v>191</v>
      </c>
      <c r="D105" s="1" t="s">
        <v>8</v>
      </c>
      <c r="E105" s="1" t="s">
        <v>9</v>
      </c>
      <c r="F105" s="1" t="s">
        <v>50</v>
      </c>
      <c r="G105" s="1" t="s">
        <v>50</v>
      </c>
      <c r="H105" s="1"/>
      <c r="I105" s="1" t="s">
        <v>50</v>
      </c>
      <c r="J105" s="1" t="s">
        <v>50</v>
      </c>
      <c r="K105" s="1" t="s">
        <v>50</v>
      </c>
      <c r="L105" s="1" t="s">
        <v>50</v>
      </c>
      <c r="M105" s="1" t="s">
        <v>50</v>
      </c>
      <c r="N105" s="1" t="s">
        <v>50</v>
      </c>
      <c r="O105" s="1" t="s">
        <v>50</v>
      </c>
      <c r="P105" s="1" t="s">
        <v>832</v>
      </c>
      <c r="Q105" s="1" t="s">
        <v>104</v>
      </c>
      <c r="R105" s="1" t="s">
        <v>104</v>
      </c>
      <c r="S105" s="1" t="s">
        <v>104</v>
      </c>
      <c r="T105" s="1" t="s">
        <v>104</v>
      </c>
      <c r="U105" s="1" t="s">
        <v>104</v>
      </c>
      <c r="V105" s="1" t="s">
        <v>104</v>
      </c>
      <c r="W105" s="1" t="s">
        <v>104</v>
      </c>
      <c r="X105" s="1" t="s">
        <v>727</v>
      </c>
      <c r="Y105" s="1"/>
      <c r="Z105" s="8"/>
      <c r="AA105" s="8"/>
      <c r="AB105" s="8"/>
      <c r="AC105" s="8"/>
      <c r="AD105" s="8">
        <v>1</v>
      </c>
      <c r="AE105" s="8">
        <v>1</v>
      </c>
      <c r="AF105" s="8"/>
      <c r="AG105" s="8"/>
      <c r="AH105" s="8"/>
      <c r="AI105" s="8"/>
      <c r="AJ105" s="8">
        <v>1</v>
      </c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>
        <v>1</v>
      </c>
      <c r="AZ105" s="8"/>
      <c r="BA105" s="8"/>
      <c r="BB105" s="1">
        <v>1</v>
      </c>
      <c r="BL105" s="58"/>
      <c r="BP105" t="str">
        <f t="shared" si="2"/>
        <v>GroundRock</v>
      </c>
      <c r="BQ105" t="s">
        <v>2</v>
      </c>
      <c r="BR105">
        <v>1</v>
      </c>
    </row>
    <row r="106" spans="1:70" x14ac:dyDescent="0.25">
      <c r="A106">
        <f t="shared" si="3"/>
        <v>105</v>
      </c>
      <c r="B106" t="s">
        <v>192</v>
      </c>
      <c r="D106" s="1" t="s">
        <v>8</v>
      </c>
      <c r="E106" s="1" t="s">
        <v>9</v>
      </c>
      <c r="F106" s="1" t="s">
        <v>50</v>
      </c>
      <c r="G106" s="1" t="s">
        <v>50</v>
      </c>
      <c r="H106" s="1" t="s">
        <v>50</v>
      </c>
      <c r="I106" s="1" t="s">
        <v>50</v>
      </c>
      <c r="J106" s="1" t="s">
        <v>50</v>
      </c>
      <c r="K106" s="1" t="s">
        <v>50</v>
      </c>
      <c r="L106" s="1"/>
      <c r="M106" s="1" t="s">
        <v>104</v>
      </c>
      <c r="N106" s="1" t="s">
        <v>50</v>
      </c>
      <c r="O106" s="1" t="s">
        <v>50</v>
      </c>
      <c r="P106" s="1" t="s">
        <v>832</v>
      </c>
      <c r="Q106" s="1" t="s">
        <v>104</v>
      </c>
      <c r="R106" s="1" t="s">
        <v>104</v>
      </c>
      <c r="S106" s="1" t="s">
        <v>104</v>
      </c>
      <c r="T106" s="1" t="s">
        <v>104</v>
      </c>
      <c r="U106" s="1" t="s">
        <v>104</v>
      </c>
      <c r="V106" s="1" t="s">
        <v>104</v>
      </c>
      <c r="W106" s="1" t="s">
        <v>104</v>
      </c>
      <c r="X106" s="1" t="s">
        <v>727</v>
      </c>
      <c r="Y106" s="1"/>
      <c r="Z106" s="8"/>
      <c r="AA106" s="8"/>
      <c r="AB106" s="8"/>
      <c r="AC106" s="8"/>
      <c r="AD106" s="8">
        <v>1</v>
      </c>
      <c r="AE106" s="8">
        <v>1</v>
      </c>
      <c r="AF106" s="8"/>
      <c r="AG106" s="8"/>
      <c r="AH106" s="8"/>
      <c r="AI106" s="8"/>
      <c r="AJ106" s="8">
        <v>1</v>
      </c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>
        <v>1</v>
      </c>
      <c r="AZ106" s="8"/>
      <c r="BA106" s="8"/>
      <c r="BB106" s="1">
        <v>4</v>
      </c>
      <c r="BJ106">
        <v>1</v>
      </c>
      <c r="BL106" s="58"/>
      <c r="BP106" t="str">
        <f t="shared" si="2"/>
        <v>GroundRock</v>
      </c>
      <c r="BR106">
        <v>1</v>
      </c>
    </row>
    <row r="107" spans="1:70" x14ac:dyDescent="0.25">
      <c r="A107">
        <f t="shared" si="3"/>
        <v>106</v>
      </c>
      <c r="B107" t="s">
        <v>193</v>
      </c>
      <c r="D107" s="1" t="s">
        <v>4</v>
      </c>
      <c r="E107" s="1" t="s">
        <v>44</v>
      </c>
      <c r="F107" s="1" t="s">
        <v>50</v>
      </c>
      <c r="G107" s="1" t="s">
        <v>50</v>
      </c>
      <c r="H107" s="1"/>
      <c r="I107" s="1" t="s">
        <v>50</v>
      </c>
      <c r="J107" s="1" t="s">
        <v>50</v>
      </c>
      <c r="K107" s="1" t="s">
        <v>50</v>
      </c>
      <c r="L107" s="1" t="s">
        <v>50</v>
      </c>
      <c r="M107" s="1" t="s">
        <v>50</v>
      </c>
      <c r="N107" s="1" t="s">
        <v>50</v>
      </c>
      <c r="O107" s="1" t="s">
        <v>50</v>
      </c>
      <c r="P107" s="13" t="s">
        <v>2434</v>
      </c>
      <c r="Q107" s="1" t="s">
        <v>104</v>
      </c>
      <c r="R107" s="1" t="s">
        <v>104</v>
      </c>
      <c r="S107" s="1" t="s">
        <v>104</v>
      </c>
      <c r="T107" s="1" t="s">
        <v>104</v>
      </c>
      <c r="U107" s="1" t="s">
        <v>104</v>
      </c>
      <c r="V107" s="1" t="s">
        <v>104</v>
      </c>
      <c r="W107" s="1" t="s">
        <v>104</v>
      </c>
      <c r="X107" s="1" t="s">
        <v>727</v>
      </c>
      <c r="Y107" s="1"/>
      <c r="Z107" s="8">
        <v>1</v>
      </c>
      <c r="AA107" s="8">
        <v>1</v>
      </c>
      <c r="AB107" s="8"/>
      <c r="AC107" s="8"/>
      <c r="AD107" s="8"/>
      <c r="AE107" s="8"/>
      <c r="AF107" s="8"/>
      <c r="AG107" s="8">
        <v>1</v>
      </c>
      <c r="AH107" s="8"/>
      <c r="AI107" s="8"/>
      <c r="AJ107" s="8"/>
      <c r="AK107" s="8"/>
      <c r="AL107" s="8"/>
      <c r="AM107" s="8"/>
      <c r="AN107" s="8"/>
      <c r="AO107" s="8">
        <v>1</v>
      </c>
      <c r="AP107" s="8"/>
      <c r="AQ107" s="8"/>
      <c r="AR107" s="8"/>
      <c r="AS107" s="8"/>
      <c r="AT107" s="8"/>
      <c r="AU107" s="8">
        <v>1</v>
      </c>
      <c r="AV107" s="8"/>
      <c r="AW107" s="8"/>
      <c r="AX107" s="8"/>
      <c r="AY107" s="8">
        <v>1</v>
      </c>
      <c r="AZ107" s="8"/>
      <c r="BA107" s="8"/>
      <c r="BB107" s="1">
        <v>1</v>
      </c>
      <c r="BL107" s="58"/>
      <c r="BP107" t="str">
        <f t="shared" si="2"/>
        <v>PsychicLight</v>
      </c>
      <c r="BQ107" t="s">
        <v>2</v>
      </c>
      <c r="BR107">
        <v>2</v>
      </c>
    </row>
    <row r="108" spans="1:70" x14ac:dyDescent="0.25">
      <c r="A108">
        <f t="shared" si="3"/>
        <v>107</v>
      </c>
      <c r="B108" t="s">
        <v>194</v>
      </c>
      <c r="D108" s="1" t="s">
        <v>4</v>
      </c>
      <c r="E108" s="1" t="s">
        <v>44</v>
      </c>
      <c r="F108" s="1" t="s">
        <v>50</v>
      </c>
      <c r="G108" s="1" t="s">
        <v>50</v>
      </c>
      <c r="H108" s="1" t="s">
        <v>50</v>
      </c>
      <c r="I108" s="1" t="s">
        <v>50</v>
      </c>
      <c r="J108" s="1" t="s">
        <v>50</v>
      </c>
      <c r="K108" s="1" t="s">
        <v>50</v>
      </c>
      <c r="L108" s="1"/>
      <c r="M108" s="1" t="s">
        <v>104</v>
      </c>
      <c r="N108" s="1" t="s">
        <v>50</v>
      </c>
      <c r="O108" s="1" t="s">
        <v>50</v>
      </c>
      <c r="P108" s="13" t="s">
        <v>2434</v>
      </c>
      <c r="Q108" s="1" t="s">
        <v>50</v>
      </c>
      <c r="R108" s="1" t="s">
        <v>50</v>
      </c>
      <c r="S108" s="1" t="s">
        <v>50</v>
      </c>
      <c r="T108" s="1" t="s">
        <v>50</v>
      </c>
      <c r="U108" s="1" t="s">
        <v>50</v>
      </c>
      <c r="V108" s="1" t="s">
        <v>50</v>
      </c>
      <c r="W108" s="1" t="s">
        <v>50</v>
      </c>
      <c r="X108" s="1" t="s">
        <v>2435</v>
      </c>
      <c r="Y108" s="1"/>
      <c r="Z108" s="8">
        <v>1</v>
      </c>
      <c r="AA108" s="8">
        <v>1</v>
      </c>
      <c r="AB108" s="8"/>
      <c r="AC108" s="8"/>
      <c r="AD108" s="8"/>
      <c r="AE108" s="8"/>
      <c r="AF108" s="8"/>
      <c r="AG108" s="8">
        <v>1</v>
      </c>
      <c r="AH108" s="8"/>
      <c r="AI108" s="8"/>
      <c r="AJ108" s="8"/>
      <c r="AK108" s="8"/>
      <c r="AL108" s="8"/>
      <c r="AM108" s="8"/>
      <c r="AN108" s="8"/>
      <c r="AO108" s="8">
        <v>1</v>
      </c>
      <c r="AP108" s="8"/>
      <c r="AQ108" s="8"/>
      <c r="AR108" s="8"/>
      <c r="AS108" s="8"/>
      <c r="AT108" s="8"/>
      <c r="AU108" s="8">
        <v>1</v>
      </c>
      <c r="AV108" s="8"/>
      <c r="AW108" s="8"/>
      <c r="AX108" s="8"/>
      <c r="AY108" s="8">
        <v>1</v>
      </c>
      <c r="AZ108" s="8"/>
      <c r="BA108" s="8"/>
      <c r="BB108" s="1"/>
      <c r="BJ108">
        <v>6</v>
      </c>
      <c r="BK108">
        <v>2</v>
      </c>
      <c r="BL108" s="58"/>
      <c r="BP108" t="str">
        <f t="shared" si="2"/>
        <v>PsychicLight</v>
      </c>
      <c r="BR108">
        <v>2</v>
      </c>
    </row>
    <row r="109" spans="1:70" x14ac:dyDescent="0.25">
      <c r="A109">
        <f t="shared" si="3"/>
        <v>108</v>
      </c>
      <c r="B109" t="s">
        <v>195</v>
      </c>
      <c r="D109" s="1" t="s">
        <v>5</v>
      </c>
      <c r="E109" s="1">
        <v>0</v>
      </c>
      <c r="F109" s="1" t="s">
        <v>50</v>
      </c>
      <c r="G109" s="1" t="s">
        <v>50</v>
      </c>
      <c r="H109" s="1"/>
      <c r="I109" s="1" t="s">
        <v>50</v>
      </c>
      <c r="J109" s="1" t="s">
        <v>50</v>
      </c>
      <c r="K109" s="1" t="s">
        <v>50</v>
      </c>
      <c r="L109" s="1" t="s">
        <v>50</v>
      </c>
      <c r="M109" s="1" t="s">
        <v>50</v>
      </c>
      <c r="N109" s="1" t="s">
        <v>50</v>
      </c>
      <c r="O109" s="1" t="s">
        <v>50</v>
      </c>
      <c r="P109" s="1" t="s">
        <v>811</v>
      </c>
      <c r="Q109" s="1" t="s">
        <v>104</v>
      </c>
      <c r="R109" s="1" t="s">
        <v>104</v>
      </c>
      <c r="S109" s="1" t="s">
        <v>104</v>
      </c>
      <c r="T109" s="1" t="s">
        <v>104</v>
      </c>
      <c r="U109" s="1" t="s">
        <v>104</v>
      </c>
      <c r="V109" s="1" t="s">
        <v>104</v>
      </c>
      <c r="W109" s="1" t="s">
        <v>104</v>
      </c>
      <c r="X109" s="1" t="s">
        <v>727</v>
      </c>
      <c r="Y109" s="1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>
        <v>1</v>
      </c>
      <c r="AP109" s="8">
        <v>1</v>
      </c>
      <c r="AQ109" s="8">
        <v>1</v>
      </c>
      <c r="AR109" s="8">
        <v>1</v>
      </c>
      <c r="AS109" s="8"/>
      <c r="AT109" s="8"/>
      <c r="AU109" s="8"/>
      <c r="AV109" s="8"/>
      <c r="AW109" s="8"/>
      <c r="AX109" s="8"/>
      <c r="AY109" s="8"/>
      <c r="AZ109" s="8"/>
      <c r="BA109" s="8"/>
      <c r="BB109" s="1">
        <v>1</v>
      </c>
      <c r="BL109" s="58"/>
      <c r="BP109" t="str">
        <f t="shared" si="2"/>
        <v>Ice0</v>
      </c>
      <c r="BQ109" t="s">
        <v>2</v>
      </c>
      <c r="BR109">
        <v>1</v>
      </c>
    </row>
    <row r="110" spans="1:70" x14ac:dyDescent="0.25">
      <c r="A110">
        <f t="shared" si="3"/>
        <v>109</v>
      </c>
      <c r="B110" t="s">
        <v>398</v>
      </c>
      <c r="D110" s="1" t="s">
        <v>5</v>
      </c>
      <c r="E110" s="1">
        <v>0</v>
      </c>
      <c r="F110" s="1" t="s">
        <v>50</v>
      </c>
      <c r="G110" s="1" t="s">
        <v>50</v>
      </c>
      <c r="H110" s="1" t="s">
        <v>50</v>
      </c>
      <c r="I110" s="1" t="s">
        <v>50</v>
      </c>
      <c r="J110" s="1" t="s">
        <v>50</v>
      </c>
      <c r="K110" s="1" t="s">
        <v>50</v>
      </c>
      <c r="L110" s="1" t="s">
        <v>50</v>
      </c>
      <c r="M110" s="1" t="s">
        <v>104</v>
      </c>
      <c r="N110" s="1" t="s">
        <v>50</v>
      </c>
      <c r="O110" s="1" t="s">
        <v>50</v>
      </c>
      <c r="P110" s="1" t="s">
        <v>811</v>
      </c>
      <c r="Q110" s="1" t="s">
        <v>50</v>
      </c>
      <c r="R110" s="1" t="s">
        <v>50</v>
      </c>
      <c r="S110" s="1" t="s">
        <v>50</v>
      </c>
      <c r="T110" s="1" t="s">
        <v>50</v>
      </c>
      <c r="U110" s="1" t="s">
        <v>50</v>
      </c>
      <c r="V110" s="1" t="s">
        <v>50</v>
      </c>
      <c r="W110" s="1" t="s">
        <v>50</v>
      </c>
      <c r="X110" s="1" t="s">
        <v>727</v>
      </c>
      <c r="Y110" s="1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>
        <v>1</v>
      </c>
      <c r="AP110" s="8">
        <v>1</v>
      </c>
      <c r="AQ110" s="8">
        <v>1</v>
      </c>
      <c r="AR110" s="8">
        <v>1</v>
      </c>
      <c r="AS110" s="8"/>
      <c r="AT110" s="8"/>
      <c r="AU110" s="8"/>
      <c r="AV110" s="8"/>
      <c r="AW110" s="8"/>
      <c r="AX110" s="8"/>
      <c r="AY110" s="8"/>
      <c r="AZ110" s="8"/>
      <c r="BA110" s="8"/>
      <c r="BB110" s="1">
        <v>4</v>
      </c>
      <c r="BJ110">
        <v>2</v>
      </c>
      <c r="BL110" s="58"/>
      <c r="BP110" t="str">
        <f t="shared" si="2"/>
        <v>Ice0</v>
      </c>
      <c r="BR110">
        <v>1</v>
      </c>
    </row>
    <row r="111" spans="1:70" x14ac:dyDescent="0.25">
      <c r="A111">
        <f t="shared" si="3"/>
        <v>110</v>
      </c>
      <c r="B111" t="s">
        <v>399</v>
      </c>
      <c r="D111" s="1" t="s">
        <v>14</v>
      </c>
      <c r="E111" s="1" t="s">
        <v>5</v>
      </c>
      <c r="F111" s="1" t="s">
        <v>50</v>
      </c>
      <c r="G111" s="1" t="s">
        <v>50</v>
      </c>
      <c r="H111" s="1"/>
      <c r="I111" s="1" t="s">
        <v>50</v>
      </c>
      <c r="J111" s="1" t="s">
        <v>50</v>
      </c>
      <c r="K111" s="1" t="s">
        <v>50</v>
      </c>
      <c r="L111" s="1" t="s">
        <v>50</v>
      </c>
      <c r="M111" s="1" t="s">
        <v>50</v>
      </c>
      <c r="N111" s="1" t="s">
        <v>50</v>
      </c>
      <c r="O111" s="1" t="s">
        <v>50</v>
      </c>
      <c r="P111" s="1" t="s">
        <v>832</v>
      </c>
      <c r="Q111" s="1" t="s">
        <v>104</v>
      </c>
      <c r="R111" s="1" t="s">
        <v>104</v>
      </c>
      <c r="S111" s="1" t="s">
        <v>104</v>
      </c>
      <c r="T111" s="1" t="s">
        <v>104</v>
      </c>
      <c r="U111" s="1" t="s">
        <v>104</v>
      </c>
      <c r="V111" s="1" t="s">
        <v>104</v>
      </c>
      <c r="W111" s="1" t="s">
        <v>104</v>
      </c>
      <c r="X111" s="1" t="s">
        <v>727</v>
      </c>
      <c r="Y111" s="1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>
        <v>1</v>
      </c>
      <c r="AP111" s="8">
        <v>1</v>
      </c>
      <c r="AQ111" s="8">
        <v>1</v>
      </c>
      <c r="AR111" s="8">
        <v>1</v>
      </c>
      <c r="AS111" s="8"/>
      <c r="AT111" s="8"/>
      <c r="AU111" s="8"/>
      <c r="AV111" s="8"/>
      <c r="AW111" s="8"/>
      <c r="AX111" s="8"/>
      <c r="AY111" s="8"/>
      <c r="AZ111" s="8"/>
      <c r="BA111" s="8"/>
      <c r="BB111" s="1">
        <v>1</v>
      </c>
      <c r="BL111" s="58"/>
      <c r="BP111" t="str">
        <f t="shared" si="2"/>
        <v>GhostIce</v>
      </c>
      <c r="BQ111" t="s">
        <v>2</v>
      </c>
      <c r="BR111">
        <v>7</v>
      </c>
    </row>
    <row r="112" spans="1:70" x14ac:dyDescent="0.25">
      <c r="A112">
        <f t="shared" si="3"/>
        <v>111</v>
      </c>
      <c r="B112" t="s">
        <v>400</v>
      </c>
      <c r="D112" s="1" t="s">
        <v>14</v>
      </c>
      <c r="E112" s="1" t="s">
        <v>5</v>
      </c>
      <c r="F112" s="1" t="s">
        <v>50</v>
      </c>
      <c r="G112" s="1" t="s">
        <v>50</v>
      </c>
      <c r="H112" s="1" t="s">
        <v>50</v>
      </c>
      <c r="I112" s="1" t="s">
        <v>50</v>
      </c>
      <c r="J112" s="1" t="s">
        <v>50</v>
      </c>
      <c r="K112" s="1" t="s">
        <v>50</v>
      </c>
      <c r="L112" s="1"/>
      <c r="M112" s="1" t="s">
        <v>104</v>
      </c>
      <c r="N112" s="1" t="s">
        <v>50</v>
      </c>
      <c r="O112" s="1" t="s">
        <v>50</v>
      </c>
      <c r="P112" s="1" t="s">
        <v>832</v>
      </c>
      <c r="Q112" s="1" t="s">
        <v>104</v>
      </c>
      <c r="R112" s="1" t="s">
        <v>104</v>
      </c>
      <c r="S112" s="1" t="s">
        <v>104</v>
      </c>
      <c r="T112" s="1" t="s">
        <v>104</v>
      </c>
      <c r="U112" s="1" t="s">
        <v>104</v>
      </c>
      <c r="V112" s="1" t="s">
        <v>104</v>
      </c>
      <c r="W112" s="1" t="s">
        <v>104</v>
      </c>
      <c r="X112" s="1" t="s">
        <v>727</v>
      </c>
      <c r="Y112" s="1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>
        <v>1</v>
      </c>
      <c r="AP112" s="8">
        <v>1</v>
      </c>
      <c r="AQ112" s="8">
        <v>1</v>
      </c>
      <c r="AR112" s="8">
        <v>1</v>
      </c>
      <c r="AS112" s="8"/>
      <c r="AT112" s="8"/>
      <c r="AU112" s="8"/>
      <c r="AV112" s="8"/>
      <c r="AW112" s="8"/>
      <c r="AX112" s="8"/>
      <c r="AY112" s="8"/>
      <c r="AZ112" s="8"/>
      <c r="BA112" s="8"/>
      <c r="BB112" s="1"/>
      <c r="BJ112">
        <v>3</v>
      </c>
      <c r="BK112">
        <v>2</v>
      </c>
      <c r="BL112" s="58"/>
      <c r="BP112" t="str">
        <f t="shared" si="2"/>
        <v>GhostIce</v>
      </c>
      <c r="BR112">
        <v>7</v>
      </c>
    </row>
    <row r="113" spans="1:70" x14ac:dyDescent="0.25">
      <c r="A113">
        <f t="shared" si="3"/>
        <v>112</v>
      </c>
      <c r="B113" t="s">
        <v>401</v>
      </c>
      <c r="D113" s="1" t="s">
        <v>17</v>
      </c>
      <c r="E113" s="1" t="s">
        <v>6</v>
      </c>
      <c r="F113" s="1" t="s">
        <v>50</v>
      </c>
      <c r="G113" s="1" t="s">
        <v>50</v>
      </c>
      <c r="H113" s="1"/>
      <c r="I113" s="1" t="s">
        <v>50</v>
      </c>
      <c r="J113" s="1" t="s">
        <v>50</v>
      </c>
      <c r="K113" s="1" t="s">
        <v>50</v>
      </c>
      <c r="L113" s="1"/>
      <c r="M113" s="1" t="s">
        <v>50</v>
      </c>
      <c r="N113" s="1" t="s">
        <v>50</v>
      </c>
      <c r="O113" s="1" t="s">
        <v>50</v>
      </c>
      <c r="P113" s="1" t="s">
        <v>832</v>
      </c>
      <c r="Q113" s="1" t="s">
        <v>104</v>
      </c>
      <c r="R113" s="1" t="s">
        <v>104</v>
      </c>
      <c r="S113" s="1" t="s">
        <v>104</v>
      </c>
      <c r="T113" s="1" t="s">
        <v>104</v>
      </c>
      <c r="U113" s="1" t="s">
        <v>104</v>
      </c>
      <c r="V113" s="1" t="s">
        <v>104</v>
      </c>
      <c r="W113" s="1" t="s">
        <v>104</v>
      </c>
      <c r="X113" s="1" t="s">
        <v>746</v>
      </c>
      <c r="Y113" s="1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>
        <v>1</v>
      </c>
      <c r="AT113" s="8"/>
      <c r="AU113" s="8">
        <v>1</v>
      </c>
      <c r="AV113" s="8"/>
      <c r="AW113" s="8"/>
      <c r="AX113" s="8"/>
      <c r="AY113" s="8">
        <v>1</v>
      </c>
      <c r="AZ113" s="8"/>
      <c r="BA113" s="8"/>
      <c r="BB113" s="1"/>
      <c r="BL113" s="58"/>
      <c r="BP113" t="str">
        <f t="shared" si="2"/>
        <v>BugSteel</v>
      </c>
      <c r="BQ113" t="s">
        <v>2</v>
      </c>
      <c r="BR113">
        <v>1</v>
      </c>
    </row>
    <row r="114" spans="1:70" x14ac:dyDescent="0.25">
      <c r="A114">
        <f t="shared" si="3"/>
        <v>113</v>
      </c>
      <c r="B114" t="s">
        <v>196</v>
      </c>
      <c r="D114" s="1" t="s">
        <v>17</v>
      </c>
      <c r="E114" s="1" t="s">
        <v>6</v>
      </c>
      <c r="F114" s="1" t="s">
        <v>50</v>
      </c>
      <c r="G114" s="1" t="s">
        <v>50</v>
      </c>
      <c r="H114" s="1"/>
      <c r="I114" s="1" t="s">
        <v>50</v>
      </c>
      <c r="J114" s="1" t="s">
        <v>50</v>
      </c>
      <c r="K114" s="1" t="s">
        <v>50</v>
      </c>
      <c r="L114" s="1"/>
      <c r="M114" s="1" t="s">
        <v>104</v>
      </c>
      <c r="N114" s="1" t="s">
        <v>50</v>
      </c>
      <c r="O114" s="1" t="s">
        <v>50</v>
      </c>
      <c r="P114" s="1" t="s">
        <v>832</v>
      </c>
      <c r="Q114" s="1" t="s">
        <v>104</v>
      </c>
      <c r="R114" s="1" t="s">
        <v>104</v>
      </c>
      <c r="S114" s="1" t="s">
        <v>104</v>
      </c>
      <c r="T114" s="1" t="s">
        <v>104</v>
      </c>
      <c r="U114" s="1" t="s">
        <v>104</v>
      </c>
      <c r="V114" s="1" t="s">
        <v>104</v>
      </c>
      <c r="W114" s="1" t="s">
        <v>104</v>
      </c>
      <c r="X114" s="1" t="s">
        <v>746</v>
      </c>
      <c r="Y114" s="1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>
        <v>1</v>
      </c>
      <c r="AT114" s="8"/>
      <c r="AU114" s="8">
        <v>1</v>
      </c>
      <c r="AV114" s="8"/>
      <c r="AW114" s="8"/>
      <c r="AX114" s="8"/>
      <c r="AY114" s="8">
        <v>1</v>
      </c>
      <c r="AZ114" s="8"/>
      <c r="BA114" s="8"/>
      <c r="BB114" s="1"/>
      <c r="BL114" s="58"/>
      <c r="BP114" t="str">
        <f t="shared" si="2"/>
        <v>BugSteel</v>
      </c>
      <c r="BQ114" t="s">
        <v>2</v>
      </c>
      <c r="BR114">
        <v>1</v>
      </c>
    </row>
    <row r="115" spans="1:70" x14ac:dyDescent="0.25">
      <c r="A115">
        <f t="shared" si="3"/>
        <v>114</v>
      </c>
      <c r="B115" t="s">
        <v>645</v>
      </c>
      <c r="D115" s="1" t="s">
        <v>17</v>
      </c>
      <c r="E115" s="1" t="s">
        <v>6</v>
      </c>
      <c r="F115" s="1" t="s">
        <v>50</v>
      </c>
      <c r="G115" s="1" t="s">
        <v>50</v>
      </c>
      <c r="H115" s="1" t="s">
        <v>50</v>
      </c>
      <c r="I115" s="1" t="s">
        <v>50</v>
      </c>
      <c r="J115" s="1" t="s">
        <v>50</v>
      </c>
      <c r="K115" s="1" t="s">
        <v>50</v>
      </c>
      <c r="L115" s="1"/>
      <c r="M115" s="1" t="s">
        <v>104</v>
      </c>
      <c r="N115" s="1" t="s">
        <v>50</v>
      </c>
      <c r="O115" s="1" t="s">
        <v>50</v>
      </c>
      <c r="P115" s="1" t="s">
        <v>832</v>
      </c>
      <c r="Q115" s="1" t="s">
        <v>50</v>
      </c>
      <c r="R115" s="1" t="s">
        <v>50</v>
      </c>
      <c r="S115" s="1" t="s">
        <v>50</v>
      </c>
      <c r="T115" s="1" t="s">
        <v>50</v>
      </c>
      <c r="U115" s="1" t="s">
        <v>50</v>
      </c>
      <c r="V115" s="1" t="s">
        <v>50</v>
      </c>
      <c r="W115" s="1" t="s">
        <v>50</v>
      </c>
      <c r="X115" s="1" t="s">
        <v>746</v>
      </c>
      <c r="Y115" s="1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>
        <v>1</v>
      </c>
      <c r="AT115" s="8"/>
      <c r="AU115" s="8">
        <v>1</v>
      </c>
      <c r="AV115" s="8"/>
      <c r="AW115" s="8"/>
      <c r="AX115" s="8"/>
      <c r="AY115" s="8">
        <v>1</v>
      </c>
      <c r="AZ115" s="8"/>
      <c r="BA115" s="8"/>
      <c r="BB115" s="1"/>
      <c r="BJ115">
        <v>8</v>
      </c>
      <c r="BK115">
        <v>2</v>
      </c>
      <c r="BL115" s="58"/>
      <c r="BP115" t="str">
        <f t="shared" si="2"/>
        <v>BugSteel</v>
      </c>
      <c r="BR115">
        <v>1</v>
      </c>
    </row>
    <row r="116" spans="1:70" x14ac:dyDescent="0.25">
      <c r="A116">
        <f t="shared" si="3"/>
        <v>115</v>
      </c>
      <c r="B116" t="s">
        <v>197</v>
      </c>
      <c r="D116" s="1" t="s">
        <v>8</v>
      </c>
      <c r="E116" s="1" t="s">
        <v>18</v>
      </c>
      <c r="F116" s="1" t="s">
        <v>50</v>
      </c>
      <c r="G116" s="1" t="s">
        <v>50</v>
      </c>
      <c r="H116" s="1"/>
      <c r="I116" s="1" t="s">
        <v>50</v>
      </c>
      <c r="J116" s="1" t="s">
        <v>50</v>
      </c>
      <c r="K116" s="1" t="s">
        <v>50</v>
      </c>
      <c r="L116" s="1"/>
      <c r="M116" s="1" t="s">
        <v>50</v>
      </c>
      <c r="N116" s="1" t="s">
        <v>50</v>
      </c>
      <c r="O116" s="1" t="s">
        <v>50</v>
      </c>
      <c r="P116" s="1" t="s">
        <v>832</v>
      </c>
      <c r="Q116" s="1" t="s">
        <v>104</v>
      </c>
      <c r="R116" s="1" t="s">
        <v>104</v>
      </c>
      <c r="S116" s="1" t="s">
        <v>104</v>
      </c>
      <c r="T116" s="1" t="s">
        <v>104</v>
      </c>
      <c r="U116" s="1" t="s">
        <v>104</v>
      </c>
      <c r="V116" s="1" t="s">
        <v>104</v>
      </c>
      <c r="W116" s="1" t="s">
        <v>104</v>
      </c>
      <c r="X116" s="1" t="s">
        <v>745</v>
      </c>
      <c r="Y116" s="1"/>
      <c r="Z116" s="8"/>
      <c r="AA116" s="8"/>
      <c r="AB116" s="8"/>
      <c r="AC116" s="8"/>
      <c r="AD116" s="8">
        <v>1</v>
      </c>
      <c r="AE116" s="8">
        <v>1</v>
      </c>
      <c r="AF116" s="8">
        <v>1</v>
      </c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W116" s="8">
        <v>1</v>
      </c>
      <c r="AX116" s="8">
        <v>1</v>
      </c>
      <c r="AY116" s="8">
        <v>1</v>
      </c>
      <c r="AZ116" s="8"/>
      <c r="BA116" s="8"/>
      <c r="BB116" s="1">
        <v>1</v>
      </c>
      <c r="BL116" s="58"/>
      <c r="BP116" t="str">
        <f t="shared" si="2"/>
        <v>GroundFighting</v>
      </c>
      <c r="BQ116" t="s">
        <v>2</v>
      </c>
      <c r="BR116">
        <v>1</v>
      </c>
    </row>
    <row r="117" spans="1:70" x14ac:dyDescent="0.25">
      <c r="A117">
        <f t="shared" si="3"/>
        <v>116</v>
      </c>
      <c r="B117" t="s">
        <v>198</v>
      </c>
      <c r="D117" s="1" t="s">
        <v>8</v>
      </c>
      <c r="E117" s="1" t="s">
        <v>18</v>
      </c>
      <c r="F117" s="1" t="s">
        <v>50</v>
      </c>
      <c r="G117" s="1" t="s">
        <v>50</v>
      </c>
      <c r="H117" s="1"/>
      <c r="I117" s="1" t="s">
        <v>50</v>
      </c>
      <c r="J117" s="1" t="s">
        <v>50</v>
      </c>
      <c r="K117" s="1" t="s">
        <v>50</v>
      </c>
      <c r="L117" s="1"/>
      <c r="M117" s="1" t="s">
        <v>104</v>
      </c>
      <c r="N117" s="1" t="s">
        <v>50</v>
      </c>
      <c r="O117" s="1" t="s">
        <v>50</v>
      </c>
      <c r="P117" s="1" t="s">
        <v>832</v>
      </c>
      <c r="Q117" s="1" t="s">
        <v>104</v>
      </c>
      <c r="R117" s="1" t="s">
        <v>104</v>
      </c>
      <c r="S117" s="1" t="s">
        <v>104</v>
      </c>
      <c r="T117" s="1" t="s">
        <v>104</v>
      </c>
      <c r="U117" s="1" t="s">
        <v>104</v>
      </c>
      <c r="V117" s="1" t="s">
        <v>104</v>
      </c>
      <c r="W117" s="1" t="s">
        <v>104</v>
      </c>
      <c r="X117" s="1" t="s">
        <v>745</v>
      </c>
      <c r="Y117" s="1"/>
      <c r="Z117" s="8"/>
      <c r="AA117" s="8"/>
      <c r="AB117" s="8"/>
      <c r="AC117" s="8"/>
      <c r="AD117" s="8">
        <v>1</v>
      </c>
      <c r="AE117" s="8">
        <v>1</v>
      </c>
      <c r="AF117" s="8">
        <v>1</v>
      </c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W117" s="8">
        <v>1</v>
      </c>
      <c r="AX117" s="8">
        <v>1</v>
      </c>
      <c r="AY117" s="8">
        <v>1</v>
      </c>
      <c r="AZ117" s="8"/>
      <c r="BA117" s="8"/>
      <c r="BB117" s="1"/>
      <c r="BL117" s="58"/>
      <c r="BP117" t="str">
        <f t="shared" si="2"/>
        <v>GroundFighting</v>
      </c>
      <c r="BQ117" t="s">
        <v>2</v>
      </c>
      <c r="BR117">
        <v>1</v>
      </c>
    </row>
    <row r="118" spans="1:70" x14ac:dyDescent="0.25">
      <c r="A118">
        <f t="shared" si="3"/>
        <v>117</v>
      </c>
      <c r="B118" t="s">
        <v>199</v>
      </c>
      <c r="D118" s="1" t="s">
        <v>8</v>
      </c>
      <c r="E118" s="1" t="s">
        <v>18</v>
      </c>
      <c r="F118" s="1" t="s">
        <v>50</v>
      </c>
      <c r="G118" s="1" t="s">
        <v>50</v>
      </c>
      <c r="H118" s="1" t="s">
        <v>50</v>
      </c>
      <c r="I118" s="1" t="s">
        <v>50</v>
      </c>
      <c r="J118" s="1" t="s">
        <v>50</v>
      </c>
      <c r="K118" s="1" t="s">
        <v>50</v>
      </c>
      <c r="L118" s="1" t="s">
        <v>50</v>
      </c>
      <c r="M118" s="1" t="s">
        <v>104</v>
      </c>
      <c r="N118" s="1" t="s">
        <v>50</v>
      </c>
      <c r="O118" s="1" t="s">
        <v>50</v>
      </c>
      <c r="P118" s="1" t="s">
        <v>832</v>
      </c>
      <c r="Q118" s="1" t="s">
        <v>50</v>
      </c>
      <c r="R118" s="1" t="s">
        <v>50</v>
      </c>
      <c r="S118" s="1" t="s">
        <v>50</v>
      </c>
      <c r="T118" s="1" t="s">
        <v>50</v>
      </c>
      <c r="U118" s="1" t="s">
        <v>50</v>
      </c>
      <c r="V118" s="1" t="s">
        <v>50</v>
      </c>
      <c r="W118" s="1" t="s">
        <v>50</v>
      </c>
      <c r="X118" s="1" t="s">
        <v>745</v>
      </c>
      <c r="Y118" s="1"/>
      <c r="Z118" s="8"/>
      <c r="AA118" s="8"/>
      <c r="AB118" s="8"/>
      <c r="AC118" s="8"/>
      <c r="AD118" s="8">
        <v>1</v>
      </c>
      <c r="AE118" s="8">
        <v>1</v>
      </c>
      <c r="AF118" s="8">
        <v>1</v>
      </c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W118" s="8">
        <v>1</v>
      </c>
      <c r="AX118" s="8">
        <v>1</v>
      </c>
      <c r="AY118" s="8">
        <v>1</v>
      </c>
      <c r="AZ118" s="8"/>
      <c r="BA118" s="8"/>
      <c r="BB118" s="1"/>
      <c r="BL118" s="58">
        <v>1</v>
      </c>
      <c r="BP118" t="str">
        <f t="shared" si="2"/>
        <v>GroundFighting</v>
      </c>
      <c r="BR118">
        <v>1</v>
      </c>
    </row>
    <row r="119" spans="1:70" x14ac:dyDescent="0.25">
      <c r="A119">
        <f t="shared" si="3"/>
        <v>118</v>
      </c>
      <c r="B119" t="s">
        <v>200</v>
      </c>
      <c r="D119" s="1" t="s">
        <v>5</v>
      </c>
      <c r="E119" s="1" t="s">
        <v>7</v>
      </c>
      <c r="F119" s="1" t="s">
        <v>50</v>
      </c>
      <c r="G119" s="1" t="s">
        <v>50</v>
      </c>
      <c r="H119" s="1"/>
      <c r="I119" s="1" t="s">
        <v>50</v>
      </c>
      <c r="J119" s="1" t="s">
        <v>50</v>
      </c>
      <c r="K119" s="1" t="s">
        <v>50</v>
      </c>
      <c r="L119" s="1" t="s">
        <v>50</v>
      </c>
      <c r="M119" s="1" t="s">
        <v>50</v>
      </c>
      <c r="N119" s="1" t="s">
        <v>50</v>
      </c>
      <c r="O119" s="1" t="s">
        <v>50</v>
      </c>
      <c r="P119" s="1" t="s">
        <v>832</v>
      </c>
      <c r="Q119" s="1" t="s">
        <v>104</v>
      </c>
      <c r="R119" s="1" t="s">
        <v>104</v>
      </c>
      <c r="S119" s="1" t="s">
        <v>104</v>
      </c>
      <c r="T119" s="1" t="s">
        <v>104</v>
      </c>
      <c r="U119" s="1" t="s">
        <v>104</v>
      </c>
      <c r="V119" s="1" t="s">
        <v>104</v>
      </c>
      <c r="W119" s="1" t="s">
        <v>104</v>
      </c>
      <c r="X119" s="1" t="s">
        <v>744</v>
      </c>
      <c r="Y119" s="1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>
        <v>1</v>
      </c>
      <c r="AP119" s="8">
        <v>1</v>
      </c>
      <c r="AQ119" s="8">
        <v>1</v>
      </c>
      <c r="AR119" s="8">
        <v>1</v>
      </c>
      <c r="AS119" s="8"/>
      <c r="AT119" s="8"/>
      <c r="AU119" s="8"/>
      <c r="AV119" s="8"/>
      <c r="AW119" s="8"/>
      <c r="AX119" s="8"/>
      <c r="AY119" s="8"/>
      <c r="AZ119" s="8"/>
      <c r="BA119" s="8"/>
      <c r="BB119" s="1">
        <v>1</v>
      </c>
      <c r="BL119" s="58"/>
      <c r="BP119" t="str">
        <f t="shared" si="2"/>
        <v>IceFairy</v>
      </c>
      <c r="BQ119" t="s">
        <v>2</v>
      </c>
      <c r="BR119">
        <v>1</v>
      </c>
    </row>
    <row r="120" spans="1:70" x14ac:dyDescent="0.25">
      <c r="A120">
        <f t="shared" si="3"/>
        <v>119</v>
      </c>
      <c r="B120" t="s">
        <v>201</v>
      </c>
      <c r="D120" s="1" t="s">
        <v>5</v>
      </c>
      <c r="E120" s="1" t="s">
        <v>7</v>
      </c>
      <c r="F120" s="1" t="s">
        <v>50</v>
      </c>
      <c r="G120" s="1" t="s">
        <v>50</v>
      </c>
      <c r="H120" s="1"/>
      <c r="I120" s="1" t="s">
        <v>50</v>
      </c>
      <c r="J120" s="1" t="s">
        <v>50</v>
      </c>
      <c r="K120" s="1" t="s">
        <v>50</v>
      </c>
      <c r="L120" s="1" t="s">
        <v>50</v>
      </c>
      <c r="M120" s="1" t="s">
        <v>104</v>
      </c>
      <c r="N120" s="1" t="s">
        <v>50</v>
      </c>
      <c r="O120" s="1" t="s">
        <v>50</v>
      </c>
      <c r="P120" s="1" t="s">
        <v>832</v>
      </c>
      <c r="Q120" s="1" t="s">
        <v>104</v>
      </c>
      <c r="R120" s="1" t="s">
        <v>104</v>
      </c>
      <c r="S120" s="1" t="s">
        <v>104</v>
      </c>
      <c r="T120" s="1" t="s">
        <v>104</v>
      </c>
      <c r="U120" s="1" t="s">
        <v>104</v>
      </c>
      <c r="V120" s="1" t="s">
        <v>104</v>
      </c>
      <c r="W120" s="1" t="s">
        <v>104</v>
      </c>
      <c r="X120" s="1" t="s">
        <v>744</v>
      </c>
      <c r="Y120" s="1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>
        <v>1</v>
      </c>
      <c r="AP120" s="8">
        <v>1</v>
      </c>
      <c r="AQ120" s="8">
        <v>1</v>
      </c>
      <c r="AR120" s="8">
        <v>1</v>
      </c>
      <c r="AS120" s="8"/>
      <c r="AT120" s="8"/>
      <c r="AU120" s="8"/>
      <c r="AV120" s="8"/>
      <c r="AW120" s="8"/>
      <c r="AX120" s="8"/>
      <c r="AY120" s="8"/>
      <c r="AZ120" s="8"/>
      <c r="BA120" s="8"/>
      <c r="BB120" s="1"/>
      <c r="BL120" s="58"/>
      <c r="BP120" t="str">
        <f t="shared" si="2"/>
        <v>IceFairy</v>
      </c>
      <c r="BQ120" t="s">
        <v>2</v>
      </c>
      <c r="BR120">
        <v>1</v>
      </c>
    </row>
    <row r="121" spans="1:70" x14ac:dyDescent="0.25">
      <c r="A121">
        <f t="shared" si="3"/>
        <v>120</v>
      </c>
      <c r="B121" t="s">
        <v>202</v>
      </c>
      <c r="D121" s="1" t="s">
        <v>5</v>
      </c>
      <c r="E121" s="1" t="s">
        <v>7</v>
      </c>
      <c r="F121" s="1" t="s">
        <v>50</v>
      </c>
      <c r="G121" s="1" t="s">
        <v>50</v>
      </c>
      <c r="H121" s="1" t="s">
        <v>50</v>
      </c>
      <c r="I121" s="1" t="s">
        <v>50</v>
      </c>
      <c r="J121" s="1" t="s">
        <v>50</v>
      </c>
      <c r="K121" s="1" t="s">
        <v>50</v>
      </c>
      <c r="L121" s="1" t="s">
        <v>50</v>
      </c>
      <c r="M121" s="1" t="s">
        <v>104</v>
      </c>
      <c r="N121" s="1" t="s">
        <v>50</v>
      </c>
      <c r="O121" s="1" t="s">
        <v>50</v>
      </c>
      <c r="P121" s="1" t="s">
        <v>832</v>
      </c>
      <c r="Q121" s="1" t="s">
        <v>50</v>
      </c>
      <c r="R121" s="1" t="s">
        <v>50</v>
      </c>
      <c r="S121" s="1" t="s">
        <v>50</v>
      </c>
      <c r="T121" s="1" t="s">
        <v>50</v>
      </c>
      <c r="U121" s="1" t="s">
        <v>50</v>
      </c>
      <c r="V121" s="1" t="s">
        <v>50</v>
      </c>
      <c r="W121" s="1" t="s">
        <v>50</v>
      </c>
      <c r="X121" s="1" t="s">
        <v>744</v>
      </c>
      <c r="Y121" s="1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>
        <v>1</v>
      </c>
      <c r="AP121" s="8">
        <v>1</v>
      </c>
      <c r="AQ121" s="8">
        <v>1</v>
      </c>
      <c r="AR121" s="8">
        <v>1</v>
      </c>
      <c r="AS121" s="8"/>
      <c r="AT121" s="8"/>
      <c r="AU121" s="8"/>
      <c r="AV121" s="8"/>
      <c r="AW121" s="8"/>
      <c r="AX121" s="8"/>
      <c r="AY121" s="8"/>
      <c r="AZ121" s="8"/>
      <c r="BA121" s="8"/>
      <c r="BB121" s="1"/>
      <c r="BJ121">
        <v>12</v>
      </c>
      <c r="BL121" s="58"/>
      <c r="BP121" t="str">
        <f t="shared" si="2"/>
        <v>IceFairy</v>
      </c>
      <c r="BR121">
        <v>1</v>
      </c>
    </row>
    <row r="122" spans="1:70" x14ac:dyDescent="0.25">
      <c r="A122">
        <f t="shared" si="3"/>
        <v>121</v>
      </c>
      <c r="B122" t="s">
        <v>203</v>
      </c>
      <c r="D122" s="1" t="s">
        <v>13</v>
      </c>
      <c r="E122" s="1" t="s">
        <v>3</v>
      </c>
      <c r="F122" s="1" t="s">
        <v>50</v>
      </c>
      <c r="G122" s="1" t="s">
        <v>50</v>
      </c>
      <c r="H122" s="1" t="s">
        <v>50</v>
      </c>
      <c r="I122" s="1" t="s">
        <v>50</v>
      </c>
      <c r="J122" s="1" t="s">
        <v>50</v>
      </c>
      <c r="K122" s="1" t="s">
        <v>50</v>
      </c>
      <c r="L122" s="1" t="s">
        <v>50</v>
      </c>
      <c r="M122" s="1" t="s">
        <v>50</v>
      </c>
      <c r="N122" s="1" t="s">
        <v>50</v>
      </c>
      <c r="O122" s="1" t="s">
        <v>50</v>
      </c>
      <c r="P122" s="1" t="s">
        <v>832</v>
      </c>
      <c r="Q122" s="1" t="s">
        <v>104</v>
      </c>
      <c r="R122" s="1" t="s">
        <v>104</v>
      </c>
      <c r="S122" s="1" t="s">
        <v>104</v>
      </c>
      <c r="T122" s="1" t="s">
        <v>104</v>
      </c>
      <c r="U122" s="1" t="s">
        <v>104</v>
      </c>
      <c r="V122" s="1" t="s">
        <v>104</v>
      </c>
      <c r="W122" s="1" t="s">
        <v>104</v>
      </c>
      <c r="X122" s="1" t="s">
        <v>727</v>
      </c>
      <c r="Y122" s="1"/>
      <c r="Z122" s="8">
        <v>1</v>
      </c>
      <c r="AA122" s="8"/>
      <c r="AB122" s="8"/>
      <c r="AC122" s="8"/>
      <c r="AD122" s="8"/>
      <c r="AE122" s="8">
        <v>1</v>
      </c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>
        <v>1</v>
      </c>
      <c r="AY122" s="8">
        <v>1</v>
      </c>
      <c r="AZ122" s="8"/>
      <c r="BA122" s="8"/>
      <c r="BB122" s="1"/>
      <c r="BJ122">
        <v>6</v>
      </c>
      <c r="BK122">
        <v>1</v>
      </c>
      <c r="BL122" s="58"/>
      <c r="BP122" t="str">
        <f t="shared" si="2"/>
        <v>FireElectric</v>
      </c>
      <c r="BR122">
        <v>1</v>
      </c>
    </row>
    <row r="123" spans="1:70" x14ac:dyDescent="0.25">
      <c r="A123">
        <f t="shared" si="3"/>
        <v>122</v>
      </c>
      <c r="B123" t="s">
        <v>204</v>
      </c>
      <c r="D123" s="1" t="s">
        <v>6</v>
      </c>
      <c r="E123" s="1" t="s">
        <v>16</v>
      </c>
      <c r="F123" s="1" t="s">
        <v>50</v>
      </c>
      <c r="G123" s="1" t="s">
        <v>50</v>
      </c>
      <c r="H123" s="1"/>
      <c r="I123" s="1" t="s">
        <v>50</v>
      </c>
      <c r="J123" s="1" t="s">
        <v>50</v>
      </c>
      <c r="K123" s="1" t="s">
        <v>50</v>
      </c>
      <c r="L123" s="1" t="s">
        <v>50</v>
      </c>
      <c r="M123" s="1" t="s">
        <v>50</v>
      </c>
      <c r="N123" s="1" t="s">
        <v>50</v>
      </c>
      <c r="O123" s="1" t="s">
        <v>50</v>
      </c>
      <c r="P123" s="13" t="s">
        <v>2235</v>
      </c>
      <c r="Q123" s="1" t="s">
        <v>104</v>
      </c>
      <c r="R123" s="1" t="s">
        <v>104</v>
      </c>
      <c r="S123" s="1" t="s">
        <v>104</v>
      </c>
      <c r="T123" s="1" t="s">
        <v>104</v>
      </c>
      <c r="U123" s="1" t="s">
        <v>104</v>
      </c>
      <c r="V123" s="1" t="s">
        <v>104</v>
      </c>
      <c r="W123" s="1" t="s">
        <v>104</v>
      </c>
      <c r="X123" s="1" t="s">
        <v>739</v>
      </c>
      <c r="Y123" s="1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>
        <v>1</v>
      </c>
      <c r="AT123" s="8"/>
      <c r="AU123" s="8"/>
      <c r="AV123" s="8">
        <v>1</v>
      </c>
      <c r="AW123" s="8"/>
      <c r="AX123" s="8">
        <v>1</v>
      </c>
      <c r="AY123" s="8">
        <v>1</v>
      </c>
      <c r="AZ123" s="8"/>
      <c r="BA123" s="8"/>
      <c r="BB123" s="1"/>
      <c r="BL123" s="58"/>
      <c r="BP123" t="str">
        <f t="shared" si="2"/>
        <v>SteelFlying</v>
      </c>
      <c r="BQ123" t="s">
        <v>2</v>
      </c>
      <c r="BR123">
        <v>3</v>
      </c>
    </row>
    <row r="124" spans="1:70" x14ac:dyDescent="0.25">
      <c r="A124">
        <f t="shared" si="3"/>
        <v>123</v>
      </c>
      <c r="B124" t="s">
        <v>402</v>
      </c>
      <c r="D124" s="1" t="s">
        <v>6</v>
      </c>
      <c r="E124" s="1" t="s">
        <v>16</v>
      </c>
      <c r="F124" s="1" t="s">
        <v>50</v>
      </c>
      <c r="G124" s="1" t="s">
        <v>50</v>
      </c>
      <c r="H124" s="1" t="s">
        <v>50</v>
      </c>
      <c r="I124" s="1" t="s">
        <v>50</v>
      </c>
      <c r="J124" s="1" t="s">
        <v>50</v>
      </c>
      <c r="K124" s="1" t="s">
        <v>50</v>
      </c>
      <c r="L124" s="1"/>
      <c r="M124" s="1" t="s">
        <v>104</v>
      </c>
      <c r="N124" s="1" t="s">
        <v>50</v>
      </c>
      <c r="O124" s="1" t="s">
        <v>50</v>
      </c>
      <c r="P124" s="13" t="s">
        <v>2235</v>
      </c>
      <c r="Q124" s="1" t="s">
        <v>50</v>
      </c>
      <c r="R124" s="1" t="s">
        <v>50</v>
      </c>
      <c r="S124" s="1" t="s">
        <v>50</v>
      </c>
      <c r="T124" s="1" t="s">
        <v>50</v>
      </c>
      <c r="U124" s="1" t="s">
        <v>50</v>
      </c>
      <c r="V124" s="1" t="s">
        <v>50</v>
      </c>
      <c r="W124" s="1" t="s">
        <v>50</v>
      </c>
      <c r="X124" s="1" t="s">
        <v>739</v>
      </c>
      <c r="Y124" s="1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>
        <v>1</v>
      </c>
      <c r="AT124" s="8"/>
      <c r="AU124" s="8"/>
      <c r="AV124" s="8">
        <v>1</v>
      </c>
      <c r="AW124" s="8"/>
      <c r="AX124" s="8">
        <v>1</v>
      </c>
      <c r="AY124" s="8">
        <v>1</v>
      </c>
      <c r="AZ124" s="8"/>
      <c r="BA124" s="8"/>
      <c r="BB124" s="1"/>
      <c r="BJ124">
        <v>3</v>
      </c>
      <c r="BK124">
        <v>1</v>
      </c>
      <c r="BL124" s="58"/>
      <c r="BP124" t="str">
        <f t="shared" si="2"/>
        <v>SteelFlying</v>
      </c>
      <c r="BR124">
        <v>3</v>
      </c>
    </row>
    <row r="125" spans="1:70" x14ac:dyDescent="0.25">
      <c r="A125">
        <f t="shared" si="3"/>
        <v>124</v>
      </c>
      <c r="B125" t="s">
        <v>205</v>
      </c>
      <c r="D125" s="1" t="s">
        <v>14</v>
      </c>
      <c r="E125" s="1" t="s">
        <v>18</v>
      </c>
      <c r="F125" s="1" t="s">
        <v>50</v>
      </c>
      <c r="G125" s="1" t="s">
        <v>50</v>
      </c>
      <c r="H125" s="1"/>
      <c r="I125" s="1" t="s">
        <v>50</v>
      </c>
      <c r="J125" s="1" t="s">
        <v>50</v>
      </c>
      <c r="K125" s="1" t="s">
        <v>50</v>
      </c>
      <c r="L125" s="1" t="s">
        <v>50</v>
      </c>
      <c r="M125" s="1" t="s">
        <v>50</v>
      </c>
      <c r="N125" s="1" t="s">
        <v>50</v>
      </c>
      <c r="O125" s="1" t="s">
        <v>50</v>
      </c>
      <c r="P125" s="1" t="s">
        <v>832</v>
      </c>
      <c r="Q125" s="1" t="s">
        <v>104</v>
      </c>
      <c r="R125" s="1" t="s">
        <v>104</v>
      </c>
      <c r="S125" s="1" t="s">
        <v>104</v>
      </c>
      <c r="T125" s="1" t="s">
        <v>104</v>
      </c>
      <c r="U125" s="1" t="s">
        <v>104</v>
      </c>
      <c r="V125" s="1" t="s">
        <v>104</v>
      </c>
      <c r="W125" s="1" t="s">
        <v>104</v>
      </c>
      <c r="X125" s="1" t="s">
        <v>727</v>
      </c>
      <c r="Y125" s="1"/>
      <c r="Z125" s="8"/>
      <c r="AA125" s="8"/>
      <c r="AB125" s="8"/>
      <c r="AC125" s="8"/>
      <c r="AD125" s="8"/>
      <c r="AE125" s="8"/>
      <c r="AF125" s="8"/>
      <c r="AG125" s="8"/>
      <c r="AH125" s="8">
        <v>1</v>
      </c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>
        <v>1</v>
      </c>
      <c r="AT125" s="8">
        <v>1</v>
      </c>
      <c r="AU125" s="8"/>
      <c r="AV125" s="8"/>
      <c r="AW125" s="8"/>
      <c r="AX125" s="8">
        <v>1</v>
      </c>
      <c r="AY125" s="8"/>
      <c r="AZ125" s="8"/>
      <c r="BA125" s="8"/>
      <c r="BB125" s="1"/>
      <c r="BL125" s="58"/>
      <c r="BP125" t="str">
        <f t="shared" si="2"/>
        <v>GhostFighting</v>
      </c>
      <c r="BQ125" t="s">
        <v>2</v>
      </c>
      <c r="BR125">
        <v>5</v>
      </c>
    </row>
    <row r="126" spans="1:70" x14ac:dyDescent="0.25">
      <c r="A126">
        <f t="shared" si="3"/>
        <v>125</v>
      </c>
      <c r="B126" t="s">
        <v>403</v>
      </c>
      <c r="D126" s="1" t="s">
        <v>14</v>
      </c>
      <c r="E126" s="1" t="s">
        <v>18</v>
      </c>
      <c r="F126" s="1" t="s">
        <v>50</v>
      </c>
      <c r="G126" s="1" t="s">
        <v>50</v>
      </c>
      <c r="H126" s="1"/>
      <c r="I126" s="1" t="s">
        <v>50</v>
      </c>
      <c r="J126" s="1" t="s">
        <v>50</v>
      </c>
      <c r="K126" s="1" t="s">
        <v>50</v>
      </c>
      <c r="L126" s="1"/>
      <c r="M126" s="1" t="s">
        <v>104</v>
      </c>
      <c r="N126" s="1" t="s">
        <v>50</v>
      </c>
      <c r="O126" s="1" t="s">
        <v>50</v>
      </c>
      <c r="P126" s="1" t="s">
        <v>832</v>
      </c>
      <c r="Q126" s="1" t="s">
        <v>104</v>
      </c>
      <c r="R126" s="1" t="s">
        <v>104</v>
      </c>
      <c r="S126" s="1" t="s">
        <v>104</v>
      </c>
      <c r="T126" s="1" t="s">
        <v>104</v>
      </c>
      <c r="U126" s="1" t="s">
        <v>104</v>
      </c>
      <c r="V126" s="1" t="s">
        <v>104</v>
      </c>
      <c r="W126" s="1" t="s">
        <v>104</v>
      </c>
      <c r="X126" s="1" t="s">
        <v>727</v>
      </c>
      <c r="Y126" s="1"/>
      <c r="Z126" s="8"/>
      <c r="AA126" s="8"/>
      <c r="AB126" s="8"/>
      <c r="AC126" s="8"/>
      <c r="AD126" s="8"/>
      <c r="AE126" s="8"/>
      <c r="AF126" s="8"/>
      <c r="AG126" s="8"/>
      <c r="AH126" s="8">
        <v>1</v>
      </c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>
        <v>1</v>
      </c>
      <c r="AT126" s="8">
        <v>1</v>
      </c>
      <c r="AU126" s="8"/>
      <c r="AV126" s="8"/>
      <c r="AW126" s="8"/>
      <c r="AX126" s="8">
        <v>1</v>
      </c>
      <c r="AY126" s="8"/>
      <c r="AZ126" s="8"/>
      <c r="BA126" s="8"/>
      <c r="BB126" s="1"/>
      <c r="BL126" s="58"/>
      <c r="BP126" t="str">
        <f t="shared" si="2"/>
        <v>GhostFighting</v>
      </c>
      <c r="BQ126" t="s">
        <v>2</v>
      </c>
      <c r="BR126">
        <v>5</v>
      </c>
    </row>
    <row r="127" spans="1:70" x14ac:dyDescent="0.25">
      <c r="A127">
        <f t="shared" si="3"/>
        <v>126</v>
      </c>
      <c r="B127" t="s">
        <v>711</v>
      </c>
      <c r="D127" s="1" t="s">
        <v>14</v>
      </c>
      <c r="E127" s="1" t="s">
        <v>18</v>
      </c>
      <c r="F127" s="1" t="s">
        <v>50</v>
      </c>
      <c r="G127" s="1" t="s">
        <v>50</v>
      </c>
      <c r="H127" s="1" t="s">
        <v>50</v>
      </c>
      <c r="I127" s="1" t="s">
        <v>50</v>
      </c>
      <c r="J127" s="1" t="s">
        <v>50</v>
      </c>
      <c r="K127" s="1" t="s">
        <v>50</v>
      </c>
      <c r="L127" s="1" t="s">
        <v>50</v>
      </c>
      <c r="M127" s="1" t="s">
        <v>104</v>
      </c>
      <c r="N127" s="1" t="s">
        <v>50</v>
      </c>
      <c r="O127" s="1" t="s">
        <v>50</v>
      </c>
      <c r="P127" s="1" t="s">
        <v>832</v>
      </c>
      <c r="Q127" s="1" t="s">
        <v>104</v>
      </c>
      <c r="R127" s="1" t="s">
        <v>104</v>
      </c>
      <c r="S127" s="1" t="s">
        <v>104</v>
      </c>
      <c r="T127" s="1" t="s">
        <v>104</v>
      </c>
      <c r="U127" s="1" t="s">
        <v>104</v>
      </c>
      <c r="V127" s="1" t="s">
        <v>104</v>
      </c>
      <c r="W127" s="1" t="s">
        <v>104</v>
      </c>
      <c r="X127" s="1" t="s">
        <v>727</v>
      </c>
      <c r="Y127" s="1"/>
      <c r="Z127" s="8"/>
      <c r="AA127" s="8"/>
      <c r="AB127" s="8"/>
      <c r="AC127" s="8"/>
      <c r="AD127" s="8"/>
      <c r="AE127" s="8"/>
      <c r="AF127" s="8"/>
      <c r="AG127" s="8"/>
      <c r="AH127" s="8">
        <v>1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>
        <v>1</v>
      </c>
      <c r="AT127" s="8">
        <v>1</v>
      </c>
      <c r="AU127" s="8"/>
      <c r="AV127" s="8"/>
      <c r="AW127" s="8"/>
      <c r="AX127" s="8">
        <v>1</v>
      </c>
      <c r="AY127" s="8"/>
      <c r="AZ127" s="8"/>
      <c r="BA127" s="8"/>
      <c r="BB127" s="1"/>
      <c r="BJ127">
        <v>1</v>
      </c>
      <c r="BL127" s="58"/>
      <c r="BP127" t="str">
        <f t="shared" si="2"/>
        <v>GhostFighting</v>
      </c>
      <c r="BR127">
        <v>5</v>
      </c>
    </row>
    <row r="128" spans="1:70" x14ac:dyDescent="0.25">
      <c r="A128">
        <f t="shared" si="3"/>
        <v>127</v>
      </c>
      <c r="B128" t="s">
        <v>206</v>
      </c>
      <c r="D128" s="1" t="s">
        <v>44</v>
      </c>
      <c r="E128" s="1" t="s">
        <v>14</v>
      </c>
      <c r="F128" s="1" t="s">
        <v>50</v>
      </c>
      <c r="G128" s="1" t="s">
        <v>50</v>
      </c>
      <c r="H128" s="1"/>
      <c r="I128" s="1" t="s">
        <v>50</v>
      </c>
      <c r="J128" s="1" t="s">
        <v>50</v>
      </c>
      <c r="K128" s="1" t="s">
        <v>50</v>
      </c>
      <c r="L128" s="1" t="s">
        <v>50</v>
      </c>
      <c r="M128" s="1" t="s">
        <v>50</v>
      </c>
      <c r="N128" s="1" t="s">
        <v>50</v>
      </c>
      <c r="O128" s="1" t="s">
        <v>50</v>
      </c>
      <c r="P128" s="13" t="s">
        <v>810</v>
      </c>
      <c r="Q128" s="1" t="s">
        <v>104</v>
      </c>
      <c r="R128" s="1" t="s">
        <v>104</v>
      </c>
      <c r="S128" s="1" t="s">
        <v>104</v>
      </c>
      <c r="T128" s="1" t="s">
        <v>104</v>
      </c>
      <c r="U128" s="1" t="s">
        <v>104</v>
      </c>
      <c r="V128" s="1" t="s">
        <v>104</v>
      </c>
      <c r="W128" s="1" t="s">
        <v>104</v>
      </c>
      <c r="X128" s="1" t="s">
        <v>743</v>
      </c>
      <c r="Y128" s="1"/>
      <c r="Z128" s="8"/>
      <c r="AA128" s="8"/>
      <c r="AB128" s="8"/>
      <c r="AC128" s="8"/>
      <c r="AD128" s="8"/>
      <c r="AE128" s="8"/>
      <c r="AF128" s="8"/>
      <c r="AG128" s="8">
        <v>1</v>
      </c>
      <c r="AH128" s="8">
        <v>1</v>
      </c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>
        <v>1</v>
      </c>
      <c r="AT128" s="8"/>
      <c r="AU128" s="8"/>
      <c r="AV128" s="8"/>
      <c r="AW128" s="8"/>
      <c r="AX128" s="8"/>
      <c r="AY128" s="8"/>
      <c r="AZ128" s="8"/>
      <c r="BA128" s="8"/>
      <c r="BB128" s="1"/>
      <c r="BL128" s="58"/>
      <c r="BP128" t="str">
        <f t="shared" si="2"/>
        <v>LightGhost</v>
      </c>
      <c r="BQ128" t="s">
        <v>2</v>
      </c>
      <c r="BR128">
        <v>5</v>
      </c>
    </row>
    <row r="129" spans="1:70" x14ac:dyDescent="0.25">
      <c r="A129">
        <f t="shared" si="3"/>
        <v>128</v>
      </c>
      <c r="B129" t="s">
        <v>207</v>
      </c>
      <c r="D129" s="1" t="s">
        <v>44</v>
      </c>
      <c r="E129" s="1" t="s">
        <v>14</v>
      </c>
      <c r="F129" s="1" t="s">
        <v>50</v>
      </c>
      <c r="G129" s="1" t="s">
        <v>50</v>
      </c>
      <c r="H129" s="1"/>
      <c r="I129" s="1" t="s">
        <v>50</v>
      </c>
      <c r="J129" s="1" t="s">
        <v>50</v>
      </c>
      <c r="K129" s="1" t="s">
        <v>50</v>
      </c>
      <c r="L129" s="1"/>
      <c r="M129" s="1" t="s">
        <v>104</v>
      </c>
      <c r="N129" s="1" t="s">
        <v>50</v>
      </c>
      <c r="O129" s="1" t="s">
        <v>50</v>
      </c>
      <c r="P129" s="13" t="s">
        <v>810</v>
      </c>
      <c r="Q129" s="1" t="s">
        <v>104</v>
      </c>
      <c r="R129" s="1" t="s">
        <v>104</v>
      </c>
      <c r="S129" s="1" t="s">
        <v>104</v>
      </c>
      <c r="T129" s="1" t="s">
        <v>104</v>
      </c>
      <c r="U129" s="1" t="s">
        <v>104</v>
      </c>
      <c r="V129" s="1" t="s">
        <v>104</v>
      </c>
      <c r="W129" s="1" t="s">
        <v>104</v>
      </c>
      <c r="X129" s="1" t="s">
        <v>743</v>
      </c>
      <c r="Y129" s="1"/>
      <c r="Z129" s="8"/>
      <c r="AA129" s="8"/>
      <c r="AB129" s="8"/>
      <c r="AC129" s="8"/>
      <c r="AD129" s="8"/>
      <c r="AE129" s="8"/>
      <c r="AF129" s="8"/>
      <c r="AG129" s="8">
        <v>1</v>
      </c>
      <c r="AH129" s="8">
        <v>1</v>
      </c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>
        <v>1</v>
      </c>
      <c r="AT129" s="8"/>
      <c r="AU129" s="8"/>
      <c r="AV129" s="8"/>
      <c r="AW129" s="8"/>
      <c r="AX129" s="8"/>
      <c r="AY129" s="8"/>
      <c r="AZ129" s="8"/>
      <c r="BA129" s="8"/>
      <c r="BB129" s="1"/>
      <c r="BL129" s="58"/>
      <c r="BP129" t="str">
        <f t="shared" si="2"/>
        <v>LightGhost</v>
      </c>
      <c r="BQ129" t="s">
        <v>2</v>
      </c>
      <c r="BR129">
        <v>5</v>
      </c>
    </row>
    <row r="130" spans="1:70" x14ac:dyDescent="0.25">
      <c r="A130">
        <f t="shared" si="3"/>
        <v>129</v>
      </c>
      <c r="B130" t="s">
        <v>404</v>
      </c>
      <c r="D130" s="1" t="s">
        <v>44</v>
      </c>
      <c r="E130" s="1" t="s">
        <v>14</v>
      </c>
      <c r="F130" s="1" t="s">
        <v>50</v>
      </c>
      <c r="G130" s="1" t="s">
        <v>50</v>
      </c>
      <c r="H130" s="1" t="s">
        <v>50</v>
      </c>
      <c r="I130" s="1" t="s">
        <v>50</v>
      </c>
      <c r="J130" s="1" t="s">
        <v>50</v>
      </c>
      <c r="K130" s="1" t="s">
        <v>50</v>
      </c>
      <c r="L130" s="1"/>
      <c r="M130" s="1" t="s">
        <v>104</v>
      </c>
      <c r="N130" s="1" t="s">
        <v>50</v>
      </c>
      <c r="O130" s="1" t="s">
        <v>50</v>
      </c>
      <c r="P130" s="13" t="s">
        <v>810</v>
      </c>
      <c r="Q130" s="1" t="s">
        <v>50</v>
      </c>
      <c r="R130" s="1" t="s">
        <v>50</v>
      </c>
      <c r="S130" s="1" t="s">
        <v>50</v>
      </c>
      <c r="T130" s="1" t="s">
        <v>50</v>
      </c>
      <c r="U130" s="1" t="s">
        <v>50</v>
      </c>
      <c r="V130" s="1" t="s">
        <v>50</v>
      </c>
      <c r="W130" s="1" t="s">
        <v>50</v>
      </c>
      <c r="X130" s="1" t="s">
        <v>743</v>
      </c>
      <c r="Y130" s="1"/>
      <c r="Z130" s="8"/>
      <c r="AA130" s="8"/>
      <c r="AB130" s="8"/>
      <c r="AC130" s="8"/>
      <c r="AD130" s="8"/>
      <c r="AE130" s="8"/>
      <c r="AF130" s="8"/>
      <c r="AG130" s="8">
        <v>1</v>
      </c>
      <c r="AH130" s="8">
        <v>1</v>
      </c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>
        <v>1</v>
      </c>
      <c r="AT130" s="8"/>
      <c r="AU130" s="8"/>
      <c r="AV130" s="8"/>
      <c r="AW130" s="8"/>
      <c r="AX130" s="8"/>
      <c r="AY130" s="8"/>
      <c r="AZ130" s="8"/>
      <c r="BA130" s="8"/>
      <c r="BB130" s="1"/>
      <c r="BJ130">
        <v>7</v>
      </c>
      <c r="BK130">
        <v>3</v>
      </c>
      <c r="BL130" s="58"/>
      <c r="BP130" t="str">
        <f t="shared" ref="BP130:BP193" si="4">D130&amp;E130</f>
        <v>LightGhost</v>
      </c>
      <c r="BR130">
        <v>5</v>
      </c>
    </row>
    <row r="131" spans="1:70" x14ac:dyDescent="0.25">
      <c r="A131">
        <f t="shared" ref="A131:A194" si="5">A130+1</f>
        <v>130</v>
      </c>
      <c r="B131" t="s">
        <v>208</v>
      </c>
      <c r="D131" s="1" t="s">
        <v>10</v>
      </c>
      <c r="E131" s="1">
        <v>0</v>
      </c>
      <c r="F131" s="1" t="s">
        <v>50</v>
      </c>
      <c r="G131" s="1" t="s">
        <v>50</v>
      </c>
      <c r="H131" s="1"/>
      <c r="I131" s="1" t="s">
        <v>50</v>
      </c>
      <c r="J131" s="1" t="s">
        <v>50</v>
      </c>
      <c r="K131" s="1" t="s">
        <v>50</v>
      </c>
      <c r="L131" s="1" t="s">
        <v>50</v>
      </c>
      <c r="M131" s="1" t="s">
        <v>50</v>
      </c>
      <c r="N131" s="1" t="s">
        <v>50</v>
      </c>
      <c r="O131" s="1" t="s">
        <v>50</v>
      </c>
      <c r="P131" s="1" t="s">
        <v>2429</v>
      </c>
      <c r="Q131" s="1" t="s">
        <v>104</v>
      </c>
      <c r="R131" s="1" t="s">
        <v>104</v>
      </c>
      <c r="S131" s="1" t="s">
        <v>104</v>
      </c>
      <c r="T131" s="1" t="s">
        <v>104</v>
      </c>
      <c r="U131" s="1" t="s">
        <v>104</v>
      </c>
      <c r="V131" s="1" t="s">
        <v>104</v>
      </c>
      <c r="W131" s="1" t="s">
        <v>104</v>
      </c>
      <c r="X131" s="1" t="s">
        <v>2182</v>
      </c>
      <c r="Y131" s="1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>
        <v>1</v>
      </c>
      <c r="AT131" s="8">
        <v>1</v>
      </c>
      <c r="AU131" s="8"/>
      <c r="AV131" s="8"/>
      <c r="AW131" s="8"/>
      <c r="AX131" s="8"/>
      <c r="AY131" s="8"/>
      <c r="AZ131" s="8"/>
      <c r="BA131" s="8"/>
      <c r="BB131" s="1"/>
      <c r="BL131" s="58"/>
      <c r="BP131" t="str">
        <f t="shared" si="4"/>
        <v>Poison0</v>
      </c>
      <c r="BQ131" t="s">
        <v>2</v>
      </c>
      <c r="BR131">
        <v>5</v>
      </c>
    </row>
    <row r="132" spans="1:70" x14ac:dyDescent="0.25">
      <c r="A132">
        <f t="shared" si="5"/>
        <v>131</v>
      </c>
      <c r="B132" t="s">
        <v>209</v>
      </c>
      <c r="D132" s="1" t="s">
        <v>10</v>
      </c>
      <c r="E132" s="1">
        <v>0</v>
      </c>
      <c r="F132" s="1" t="s">
        <v>50</v>
      </c>
      <c r="G132" s="1" t="s">
        <v>50</v>
      </c>
      <c r="H132" s="1"/>
      <c r="I132" s="1" t="s">
        <v>50</v>
      </c>
      <c r="J132" s="1" t="s">
        <v>50</v>
      </c>
      <c r="K132" s="1" t="s">
        <v>50</v>
      </c>
      <c r="L132" s="1"/>
      <c r="M132" s="1" t="s">
        <v>104</v>
      </c>
      <c r="N132" s="1" t="s">
        <v>50</v>
      </c>
      <c r="O132" s="1" t="s">
        <v>50</v>
      </c>
      <c r="P132" s="1" t="s">
        <v>2429</v>
      </c>
      <c r="Q132" s="1" t="s">
        <v>104</v>
      </c>
      <c r="R132" s="1" t="s">
        <v>104</v>
      </c>
      <c r="S132" s="1" t="s">
        <v>104</v>
      </c>
      <c r="T132" s="1" t="s">
        <v>104</v>
      </c>
      <c r="U132" s="1" t="s">
        <v>104</v>
      </c>
      <c r="V132" s="1" t="s">
        <v>104</v>
      </c>
      <c r="W132" s="1" t="s">
        <v>104</v>
      </c>
      <c r="X132" s="1" t="s">
        <v>2182</v>
      </c>
      <c r="Y132" s="1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>
        <v>1</v>
      </c>
      <c r="AT132" s="8">
        <v>1</v>
      </c>
      <c r="AU132" s="8"/>
      <c r="AV132" s="8"/>
      <c r="AW132" s="8"/>
      <c r="AX132" s="8"/>
      <c r="AY132" s="8"/>
      <c r="AZ132" s="8"/>
      <c r="BA132" s="8"/>
      <c r="BB132" s="1"/>
      <c r="BL132" s="58"/>
      <c r="BP132" t="str">
        <f t="shared" si="4"/>
        <v>Poison0</v>
      </c>
      <c r="BQ132" t="s">
        <v>2</v>
      </c>
      <c r="BR132">
        <v>5</v>
      </c>
    </row>
    <row r="133" spans="1:70" x14ac:dyDescent="0.25">
      <c r="A133">
        <f t="shared" si="5"/>
        <v>132</v>
      </c>
      <c r="B133" t="s">
        <v>210</v>
      </c>
      <c r="D133" s="1" t="s">
        <v>10</v>
      </c>
      <c r="E133" s="1">
        <v>0</v>
      </c>
      <c r="F133" s="1" t="s">
        <v>50</v>
      </c>
      <c r="G133" s="1" t="s">
        <v>50</v>
      </c>
      <c r="H133" s="1" t="s">
        <v>50</v>
      </c>
      <c r="I133" s="1" t="s">
        <v>50</v>
      </c>
      <c r="J133" s="1" t="s">
        <v>50</v>
      </c>
      <c r="K133" s="1" t="s">
        <v>50</v>
      </c>
      <c r="L133" s="1"/>
      <c r="M133" s="1" t="s">
        <v>104</v>
      </c>
      <c r="N133" s="1" t="s">
        <v>50</v>
      </c>
      <c r="O133" s="1" t="s">
        <v>50</v>
      </c>
      <c r="P133" s="1" t="s">
        <v>2429</v>
      </c>
      <c r="Q133" s="1" t="s">
        <v>104</v>
      </c>
      <c r="R133" s="1" t="s">
        <v>104</v>
      </c>
      <c r="S133" s="1" t="s">
        <v>104</v>
      </c>
      <c r="T133" s="1" t="s">
        <v>104</v>
      </c>
      <c r="U133" s="1" t="s">
        <v>104</v>
      </c>
      <c r="V133" s="1" t="s">
        <v>104</v>
      </c>
      <c r="W133" s="1" t="s">
        <v>104</v>
      </c>
      <c r="X133" s="1" t="s">
        <v>2182</v>
      </c>
      <c r="Y133" s="1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>
        <v>1</v>
      </c>
      <c r="AT133" s="8">
        <v>1</v>
      </c>
      <c r="AU133" s="8"/>
      <c r="AV133" s="8"/>
      <c r="AW133" s="8"/>
      <c r="AX133" s="8"/>
      <c r="AY133" s="8"/>
      <c r="AZ133" s="8"/>
      <c r="BA133" s="8"/>
      <c r="BB133" s="1"/>
      <c r="BJ133">
        <v>4</v>
      </c>
      <c r="BL133" s="58"/>
      <c r="BP133" t="str">
        <f t="shared" si="4"/>
        <v>Poison0</v>
      </c>
      <c r="BR133">
        <v>5</v>
      </c>
    </row>
    <row r="134" spans="1:70" x14ac:dyDescent="0.25">
      <c r="A134">
        <f t="shared" si="5"/>
        <v>133</v>
      </c>
      <c r="B134" t="s">
        <v>405</v>
      </c>
      <c r="D134" s="1" t="s">
        <v>17</v>
      </c>
      <c r="E134" s="1" t="s">
        <v>18</v>
      </c>
      <c r="F134" s="1" t="s">
        <v>50</v>
      </c>
      <c r="G134" s="1" t="s">
        <v>50</v>
      </c>
      <c r="H134" s="1"/>
      <c r="I134" s="1" t="s">
        <v>50</v>
      </c>
      <c r="J134" s="1" t="s">
        <v>50</v>
      </c>
      <c r="K134" s="1" t="s">
        <v>50</v>
      </c>
      <c r="L134" s="1"/>
      <c r="M134" s="1" t="s">
        <v>50</v>
      </c>
      <c r="N134" s="1" t="s">
        <v>50</v>
      </c>
      <c r="O134" s="1" t="s">
        <v>50</v>
      </c>
      <c r="P134" s="1" t="s">
        <v>832</v>
      </c>
      <c r="Q134" s="1" t="s">
        <v>104</v>
      </c>
      <c r="R134" s="1" t="s">
        <v>104</v>
      </c>
      <c r="S134" s="1" t="s">
        <v>104</v>
      </c>
      <c r="T134" s="1" t="s">
        <v>104</v>
      </c>
      <c r="U134" s="1" t="s">
        <v>104</v>
      </c>
      <c r="V134" s="1" t="s">
        <v>104</v>
      </c>
      <c r="W134" s="1" t="s">
        <v>104</v>
      </c>
      <c r="X134" s="1" t="s">
        <v>742</v>
      </c>
      <c r="Y134" s="1"/>
      <c r="Z134" s="8"/>
      <c r="AA134" s="8">
        <v>1</v>
      </c>
      <c r="AB134" s="8">
        <v>1</v>
      </c>
      <c r="AC134" s="8">
        <v>1</v>
      </c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1"/>
      <c r="BL134" s="58"/>
      <c r="BP134" t="str">
        <f t="shared" si="4"/>
        <v>BugFighting</v>
      </c>
      <c r="BQ134" t="s">
        <v>2</v>
      </c>
      <c r="BR134">
        <v>2</v>
      </c>
    </row>
    <row r="135" spans="1:70" x14ac:dyDescent="0.25">
      <c r="A135">
        <f t="shared" si="5"/>
        <v>134</v>
      </c>
      <c r="B135" t="s">
        <v>211</v>
      </c>
      <c r="D135" s="1" t="s">
        <v>17</v>
      </c>
      <c r="E135" s="1" t="s">
        <v>18</v>
      </c>
      <c r="F135" s="1" t="s">
        <v>50</v>
      </c>
      <c r="G135" s="1" t="s">
        <v>50</v>
      </c>
      <c r="H135" s="1"/>
      <c r="I135" s="1" t="s">
        <v>50</v>
      </c>
      <c r="J135" s="1" t="s">
        <v>50</v>
      </c>
      <c r="K135" s="1" t="s">
        <v>50</v>
      </c>
      <c r="L135" s="1"/>
      <c r="M135" s="1" t="s">
        <v>104</v>
      </c>
      <c r="N135" s="1" t="s">
        <v>50</v>
      </c>
      <c r="O135" s="1" t="s">
        <v>50</v>
      </c>
      <c r="P135" s="1" t="s">
        <v>832</v>
      </c>
      <c r="Q135" s="1" t="s">
        <v>104</v>
      </c>
      <c r="R135" s="1" t="s">
        <v>104</v>
      </c>
      <c r="S135" s="1" t="s">
        <v>104</v>
      </c>
      <c r="T135" s="1" t="s">
        <v>104</v>
      </c>
      <c r="U135" s="1" t="s">
        <v>104</v>
      </c>
      <c r="V135" s="1" t="s">
        <v>104</v>
      </c>
      <c r="W135" s="1" t="s">
        <v>104</v>
      </c>
      <c r="X135" s="1" t="s">
        <v>742</v>
      </c>
      <c r="Y135" s="1"/>
      <c r="Z135" s="8"/>
      <c r="AA135" s="8">
        <v>1</v>
      </c>
      <c r="AB135" s="8">
        <v>1</v>
      </c>
      <c r="AC135" s="8">
        <v>1</v>
      </c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1"/>
      <c r="BL135" s="58"/>
      <c r="BP135" t="str">
        <f t="shared" si="4"/>
        <v>BugFighting</v>
      </c>
      <c r="BQ135" t="s">
        <v>2</v>
      </c>
      <c r="BR135">
        <v>1</v>
      </c>
    </row>
    <row r="136" spans="1:70" x14ac:dyDescent="0.25">
      <c r="A136">
        <f t="shared" si="5"/>
        <v>135</v>
      </c>
      <c r="B136" t="s">
        <v>212</v>
      </c>
      <c r="D136" s="1" t="s">
        <v>17</v>
      </c>
      <c r="E136" s="1" t="s">
        <v>18</v>
      </c>
      <c r="F136" s="1" t="s">
        <v>50</v>
      </c>
      <c r="G136" s="1" t="s">
        <v>50</v>
      </c>
      <c r="H136" s="1" t="s">
        <v>50</v>
      </c>
      <c r="I136" s="1" t="s">
        <v>50</v>
      </c>
      <c r="J136" s="1" t="s">
        <v>50</v>
      </c>
      <c r="K136" s="1" t="s">
        <v>50</v>
      </c>
      <c r="L136" s="1"/>
      <c r="M136" s="1" t="s">
        <v>104</v>
      </c>
      <c r="N136" s="1" t="s">
        <v>50</v>
      </c>
      <c r="O136" s="1" t="s">
        <v>50</v>
      </c>
      <c r="P136" s="1" t="s">
        <v>832</v>
      </c>
      <c r="Q136" s="1" t="s">
        <v>104</v>
      </c>
      <c r="R136" s="1" t="s">
        <v>104</v>
      </c>
      <c r="S136" s="1" t="s">
        <v>104</v>
      </c>
      <c r="T136" s="1" t="s">
        <v>104</v>
      </c>
      <c r="U136" s="1" t="s">
        <v>104</v>
      </c>
      <c r="V136" s="1" t="s">
        <v>104</v>
      </c>
      <c r="W136" s="1" t="s">
        <v>104</v>
      </c>
      <c r="X136" s="1" t="s">
        <v>742</v>
      </c>
      <c r="Y136" s="1"/>
      <c r="Z136" s="8"/>
      <c r="AA136" s="8">
        <v>1</v>
      </c>
      <c r="AB136" s="8">
        <v>1</v>
      </c>
      <c r="AC136" s="8">
        <v>1</v>
      </c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1"/>
      <c r="BJ136">
        <v>5</v>
      </c>
      <c r="BL136" s="58"/>
      <c r="BP136" t="str">
        <f t="shared" si="4"/>
        <v>BugFighting</v>
      </c>
      <c r="BR136">
        <v>4</v>
      </c>
    </row>
    <row r="137" spans="1:70" x14ac:dyDescent="0.25">
      <c r="A137">
        <f t="shared" si="5"/>
        <v>136</v>
      </c>
      <c r="B137" t="s">
        <v>213</v>
      </c>
      <c r="D137" s="1" t="s">
        <v>11</v>
      </c>
      <c r="E137" s="1" t="s">
        <v>7</v>
      </c>
      <c r="F137" s="1" t="s">
        <v>50</v>
      </c>
      <c r="G137" s="1" t="s">
        <v>50</v>
      </c>
      <c r="H137" s="1"/>
      <c r="I137" s="1" t="s">
        <v>50</v>
      </c>
      <c r="J137" s="1" t="s">
        <v>50</v>
      </c>
      <c r="K137" s="1" t="s">
        <v>50</v>
      </c>
      <c r="L137" s="1"/>
      <c r="M137" s="1" t="s">
        <v>50</v>
      </c>
      <c r="N137" s="1" t="s">
        <v>50</v>
      </c>
      <c r="O137" s="1" t="s">
        <v>50</v>
      </c>
      <c r="P137" s="1" t="s">
        <v>832</v>
      </c>
      <c r="Q137" s="1" t="s">
        <v>104</v>
      </c>
      <c r="R137" s="1" t="s">
        <v>104</v>
      </c>
      <c r="S137" s="1" t="s">
        <v>104</v>
      </c>
      <c r="T137" s="1" t="s">
        <v>104</v>
      </c>
      <c r="U137" s="1" t="s">
        <v>104</v>
      </c>
      <c r="V137" s="1" t="s">
        <v>104</v>
      </c>
      <c r="W137" s="1" t="s">
        <v>104</v>
      </c>
      <c r="X137" s="1" t="s">
        <v>742</v>
      </c>
      <c r="Y137" s="1"/>
      <c r="Z137" s="8">
        <v>1</v>
      </c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1"/>
      <c r="BL137" s="58"/>
      <c r="BP137" t="str">
        <f t="shared" si="4"/>
        <v>GrassFairy</v>
      </c>
      <c r="BQ137" t="s">
        <v>2</v>
      </c>
      <c r="BR137">
        <v>7</v>
      </c>
    </row>
    <row r="138" spans="1:70" x14ac:dyDescent="0.25">
      <c r="A138">
        <f t="shared" si="5"/>
        <v>137</v>
      </c>
      <c r="B138" t="s">
        <v>214</v>
      </c>
      <c r="D138" s="1" t="s">
        <v>11</v>
      </c>
      <c r="E138" s="1" t="s">
        <v>7</v>
      </c>
      <c r="F138" s="1" t="s">
        <v>50</v>
      </c>
      <c r="G138" s="1" t="s">
        <v>50</v>
      </c>
      <c r="H138" s="1"/>
      <c r="I138" s="1" t="s">
        <v>50</v>
      </c>
      <c r="J138" s="1" t="s">
        <v>50</v>
      </c>
      <c r="K138" s="1" t="s">
        <v>50</v>
      </c>
      <c r="L138" s="1"/>
      <c r="M138" s="1" t="s">
        <v>104</v>
      </c>
      <c r="N138" s="1" t="s">
        <v>50</v>
      </c>
      <c r="O138" s="1" t="s">
        <v>50</v>
      </c>
      <c r="P138" s="1" t="s">
        <v>832</v>
      </c>
      <c r="Q138" s="1" t="s">
        <v>104</v>
      </c>
      <c r="R138" s="1" t="s">
        <v>104</v>
      </c>
      <c r="S138" s="1" t="s">
        <v>104</v>
      </c>
      <c r="T138" s="1" t="s">
        <v>104</v>
      </c>
      <c r="U138" s="1" t="s">
        <v>104</v>
      </c>
      <c r="V138" s="1" t="s">
        <v>104</v>
      </c>
      <c r="W138" s="1" t="s">
        <v>104</v>
      </c>
      <c r="X138" s="1" t="s">
        <v>742</v>
      </c>
      <c r="Y138" s="1"/>
      <c r="Z138" s="8">
        <v>1</v>
      </c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1"/>
      <c r="BL138" s="58"/>
      <c r="BP138" t="str">
        <f t="shared" si="4"/>
        <v>GrassFairy</v>
      </c>
      <c r="BQ138" t="s">
        <v>2</v>
      </c>
      <c r="BR138">
        <v>7</v>
      </c>
    </row>
    <row r="139" spans="1:70" x14ac:dyDescent="0.25">
      <c r="A139">
        <f t="shared" si="5"/>
        <v>138</v>
      </c>
      <c r="B139" t="s">
        <v>215</v>
      </c>
      <c r="D139" s="1" t="s">
        <v>11</v>
      </c>
      <c r="E139" s="1" t="s">
        <v>7</v>
      </c>
      <c r="F139" s="1" t="s">
        <v>50</v>
      </c>
      <c r="G139" s="1" t="s">
        <v>50</v>
      </c>
      <c r="H139" s="1" t="s">
        <v>50</v>
      </c>
      <c r="I139" s="1" t="s">
        <v>50</v>
      </c>
      <c r="J139" s="1" t="s">
        <v>50</v>
      </c>
      <c r="K139" s="1" t="s">
        <v>50</v>
      </c>
      <c r="L139" s="1"/>
      <c r="M139" s="1" t="s">
        <v>104</v>
      </c>
      <c r="N139" s="1" t="s">
        <v>50</v>
      </c>
      <c r="O139" s="1" t="s">
        <v>50</v>
      </c>
      <c r="P139" s="1" t="s">
        <v>832</v>
      </c>
      <c r="Q139" s="1" t="s">
        <v>104</v>
      </c>
      <c r="R139" s="1" t="s">
        <v>104</v>
      </c>
      <c r="S139" s="1" t="s">
        <v>104</v>
      </c>
      <c r="T139" s="1" t="s">
        <v>104</v>
      </c>
      <c r="U139" s="1" t="s">
        <v>104</v>
      </c>
      <c r="V139" s="1" t="s">
        <v>104</v>
      </c>
      <c r="W139" s="1" t="s">
        <v>104</v>
      </c>
      <c r="X139" s="1" t="s">
        <v>742</v>
      </c>
      <c r="Y139" s="1"/>
      <c r="Z139" s="8">
        <v>1</v>
      </c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1"/>
      <c r="BJ139">
        <v>3</v>
      </c>
      <c r="BL139" s="58"/>
      <c r="BP139" t="str">
        <f t="shared" si="4"/>
        <v>GrassFairy</v>
      </c>
      <c r="BR139">
        <v>7</v>
      </c>
    </row>
    <row r="140" spans="1:70" x14ac:dyDescent="0.25">
      <c r="A140">
        <f t="shared" si="5"/>
        <v>139</v>
      </c>
      <c r="B140" t="s">
        <v>216</v>
      </c>
      <c r="D140" s="1" t="s">
        <v>14</v>
      </c>
      <c r="E140" s="1">
        <v>0</v>
      </c>
      <c r="F140" s="1" t="s">
        <v>50</v>
      </c>
      <c r="G140" s="1" t="s">
        <v>50</v>
      </c>
      <c r="H140" s="1"/>
      <c r="I140" s="1" t="s">
        <v>50</v>
      </c>
      <c r="J140" s="1" t="s">
        <v>50</v>
      </c>
      <c r="K140" s="1" t="s">
        <v>50</v>
      </c>
      <c r="L140" s="1"/>
      <c r="M140" s="1" t="s">
        <v>50</v>
      </c>
      <c r="N140" s="1" t="s">
        <v>50</v>
      </c>
      <c r="O140" s="1" t="s">
        <v>50</v>
      </c>
      <c r="P140" s="13" t="s">
        <v>1719</v>
      </c>
      <c r="Q140" s="1" t="s">
        <v>104</v>
      </c>
      <c r="R140" s="1" t="s">
        <v>104</v>
      </c>
      <c r="S140" s="1" t="s">
        <v>104</v>
      </c>
      <c r="T140" s="1" t="s">
        <v>104</v>
      </c>
      <c r="U140" s="1" t="s">
        <v>104</v>
      </c>
      <c r="V140" s="1" t="s">
        <v>104</v>
      </c>
      <c r="W140" s="1" t="s">
        <v>104</v>
      </c>
      <c r="X140" s="1" t="s">
        <v>727</v>
      </c>
      <c r="Y140" s="1"/>
      <c r="Z140" s="8"/>
      <c r="AA140" s="8"/>
      <c r="AB140" s="8"/>
      <c r="AC140" s="8"/>
      <c r="AD140" s="8">
        <v>1</v>
      </c>
      <c r="AE140" s="8"/>
      <c r="AF140" s="8"/>
      <c r="AG140" s="8"/>
      <c r="AH140" s="8">
        <v>1</v>
      </c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>
        <v>1</v>
      </c>
      <c r="AT140" s="8">
        <v>1</v>
      </c>
      <c r="AU140" s="8">
        <v>1</v>
      </c>
      <c r="AV140" s="8"/>
      <c r="AW140" s="8"/>
      <c r="AX140" s="8"/>
      <c r="AY140" s="8">
        <v>1</v>
      </c>
      <c r="AZ140" s="8"/>
      <c r="BA140" s="8"/>
      <c r="BB140" s="1"/>
      <c r="BL140" s="58"/>
      <c r="BP140" t="str">
        <f t="shared" si="4"/>
        <v>Ghost0</v>
      </c>
      <c r="BQ140" t="s">
        <v>2</v>
      </c>
      <c r="BR140">
        <v>3</v>
      </c>
    </row>
    <row r="141" spans="1:70" x14ac:dyDescent="0.25">
      <c r="A141">
        <f t="shared" si="5"/>
        <v>140</v>
      </c>
      <c r="B141" t="s">
        <v>217</v>
      </c>
      <c r="D141" s="1" t="s">
        <v>14</v>
      </c>
      <c r="E141" s="1" t="s">
        <v>0</v>
      </c>
      <c r="F141" s="1" t="s">
        <v>50</v>
      </c>
      <c r="G141" s="1" t="s">
        <v>50</v>
      </c>
      <c r="H141" s="1" t="s">
        <v>50</v>
      </c>
      <c r="I141" s="1" t="s">
        <v>50</v>
      </c>
      <c r="J141" s="1" t="s">
        <v>50</v>
      </c>
      <c r="K141" s="1" t="s">
        <v>50</v>
      </c>
      <c r="L141" s="1"/>
      <c r="M141" s="1" t="s">
        <v>104</v>
      </c>
      <c r="N141" s="1" t="s">
        <v>50</v>
      </c>
      <c r="O141" s="1" t="s">
        <v>50</v>
      </c>
      <c r="P141" s="13" t="s">
        <v>1719</v>
      </c>
      <c r="Q141" s="1" t="s">
        <v>50</v>
      </c>
      <c r="R141" s="1" t="s">
        <v>50</v>
      </c>
      <c r="S141" s="1" t="s">
        <v>50</v>
      </c>
      <c r="T141" s="1" t="s">
        <v>50</v>
      </c>
      <c r="U141" s="1" t="s">
        <v>50</v>
      </c>
      <c r="V141" s="1" t="s">
        <v>50</v>
      </c>
      <c r="W141" s="1" t="s">
        <v>50</v>
      </c>
      <c r="X141" s="1" t="s">
        <v>2238</v>
      </c>
      <c r="Y141" s="1"/>
      <c r="Z141" s="8"/>
      <c r="AA141" s="8"/>
      <c r="AB141" s="8"/>
      <c r="AC141" s="8"/>
      <c r="AD141" s="8">
        <v>1</v>
      </c>
      <c r="AE141" s="8"/>
      <c r="AF141" s="8"/>
      <c r="AG141" s="8"/>
      <c r="AH141" s="8">
        <v>1</v>
      </c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>
        <v>1</v>
      </c>
      <c r="AT141" s="8">
        <v>1</v>
      </c>
      <c r="AU141" s="8">
        <v>1</v>
      </c>
      <c r="AV141" s="8"/>
      <c r="AW141" s="8"/>
      <c r="AX141" s="8"/>
      <c r="AY141" s="8">
        <v>1</v>
      </c>
      <c r="AZ141" s="8"/>
      <c r="BA141" s="8"/>
      <c r="BB141" s="1"/>
      <c r="BJ141">
        <v>2</v>
      </c>
      <c r="BL141" s="58"/>
      <c r="BP141" t="str">
        <f t="shared" si="4"/>
        <v>GhostDark</v>
      </c>
      <c r="BR141">
        <v>3</v>
      </c>
    </row>
    <row r="142" spans="1:70" x14ac:dyDescent="0.25">
      <c r="A142">
        <f t="shared" si="5"/>
        <v>141</v>
      </c>
      <c r="B142" t="s">
        <v>218</v>
      </c>
      <c r="D142" s="1" t="s">
        <v>14</v>
      </c>
      <c r="E142" s="1" t="s">
        <v>16</v>
      </c>
      <c r="F142" s="1" t="s">
        <v>50</v>
      </c>
      <c r="G142" s="1" t="s">
        <v>50</v>
      </c>
      <c r="H142" s="1" t="s">
        <v>50</v>
      </c>
      <c r="I142" s="1" t="s">
        <v>50</v>
      </c>
      <c r="J142" s="1" t="s">
        <v>50</v>
      </c>
      <c r="K142" s="1" t="s">
        <v>50</v>
      </c>
      <c r="L142" s="1"/>
      <c r="M142" s="1" t="s">
        <v>104</v>
      </c>
      <c r="N142" s="1" t="s">
        <v>50</v>
      </c>
      <c r="O142" s="1" t="s">
        <v>50</v>
      </c>
      <c r="P142" s="13" t="s">
        <v>1719</v>
      </c>
      <c r="Q142" s="1" t="s">
        <v>50</v>
      </c>
      <c r="R142" s="1" t="s">
        <v>50</v>
      </c>
      <c r="S142" s="1" t="s">
        <v>50</v>
      </c>
      <c r="T142" s="1" t="s">
        <v>50</v>
      </c>
      <c r="U142" s="1" t="s">
        <v>50</v>
      </c>
      <c r="V142" s="1" t="s">
        <v>50</v>
      </c>
      <c r="W142" s="1" t="s">
        <v>50</v>
      </c>
      <c r="X142" s="1" t="s">
        <v>2182</v>
      </c>
      <c r="Y142" s="1"/>
      <c r="Z142" s="8"/>
      <c r="AA142" s="8"/>
      <c r="AB142" s="8"/>
      <c r="AC142" s="8"/>
      <c r="AD142" s="8">
        <v>1</v>
      </c>
      <c r="AE142" s="8"/>
      <c r="AF142" s="8"/>
      <c r="AG142" s="8"/>
      <c r="AH142" s="8">
        <v>1</v>
      </c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>
        <v>1</v>
      </c>
      <c r="AT142" s="8">
        <v>1</v>
      </c>
      <c r="AU142" s="8">
        <v>1</v>
      </c>
      <c r="AV142" s="8"/>
      <c r="AW142" s="8"/>
      <c r="AX142" s="8"/>
      <c r="AY142" s="8">
        <v>1</v>
      </c>
      <c r="AZ142" s="8"/>
      <c r="BA142" s="8"/>
      <c r="BB142" s="1"/>
      <c r="BJ142">
        <v>1</v>
      </c>
      <c r="BK142">
        <v>1</v>
      </c>
      <c r="BL142" s="58">
        <v>1</v>
      </c>
      <c r="BP142" t="str">
        <f t="shared" si="4"/>
        <v>GhostFlying</v>
      </c>
      <c r="BR142">
        <v>4</v>
      </c>
    </row>
    <row r="143" spans="1:70" x14ac:dyDescent="0.25">
      <c r="A143">
        <f t="shared" si="5"/>
        <v>142</v>
      </c>
      <c r="B143" t="s">
        <v>219</v>
      </c>
      <c r="D143" s="1" t="s">
        <v>15</v>
      </c>
      <c r="E143" s="1" t="s">
        <v>5</v>
      </c>
      <c r="F143" s="1" t="s">
        <v>50</v>
      </c>
      <c r="G143" s="1" t="s">
        <v>50</v>
      </c>
      <c r="H143" s="1"/>
      <c r="I143" s="1" t="s">
        <v>50</v>
      </c>
      <c r="J143" s="1" t="s">
        <v>50</v>
      </c>
      <c r="K143" s="1" t="s">
        <v>50</v>
      </c>
      <c r="L143" s="1"/>
      <c r="M143" s="1" t="s">
        <v>50</v>
      </c>
      <c r="N143" s="1" t="s">
        <v>50</v>
      </c>
      <c r="O143" s="1" t="s">
        <v>50</v>
      </c>
      <c r="P143" s="1" t="s">
        <v>832</v>
      </c>
      <c r="Q143" s="1" t="s">
        <v>104</v>
      </c>
      <c r="R143" s="1" t="s">
        <v>104</v>
      </c>
      <c r="S143" s="1" t="s">
        <v>104</v>
      </c>
      <c r="T143" s="1" t="s">
        <v>104</v>
      </c>
      <c r="U143" s="1" t="s">
        <v>104</v>
      </c>
      <c r="V143" s="1" t="s">
        <v>104</v>
      </c>
      <c r="W143" s="1" t="s">
        <v>104</v>
      </c>
      <c r="X143" s="1" t="s">
        <v>742</v>
      </c>
      <c r="Y143" s="1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>
        <v>1</v>
      </c>
      <c r="AM143" s="8">
        <v>1</v>
      </c>
      <c r="AN143" s="8">
        <v>1</v>
      </c>
      <c r="AO143" s="8"/>
      <c r="AP143" s="8"/>
      <c r="AQ143" s="8">
        <v>1</v>
      </c>
      <c r="AR143" s="8">
        <v>1</v>
      </c>
      <c r="AS143" s="8"/>
      <c r="AT143" s="8"/>
      <c r="AU143" s="8"/>
      <c r="AV143" s="8"/>
      <c r="AW143" s="8"/>
      <c r="AX143" s="8"/>
      <c r="AY143" s="8"/>
      <c r="AZ143" s="8"/>
      <c r="BA143" s="8"/>
      <c r="BB143" s="1"/>
      <c r="BL143" s="58"/>
      <c r="BP143" t="str">
        <f t="shared" si="4"/>
        <v>WaterIce</v>
      </c>
      <c r="BQ143" t="s">
        <v>2</v>
      </c>
      <c r="BR143">
        <v>2</v>
      </c>
    </row>
    <row r="144" spans="1:70" x14ac:dyDescent="0.25">
      <c r="A144">
        <f t="shared" si="5"/>
        <v>143</v>
      </c>
      <c r="B144" t="s">
        <v>220</v>
      </c>
      <c r="D144" s="1" t="s">
        <v>15</v>
      </c>
      <c r="E144" s="1" t="s">
        <v>5</v>
      </c>
      <c r="F144" s="1" t="s">
        <v>50</v>
      </c>
      <c r="G144" s="1" t="s">
        <v>50</v>
      </c>
      <c r="H144" s="1"/>
      <c r="I144" s="1" t="s">
        <v>50</v>
      </c>
      <c r="J144" s="1" t="s">
        <v>50</v>
      </c>
      <c r="K144" s="1" t="s">
        <v>50</v>
      </c>
      <c r="L144" s="1"/>
      <c r="M144" s="1" t="s">
        <v>104</v>
      </c>
      <c r="N144" s="1" t="s">
        <v>50</v>
      </c>
      <c r="O144" s="1" t="s">
        <v>50</v>
      </c>
      <c r="P144" s="1" t="s">
        <v>832</v>
      </c>
      <c r="Q144" s="1" t="s">
        <v>104</v>
      </c>
      <c r="R144" s="1" t="s">
        <v>104</v>
      </c>
      <c r="S144" s="1" t="s">
        <v>104</v>
      </c>
      <c r="T144" s="1" t="s">
        <v>104</v>
      </c>
      <c r="U144" s="1" t="s">
        <v>104</v>
      </c>
      <c r="V144" s="1" t="s">
        <v>104</v>
      </c>
      <c r="W144" s="1" t="s">
        <v>104</v>
      </c>
      <c r="X144" s="1" t="s">
        <v>742</v>
      </c>
      <c r="Y144" s="1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>
        <v>1</v>
      </c>
      <c r="AM144" s="8">
        <v>1</v>
      </c>
      <c r="AN144" s="8">
        <v>1</v>
      </c>
      <c r="AO144" s="8"/>
      <c r="AP144" s="8"/>
      <c r="AQ144" s="8">
        <v>1</v>
      </c>
      <c r="AR144" s="8">
        <v>1</v>
      </c>
      <c r="AS144" s="8"/>
      <c r="AT144" s="8"/>
      <c r="AU144" s="8"/>
      <c r="AV144" s="8"/>
      <c r="AW144" s="8"/>
      <c r="AX144" s="8"/>
      <c r="AY144" s="8"/>
      <c r="AZ144" s="8"/>
      <c r="BA144" s="8"/>
      <c r="BB144" s="1"/>
      <c r="BJ144">
        <v>2</v>
      </c>
      <c r="BL144" s="58"/>
      <c r="BP144" t="str">
        <f t="shared" si="4"/>
        <v>WaterIce</v>
      </c>
      <c r="BQ144" t="s">
        <v>2</v>
      </c>
      <c r="BR144">
        <v>1</v>
      </c>
    </row>
    <row r="145" spans="1:70" x14ac:dyDescent="0.25">
      <c r="A145">
        <f t="shared" si="5"/>
        <v>144</v>
      </c>
      <c r="B145" t="s">
        <v>221</v>
      </c>
      <c r="D145" s="1" t="s">
        <v>15</v>
      </c>
      <c r="E145" s="1" t="s">
        <v>5</v>
      </c>
      <c r="F145" s="1" t="s">
        <v>50</v>
      </c>
      <c r="G145" s="1" t="s">
        <v>50</v>
      </c>
      <c r="H145" s="1" t="s">
        <v>50</v>
      </c>
      <c r="I145" s="1" t="s">
        <v>50</v>
      </c>
      <c r="J145" s="1" t="s">
        <v>50</v>
      </c>
      <c r="K145" s="1" t="s">
        <v>50</v>
      </c>
      <c r="L145" s="1"/>
      <c r="M145" s="1" t="s">
        <v>104</v>
      </c>
      <c r="N145" s="1" t="s">
        <v>50</v>
      </c>
      <c r="O145" s="1" t="s">
        <v>50</v>
      </c>
      <c r="P145" s="1" t="s">
        <v>832</v>
      </c>
      <c r="Q145" s="1" t="s">
        <v>104</v>
      </c>
      <c r="R145" s="1" t="s">
        <v>104</v>
      </c>
      <c r="S145" s="1" t="s">
        <v>104</v>
      </c>
      <c r="T145" s="1" t="s">
        <v>104</v>
      </c>
      <c r="U145" s="1" t="s">
        <v>104</v>
      </c>
      <c r="V145" s="1" t="s">
        <v>104</v>
      </c>
      <c r="W145" s="1" t="s">
        <v>104</v>
      </c>
      <c r="X145" s="1" t="s">
        <v>742</v>
      </c>
      <c r="Y145" s="1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>
        <v>1</v>
      </c>
      <c r="AM145" s="8">
        <v>1</v>
      </c>
      <c r="AN145" s="8">
        <v>1</v>
      </c>
      <c r="AO145" s="8"/>
      <c r="AP145" s="8"/>
      <c r="AQ145" s="8">
        <v>1</v>
      </c>
      <c r="AR145" s="8">
        <v>1</v>
      </c>
      <c r="AS145" s="8"/>
      <c r="AT145" s="8"/>
      <c r="AU145" s="8"/>
      <c r="AV145" s="8"/>
      <c r="AW145" s="8"/>
      <c r="AX145" s="8"/>
      <c r="AY145" s="8"/>
      <c r="AZ145" s="8"/>
      <c r="BA145" s="8"/>
      <c r="BB145" s="1"/>
      <c r="BJ145">
        <v>2</v>
      </c>
      <c r="BL145" s="58"/>
      <c r="BP145" t="str">
        <f t="shared" si="4"/>
        <v>WaterIce</v>
      </c>
      <c r="BR145">
        <v>4</v>
      </c>
    </row>
    <row r="146" spans="1:70" x14ac:dyDescent="0.25">
      <c r="A146">
        <f t="shared" si="5"/>
        <v>145</v>
      </c>
      <c r="B146" t="s">
        <v>222</v>
      </c>
      <c r="D146" s="1" t="s">
        <v>3</v>
      </c>
      <c r="E146" s="1" t="s">
        <v>10</v>
      </c>
      <c r="F146" s="1" t="s">
        <v>50</v>
      </c>
      <c r="G146" s="1" t="s">
        <v>50</v>
      </c>
      <c r="H146" s="1"/>
      <c r="I146" s="1" t="s">
        <v>50</v>
      </c>
      <c r="J146" s="1" t="s">
        <v>50</v>
      </c>
      <c r="K146" s="1" t="s">
        <v>50</v>
      </c>
      <c r="L146" s="1"/>
      <c r="M146" s="1" t="s">
        <v>50</v>
      </c>
      <c r="N146" s="1" t="s">
        <v>50</v>
      </c>
      <c r="O146" s="1" t="s">
        <v>50</v>
      </c>
      <c r="P146" s="1" t="s">
        <v>832</v>
      </c>
      <c r="Q146" s="1" t="s">
        <v>104</v>
      </c>
      <c r="R146" s="1" t="s">
        <v>104</v>
      </c>
      <c r="S146" s="1" t="s">
        <v>104</v>
      </c>
      <c r="T146" s="1" t="s">
        <v>104</v>
      </c>
      <c r="U146" s="1" t="s">
        <v>104</v>
      </c>
      <c r="V146" s="1" t="s">
        <v>104</v>
      </c>
      <c r="W146" s="1" t="s">
        <v>104</v>
      </c>
      <c r="X146" s="1" t="s">
        <v>2075</v>
      </c>
      <c r="Y146" s="1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>
        <v>1</v>
      </c>
      <c r="AT146" s="8">
        <v>1</v>
      </c>
      <c r="AU146" s="8">
        <v>1</v>
      </c>
      <c r="AV146" s="8"/>
      <c r="AW146" s="8"/>
      <c r="AX146" s="8"/>
      <c r="AY146" s="8"/>
      <c r="AZ146" s="8"/>
      <c r="BA146" s="8"/>
      <c r="BB146" s="1"/>
      <c r="BL146" s="58"/>
      <c r="BP146" t="str">
        <f t="shared" si="4"/>
        <v>ElectricPoison</v>
      </c>
      <c r="BQ146" t="s">
        <v>2</v>
      </c>
      <c r="BR146">
        <v>1</v>
      </c>
    </row>
    <row r="147" spans="1:70" x14ac:dyDescent="0.25">
      <c r="A147">
        <f t="shared" si="5"/>
        <v>146</v>
      </c>
      <c r="B147" t="s">
        <v>223</v>
      </c>
      <c r="D147" s="1" t="s">
        <v>3</v>
      </c>
      <c r="E147" s="1" t="s">
        <v>10</v>
      </c>
      <c r="F147" s="1" t="s">
        <v>50</v>
      </c>
      <c r="G147" s="1" t="s">
        <v>50</v>
      </c>
      <c r="H147" s="1" t="s">
        <v>50</v>
      </c>
      <c r="I147" s="1" t="s">
        <v>50</v>
      </c>
      <c r="J147" s="1" t="s">
        <v>50</v>
      </c>
      <c r="K147" s="1" t="s">
        <v>50</v>
      </c>
      <c r="L147" s="1"/>
      <c r="M147" s="1" t="s">
        <v>104</v>
      </c>
      <c r="N147" s="1" t="s">
        <v>50</v>
      </c>
      <c r="O147" s="1" t="s">
        <v>50</v>
      </c>
      <c r="P147" s="1" t="s">
        <v>832</v>
      </c>
      <c r="Q147" s="1" t="s">
        <v>104</v>
      </c>
      <c r="R147" s="1" t="s">
        <v>104</v>
      </c>
      <c r="S147" s="1" t="s">
        <v>104</v>
      </c>
      <c r="T147" s="1" t="s">
        <v>104</v>
      </c>
      <c r="U147" s="1" t="s">
        <v>104</v>
      </c>
      <c r="V147" s="1" t="s">
        <v>104</v>
      </c>
      <c r="W147" s="1" t="s">
        <v>104</v>
      </c>
      <c r="X147" s="1" t="s">
        <v>2075</v>
      </c>
      <c r="Y147" s="1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>
        <v>1</v>
      </c>
      <c r="AT147" s="8">
        <v>1</v>
      </c>
      <c r="AU147" s="8">
        <v>1</v>
      </c>
      <c r="AV147" s="8"/>
      <c r="AW147" s="8"/>
      <c r="AX147" s="8"/>
      <c r="AY147" s="8"/>
      <c r="AZ147" s="8"/>
      <c r="BA147" s="8"/>
      <c r="BB147" s="1"/>
      <c r="BJ147">
        <v>4</v>
      </c>
      <c r="BK147">
        <v>6</v>
      </c>
      <c r="BL147" s="58"/>
      <c r="BP147" t="str">
        <f t="shared" si="4"/>
        <v>ElectricPoison</v>
      </c>
      <c r="BR147">
        <v>1</v>
      </c>
    </row>
    <row r="148" spans="1:70" x14ac:dyDescent="0.25">
      <c r="A148">
        <f t="shared" si="5"/>
        <v>147</v>
      </c>
      <c r="B148" t="s">
        <v>224</v>
      </c>
      <c r="D148" s="1" t="s">
        <v>17</v>
      </c>
      <c r="E148" s="1" t="s">
        <v>0</v>
      </c>
      <c r="F148" s="1" t="s">
        <v>50</v>
      </c>
      <c r="G148" s="1" t="s">
        <v>50</v>
      </c>
      <c r="H148" s="1"/>
      <c r="I148" s="1" t="s">
        <v>50</v>
      </c>
      <c r="J148" s="1" t="s">
        <v>50</v>
      </c>
      <c r="K148" s="1" t="s">
        <v>50</v>
      </c>
      <c r="L148" s="1" t="s">
        <v>50</v>
      </c>
      <c r="M148" s="1" t="s">
        <v>50</v>
      </c>
      <c r="N148" s="1" t="s">
        <v>50</v>
      </c>
      <c r="O148" s="1" t="s">
        <v>50</v>
      </c>
      <c r="P148" s="1" t="s">
        <v>832</v>
      </c>
      <c r="Q148" s="1" t="s">
        <v>104</v>
      </c>
      <c r="R148" s="1" t="s">
        <v>104</v>
      </c>
      <c r="S148" s="1" t="s">
        <v>104</v>
      </c>
      <c r="T148" s="1" t="s">
        <v>104</v>
      </c>
      <c r="U148" s="1" t="s">
        <v>104</v>
      </c>
      <c r="V148" s="1" t="s">
        <v>104</v>
      </c>
      <c r="W148" s="1" t="s">
        <v>104</v>
      </c>
      <c r="X148" s="1" t="s">
        <v>727</v>
      </c>
      <c r="Y148" s="1"/>
      <c r="Z148" s="8"/>
      <c r="AA148" s="8"/>
      <c r="AB148" s="8"/>
      <c r="AC148" s="8"/>
      <c r="AD148" s="8">
        <v>1</v>
      </c>
      <c r="AE148" s="8"/>
      <c r="AF148" s="8">
        <v>1</v>
      </c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>
        <v>1</v>
      </c>
      <c r="AS148" s="8">
        <v>1</v>
      </c>
      <c r="AT148" s="8">
        <v>1</v>
      </c>
      <c r="AU148" s="8">
        <v>1</v>
      </c>
      <c r="AV148" s="8">
        <v>1</v>
      </c>
      <c r="AW148" s="8"/>
      <c r="AX148" s="8"/>
      <c r="AY148" s="8"/>
      <c r="AZ148" s="8"/>
      <c r="BA148" s="8"/>
      <c r="BB148" s="1"/>
      <c r="BL148" s="58"/>
      <c r="BP148" t="str">
        <f t="shared" si="4"/>
        <v>BugDark</v>
      </c>
      <c r="BQ148" t="s">
        <v>2</v>
      </c>
      <c r="BR148">
        <v>5</v>
      </c>
    </row>
    <row r="149" spans="1:70" x14ac:dyDescent="0.25">
      <c r="A149">
        <f t="shared" si="5"/>
        <v>148</v>
      </c>
      <c r="B149" t="s">
        <v>225</v>
      </c>
      <c r="D149" s="1" t="s">
        <v>17</v>
      </c>
      <c r="E149" s="1" t="s">
        <v>0</v>
      </c>
      <c r="F149" s="1" t="s">
        <v>50</v>
      </c>
      <c r="G149" s="1" t="s">
        <v>50</v>
      </c>
      <c r="H149" s="1" t="s">
        <v>50</v>
      </c>
      <c r="I149" s="1" t="s">
        <v>50</v>
      </c>
      <c r="J149" s="1" t="s">
        <v>50</v>
      </c>
      <c r="K149" s="1" t="s">
        <v>50</v>
      </c>
      <c r="L149" s="1" t="s">
        <v>50</v>
      </c>
      <c r="M149" s="1" t="s">
        <v>104</v>
      </c>
      <c r="N149" s="1" t="s">
        <v>50</v>
      </c>
      <c r="O149" s="1" t="s">
        <v>50</v>
      </c>
      <c r="P149" s="1" t="s">
        <v>832</v>
      </c>
      <c r="Q149" s="1" t="s">
        <v>104</v>
      </c>
      <c r="R149" s="1" t="s">
        <v>104</v>
      </c>
      <c r="S149" s="1" t="s">
        <v>104</v>
      </c>
      <c r="T149" s="1" t="s">
        <v>104</v>
      </c>
      <c r="U149" s="1" t="s">
        <v>104</v>
      </c>
      <c r="V149" s="1" t="s">
        <v>104</v>
      </c>
      <c r="W149" s="1" t="s">
        <v>104</v>
      </c>
      <c r="X149" s="1" t="s">
        <v>727</v>
      </c>
      <c r="Y149" s="1"/>
      <c r="Z149" s="8"/>
      <c r="AA149" s="8"/>
      <c r="AB149" s="8"/>
      <c r="AC149" s="8"/>
      <c r="AD149" s="8">
        <v>1</v>
      </c>
      <c r="AE149" s="8"/>
      <c r="AF149" s="8">
        <v>1</v>
      </c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>
        <v>1</v>
      </c>
      <c r="AS149" s="8">
        <v>1</v>
      </c>
      <c r="AT149" s="8">
        <v>1</v>
      </c>
      <c r="AU149" s="8">
        <v>1</v>
      </c>
      <c r="AV149" s="8">
        <v>1</v>
      </c>
      <c r="AW149" s="8"/>
      <c r="AX149" s="8"/>
      <c r="AY149" s="8"/>
      <c r="AZ149" s="8"/>
      <c r="BA149" s="8"/>
      <c r="BB149" s="1"/>
      <c r="BJ149">
        <v>1</v>
      </c>
      <c r="BL149" s="58"/>
      <c r="BP149" t="str">
        <f t="shared" si="4"/>
        <v>BugDark</v>
      </c>
      <c r="BR149">
        <v>5</v>
      </c>
    </row>
    <row r="150" spans="1:70" x14ac:dyDescent="0.25">
      <c r="A150">
        <f t="shared" si="5"/>
        <v>149</v>
      </c>
      <c r="B150" t="s">
        <v>226</v>
      </c>
      <c r="D150" s="1" t="s">
        <v>11</v>
      </c>
      <c r="E150" s="1" t="s">
        <v>8</v>
      </c>
      <c r="F150" s="1" t="s">
        <v>50</v>
      </c>
      <c r="G150" s="1" t="s">
        <v>50</v>
      </c>
      <c r="H150" s="1"/>
      <c r="I150" s="1" t="s">
        <v>50</v>
      </c>
      <c r="J150" s="1" t="s">
        <v>50</v>
      </c>
      <c r="K150" s="1" t="s">
        <v>50</v>
      </c>
      <c r="L150" s="1"/>
      <c r="M150" s="1" t="s">
        <v>50</v>
      </c>
      <c r="N150" s="1" t="s">
        <v>50</v>
      </c>
      <c r="O150" s="1" t="s">
        <v>50</v>
      </c>
      <c r="P150" s="1" t="s">
        <v>832</v>
      </c>
      <c r="Q150" s="1" t="s">
        <v>104</v>
      </c>
      <c r="R150" s="1" t="s">
        <v>104</v>
      </c>
      <c r="S150" s="1" t="s">
        <v>104</v>
      </c>
      <c r="T150" s="1" t="s">
        <v>104</v>
      </c>
      <c r="U150" s="1" t="s">
        <v>104</v>
      </c>
      <c r="V150" s="1" t="s">
        <v>104</v>
      </c>
      <c r="W150" s="1" t="s">
        <v>104</v>
      </c>
      <c r="X150" s="1" t="s">
        <v>2119</v>
      </c>
      <c r="Y150" s="1"/>
      <c r="Z150" s="8"/>
      <c r="AA150" s="8"/>
      <c r="AB150" s="8">
        <v>1</v>
      </c>
      <c r="AC150" s="8">
        <v>1</v>
      </c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>
        <v>1</v>
      </c>
      <c r="BA150" s="8"/>
      <c r="BB150" s="1"/>
      <c r="BL150" s="58"/>
      <c r="BP150" t="str">
        <f t="shared" si="4"/>
        <v>GrassGround</v>
      </c>
      <c r="BQ150" t="s">
        <v>2</v>
      </c>
      <c r="BR150">
        <v>1</v>
      </c>
    </row>
    <row r="151" spans="1:70" x14ac:dyDescent="0.25">
      <c r="A151">
        <f t="shared" si="5"/>
        <v>150</v>
      </c>
      <c r="B151" t="s">
        <v>227</v>
      </c>
      <c r="D151" s="1" t="s">
        <v>11</v>
      </c>
      <c r="E151" s="1" t="s">
        <v>8</v>
      </c>
      <c r="F151" s="1" t="s">
        <v>50</v>
      </c>
      <c r="G151" s="1" t="s">
        <v>50</v>
      </c>
      <c r="H151" s="1" t="s">
        <v>50</v>
      </c>
      <c r="I151" s="1" t="s">
        <v>50</v>
      </c>
      <c r="J151" s="1" t="s">
        <v>50</v>
      </c>
      <c r="K151" s="1" t="s">
        <v>50</v>
      </c>
      <c r="L151" s="1" t="s">
        <v>50</v>
      </c>
      <c r="M151" s="1" t="s">
        <v>104</v>
      </c>
      <c r="N151" s="1" t="s">
        <v>50</v>
      </c>
      <c r="O151" s="1" t="s">
        <v>50</v>
      </c>
      <c r="P151" s="1" t="s">
        <v>832</v>
      </c>
      <c r="Q151" s="1" t="s">
        <v>104</v>
      </c>
      <c r="R151" s="1" t="s">
        <v>104</v>
      </c>
      <c r="S151" s="1" t="s">
        <v>104</v>
      </c>
      <c r="T151" s="1" t="s">
        <v>104</v>
      </c>
      <c r="U151" s="1" t="s">
        <v>104</v>
      </c>
      <c r="V151" s="1" t="s">
        <v>104</v>
      </c>
      <c r="W151" s="1" t="s">
        <v>104</v>
      </c>
      <c r="X151" s="1" t="s">
        <v>2119</v>
      </c>
      <c r="Y151" s="1"/>
      <c r="Z151" s="8"/>
      <c r="AA151" s="8"/>
      <c r="AB151" s="8">
        <v>1</v>
      </c>
      <c r="AC151" s="8">
        <v>1</v>
      </c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>
        <v>1</v>
      </c>
      <c r="BA151" s="8"/>
      <c r="BB151" s="1"/>
      <c r="BJ151">
        <v>2</v>
      </c>
      <c r="BL151" s="58"/>
      <c r="BP151" t="str">
        <f t="shared" si="4"/>
        <v>GrassGround</v>
      </c>
      <c r="BR151">
        <v>1</v>
      </c>
    </row>
    <row r="152" spans="1:70" x14ac:dyDescent="0.25">
      <c r="A152">
        <f t="shared" si="5"/>
        <v>151</v>
      </c>
      <c r="B152" t="s">
        <v>228</v>
      </c>
      <c r="D152" s="1" t="s">
        <v>3</v>
      </c>
      <c r="E152" s="1" t="s">
        <v>18</v>
      </c>
      <c r="F152" s="1" t="s">
        <v>50</v>
      </c>
      <c r="G152" s="1" t="s">
        <v>50</v>
      </c>
      <c r="H152" s="1"/>
      <c r="I152" s="1" t="s">
        <v>50</v>
      </c>
      <c r="J152" s="1" t="s">
        <v>50</v>
      </c>
      <c r="K152" s="1" t="s">
        <v>50</v>
      </c>
      <c r="L152" s="1"/>
      <c r="M152" s="1" t="s">
        <v>50</v>
      </c>
      <c r="N152" s="1" t="s">
        <v>50</v>
      </c>
      <c r="O152" s="1" t="s">
        <v>50</v>
      </c>
      <c r="P152" s="1" t="s">
        <v>832</v>
      </c>
      <c r="Q152" s="1" t="s">
        <v>104</v>
      </c>
      <c r="R152" s="1" t="s">
        <v>104</v>
      </c>
      <c r="S152" s="1" t="s">
        <v>104</v>
      </c>
      <c r="T152" s="1" t="s">
        <v>104</v>
      </c>
      <c r="U152" s="1" t="s">
        <v>104</v>
      </c>
      <c r="V152" s="1" t="s">
        <v>104</v>
      </c>
      <c r="W152" s="1" t="s">
        <v>104</v>
      </c>
      <c r="X152" s="1" t="s">
        <v>742</v>
      </c>
      <c r="Y152" s="1"/>
      <c r="Z152" s="8">
        <v>1</v>
      </c>
      <c r="AA152" s="8">
        <v>1</v>
      </c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>
        <v>1</v>
      </c>
      <c r="AY152" s="8">
        <v>1</v>
      </c>
      <c r="AZ152" s="8"/>
      <c r="BA152" s="8"/>
      <c r="BB152" s="1"/>
      <c r="BL152" s="58"/>
      <c r="BP152" t="str">
        <f t="shared" si="4"/>
        <v>ElectricFighting</v>
      </c>
      <c r="BQ152" t="s">
        <v>2</v>
      </c>
      <c r="BR152">
        <v>4</v>
      </c>
    </row>
    <row r="153" spans="1:70" x14ac:dyDescent="0.25">
      <c r="A153">
        <f t="shared" si="5"/>
        <v>152</v>
      </c>
      <c r="B153" t="s">
        <v>229</v>
      </c>
      <c r="D153" s="1" t="s">
        <v>3</v>
      </c>
      <c r="E153" s="1" t="s">
        <v>18</v>
      </c>
      <c r="F153" s="1" t="s">
        <v>50</v>
      </c>
      <c r="G153" s="1" t="s">
        <v>50</v>
      </c>
      <c r="H153" s="1"/>
      <c r="I153" s="1" t="s">
        <v>50</v>
      </c>
      <c r="J153" s="1" t="s">
        <v>50</v>
      </c>
      <c r="K153" s="1" t="s">
        <v>50</v>
      </c>
      <c r="L153" s="1"/>
      <c r="M153" s="1" t="s">
        <v>104</v>
      </c>
      <c r="N153" s="1" t="s">
        <v>50</v>
      </c>
      <c r="O153" s="1" t="s">
        <v>50</v>
      </c>
      <c r="P153" s="1" t="s">
        <v>832</v>
      </c>
      <c r="Q153" s="1" t="s">
        <v>104</v>
      </c>
      <c r="R153" s="1" t="s">
        <v>104</v>
      </c>
      <c r="S153" s="1" t="s">
        <v>104</v>
      </c>
      <c r="T153" s="1" t="s">
        <v>104</v>
      </c>
      <c r="U153" s="1" t="s">
        <v>104</v>
      </c>
      <c r="V153" s="1" t="s">
        <v>104</v>
      </c>
      <c r="W153" s="1" t="s">
        <v>104</v>
      </c>
      <c r="X153" s="1" t="s">
        <v>742</v>
      </c>
      <c r="Y153" s="1"/>
      <c r="Z153" s="8">
        <v>1</v>
      </c>
      <c r="AA153" s="8">
        <v>1</v>
      </c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>
        <v>1</v>
      </c>
      <c r="AY153" s="8">
        <v>1</v>
      </c>
      <c r="AZ153" s="8"/>
      <c r="BA153" s="8"/>
      <c r="BB153" s="1"/>
      <c r="BL153" s="58"/>
      <c r="BP153" t="str">
        <f t="shared" si="4"/>
        <v>ElectricFighting</v>
      </c>
      <c r="BQ153" t="s">
        <v>2</v>
      </c>
      <c r="BR153">
        <v>4</v>
      </c>
    </row>
    <row r="154" spans="1:70" x14ac:dyDescent="0.25">
      <c r="A154">
        <f t="shared" si="5"/>
        <v>153</v>
      </c>
      <c r="B154" t="s">
        <v>230</v>
      </c>
      <c r="D154" s="1" t="s">
        <v>3</v>
      </c>
      <c r="E154" s="1" t="s">
        <v>18</v>
      </c>
      <c r="F154" s="1" t="s">
        <v>50</v>
      </c>
      <c r="G154" s="1" t="s">
        <v>50</v>
      </c>
      <c r="H154" s="1" t="s">
        <v>50</v>
      </c>
      <c r="I154" s="1" t="s">
        <v>50</v>
      </c>
      <c r="J154" s="1" t="s">
        <v>50</v>
      </c>
      <c r="K154" s="1" t="s">
        <v>50</v>
      </c>
      <c r="L154" s="1"/>
      <c r="M154" s="1" t="s">
        <v>104</v>
      </c>
      <c r="N154" s="1" t="s">
        <v>50</v>
      </c>
      <c r="O154" s="1" t="s">
        <v>50</v>
      </c>
      <c r="P154" s="1" t="s">
        <v>832</v>
      </c>
      <c r="Q154" s="1" t="s">
        <v>50</v>
      </c>
      <c r="R154" s="1" t="s">
        <v>50</v>
      </c>
      <c r="S154" s="1" t="s">
        <v>50</v>
      </c>
      <c r="T154" s="1" t="s">
        <v>50</v>
      </c>
      <c r="U154" s="1" t="s">
        <v>50</v>
      </c>
      <c r="V154" s="1" t="s">
        <v>50</v>
      </c>
      <c r="W154" s="1" t="s">
        <v>50</v>
      </c>
      <c r="X154" s="1" t="s">
        <v>742</v>
      </c>
      <c r="Y154" s="1"/>
      <c r="Z154" s="8">
        <v>1</v>
      </c>
      <c r="AA154" s="8">
        <v>1</v>
      </c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>
        <v>1</v>
      </c>
      <c r="AY154" s="8">
        <v>1</v>
      </c>
      <c r="AZ154" s="8"/>
      <c r="BA154" s="8"/>
      <c r="BB154" s="1"/>
      <c r="BJ154">
        <v>12</v>
      </c>
      <c r="BK154">
        <v>6</v>
      </c>
      <c r="BL154" s="58"/>
      <c r="BP154" t="str">
        <f t="shared" si="4"/>
        <v>ElectricFighting</v>
      </c>
      <c r="BR154">
        <v>4</v>
      </c>
    </row>
    <row r="155" spans="1:70" x14ac:dyDescent="0.25">
      <c r="A155">
        <f t="shared" si="5"/>
        <v>154</v>
      </c>
      <c r="B155" t="s">
        <v>231</v>
      </c>
      <c r="D155" s="1" t="s">
        <v>13</v>
      </c>
      <c r="E155" s="1" t="s">
        <v>0</v>
      </c>
      <c r="F155" s="1" t="s">
        <v>50</v>
      </c>
      <c r="G155" s="1" t="s">
        <v>50</v>
      </c>
      <c r="H155" s="1" t="s">
        <v>50</v>
      </c>
      <c r="I155" s="1" t="s">
        <v>50</v>
      </c>
      <c r="J155" s="1" t="s">
        <v>50</v>
      </c>
      <c r="K155" s="1" t="s">
        <v>50</v>
      </c>
      <c r="L155" s="1"/>
      <c r="M155" s="1" t="s">
        <v>50</v>
      </c>
      <c r="N155" s="1" t="s">
        <v>50</v>
      </c>
      <c r="O155" s="1" t="s">
        <v>50</v>
      </c>
      <c r="P155" s="1" t="s">
        <v>832</v>
      </c>
      <c r="Q155" s="1" t="s">
        <v>50</v>
      </c>
      <c r="R155" s="1" t="s">
        <v>50</v>
      </c>
      <c r="S155" s="1" t="s">
        <v>50</v>
      </c>
      <c r="T155" s="1" t="s">
        <v>50</v>
      </c>
      <c r="U155" s="1" t="s">
        <v>50</v>
      </c>
      <c r="V155" s="1" t="s">
        <v>50</v>
      </c>
      <c r="W155" s="1" t="s">
        <v>50</v>
      </c>
      <c r="X155" s="1" t="s">
        <v>727</v>
      </c>
      <c r="Y155" s="1"/>
      <c r="Z155" s="8"/>
      <c r="AA155" s="8"/>
      <c r="AB155" s="8"/>
      <c r="AC155" s="8"/>
      <c r="AD155" s="8">
        <v>1</v>
      </c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>
        <v>1</v>
      </c>
      <c r="AW155" s="8">
        <v>1</v>
      </c>
      <c r="AX155" s="8"/>
      <c r="AY155" s="8"/>
      <c r="AZ155" s="8"/>
      <c r="BA155" s="8"/>
      <c r="BB155" s="1"/>
      <c r="BJ155">
        <v>3</v>
      </c>
      <c r="BL155" s="58"/>
      <c r="BP155" t="str">
        <f t="shared" si="4"/>
        <v>FireDark</v>
      </c>
      <c r="BR155">
        <v>3</v>
      </c>
    </row>
    <row r="156" spans="1:70" x14ac:dyDescent="0.25">
      <c r="A156">
        <f t="shared" si="5"/>
        <v>155</v>
      </c>
      <c r="B156" t="s">
        <v>232</v>
      </c>
      <c r="D156" s="1" t="s">
        <v>1</v>
      </c>
      <c r="E156" s="1">
        <v>0</v>
      </c>
      <c r="F156" s="1" t="s">
        <v>50</v>
      </c>
      <c r="G156" s="1" t="s">
        <v>50</v>
      </c>
      <c r="H156" s="1"/>
      <c r="I156" s="1" t="s">
        <v>50</v>
      </c>
      <c r="J156" s="1" t="s">
        <v>50</v>
      </c>
      <c r="K156" s="1" t="s">
        <v>50</v>
      </c>
      <c r="L156" s="1" t="s">
        <v>50</v>
      </c>
      <c r="M156" s="1" t="s">
        <v>104</v>
      </c>
      <c r="N156" s="1" t="s">
        <v>50</v>
      </c>
      <c r="O156" s="1" t="s">
        <v>50</v>
      </c>
      <c r="P156" s="1" t="s">
        <v>811</v>
      </c>
      <c r="Q156" s="1" t="s">
        <v>104</v>
      </c>
      <c r="R156" s="1" t="s">
        <v>104</v>
      </c>
      <c r="S156" s="1" t="s">
        <v>104</v>
      </c>
      <c r="T156" s="1" t="s">
        <v>104</v>
      </c>
      <c r="U156" s="1" t="s">
        <v>104</v>
      </c>
      <c r="V156" s="1" t="s">
        <v>104</v>
      </c>
      <c r="W156" s="1" t="s">
        <v>104</v>
      </c>
      <c r="X156" s="1" t="s">
        <v>727</v>
      </c>
      <c r="Y156" s="1"/>
      <c r="Z156" s="8">
        <v>1</v>
      </c>
      <c r="AA156" s="8">
        <v>1</v>
      </c>
      <c r="AB156" s="8"/>
      <c r="AC156" s="8"/>
      <c r="AD156" s="8">
        <v>1</v>
      </c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>
        <v>1</v>
      </c>
      <c r="AP156" s="8">
        <v>1</v>
      </c>
      <c r="AQ156" s="8">
        <v>1</v>
      </c>
      <c r="AR156" s="8">
        <v>1</v>
      </c>
      <c r="AS156" s="8"/>
      <c r="AT156" s="8"/>
      <c r="AU156" s="8"/>
      <c r="AV156" s="8"/>
      <c r="AW156" s="8"/>
      <c r="AX156" s="8">
        <v>1</v>
      </c>
      <c r="AY156" s="8">
        <v>1</v>
      </c>
      <c r="AZ156" s="8"/>
      <c r="BA156" s="8"/>
      <c r="BB156" s="1"/>
      <c r="BL156" s="58"/>
      <c r="BP156" t="str">
        <f t="shared" si="4"/>
        <v>Normal0</v>
      </c>
      <c r="BQ156" t="s">
        <v>2</v>
      </c>
      <c r="BR156">
        <v>5</v>
      </c>
    </row>
    <row r="157" spans="1:70" x14ac:dyDescent="0.25">
      <c r="A157">
        <f t="shared" si="5"/>
        <v>156</v>
      </c>
      <c r="B157" t="s">
        <v>233</v>
      </c>
      <c r="D157" s="1" t="s">
        <v>1</v>
      </c>
      <c r="E157" s="1">
        <v>0</v>
      </c>
      <c r="F157" s="1" t="s">
        <v>50</v>
      </c>
      <c r="G157" s="1" t="s">
        <v>50</v>
      </c>
      <c r="H157" s="1" t="s">
        <v>50</v>
      </c>
      <c r="I157" s="1" t="s">
        <v>50</v>
      </c>
      <c r="J157" s="1" t="s">
        <v>50</v>
      </c>
      <c r="K157" s="1" t="s">
        <v>50</v>
      </c>
      <c r="L157" s="1"/>
      <c r="M157" s="1" t="s">
        <v>50</v>
      </c>
      <c r="N157" s="1" t="s">
        <v>50</v>
      </c>
      <c r="O157" s="1" t="s">
        <v>50</v>
      </c>
      <c r="P157" s="1" t="s">
        <v>811</v>
      </c>
      <c r="Q157" s="1" t="s">
        <v>50</v>
      </c>
      <c r="R157" s="1" t="s">
        <v>50</v>
      </c>
      <c r="S157" s="1" t="s">
        <v>50</v>
      </c>
      <c r="T157" s="1" t="s">
        <v>50</v>
      </c>
      <c r="U157" s="1" t="s">
        <v>50</v>
      </c>
      <c r="V157" s="1" t="s">
        <v>50</v>
      </c>
      <c r="W157" s="1" t="s">
        <v>50</v>
      </c>
      <c r="X157" s="1" t="s">
        <v>2182</v>
      </c>
      <c r="Y157" s="1"/>
      <c r="Z157" s="8">
        <v>1</v>
      </c>
      <c r="AA157" s="8">
        <v>1</v>
      </c>
      <c r="AB157" s="8"/>
      <c r="AC157" s="8"/>
      <c r="AD157" s="8">
        <v>1</v>
      </c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>
        <v>1</v>
      </c>
      <c r="AP157" s="8">
        <v>1</v>
      </c>
      <c r="AQ157" s="8">
        <v>1</v>
      </c>
      <c r="AR157" s="8">
        <v>1</v>
      </c>
      <c r="AS157" s="8"/>
      <c r="AT157" s="8"/>
      <c r="AU157" s="8"/>
      <c r="AV157" s="8"/>
      <c r="AW157" s="8"/>
      <c r="AX157" s="8">
        <v>1</v>
      </c>
      <c r="AY157" s="8">
        <v>1</v>
      </c>
      <c r="AZ157" s="8"/>
      <c r="BA157" s="8"/>
      <c r="BB157" s="1"/>
      <c r="BJ157">
        <v>2</v>
      </c>
      <c r="BL157" s="58"/>
      <c r="BP157" t="str">
        <f t="shared" si="4"/>
        <v>Normal0</v>
      </c>
      <c r="BR157">
        <v>5</v>
      </c>
    </row>
    <row r="158" spans="1:70" x14ac:dyDescent="0.25">
      <c r="A158">
        <f t="shared" si="5"/>
        <v>157</v>
      </c>
      <c r="B158" t="s">
        <v>234</v>
      </c>
      <c r="D158" s="1" t="s">
        <v>17</v>
      </c>
      <c r="E158" s="1" t="s">
        <v>12</v>
      </c>
      <c r="F158" s="1" t="s">
        <v>50</v>
      </c>
      <c r="G158" s="1" t="s">
        <v>50</v>
      </c>
      <c r="H158" s="1"/>
      <c r="I158" s="1" t="s">
        <v>50</v>
      </c>
      <c r="J158" s="1" t="s">
        <v>50</v>
      </c>
      <c r="K158" s="1" t="s">
        <v>50</v>
      </c>
      <c r="L158" s="1"/>
      <c r="M158" s="1" t="s">
        <v>50</v>
      </c>
      <c r="N158" s="1" t="s">
        <v>50</v>
      </c>
      <c r="O158" s="1" t="s">
        <v>50</v>
      </c>
      <c r="P158" s="1" t="s">
        <v>832</v>
      </c>
      <c r="Q158" s="1" t="s">
        <v>104</v>
      </c>
      <c r="R158" s="1" t="s">
        <v>104</v>
      </c>
      <c r="S158" s="1" t="s">
        <v>104</v>
      </c>
      <c r="T158" s="1" t="s">
        <v>104</v>
      </c>
      <c r="U158" s="1" t="s">
        <v>104</v>
      </c>
      <c r="V158" s="1" t="s">
        <v>104</v>
      </c>
      <c r="W158" s="1" t="s">
        <v>104</v>
      </c>
      <c r="X158" s="1" t="s">
        <v>742</v>
      </c>
      <c r="Y158" s="1"/>
      <c r="Z158" s="8"/>
      <c r="AA158" s="8">
        <v>1</v>
      </c>
      <c r="AB158" s="8">
        <v>1</v>
      </c>
      <c r="AC158" s="8">
        <v>1</v>
      </c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>
        <v>1</v>
      </c>
      <c r="AZ158" s="8"/>
      <c r="BA158" s="8"/>
      <c r="BB158" s="1"/>
      <c r="BL158" s="58"/>
      <c r="BP158" t="str">
        <f t="shared" si="4"/>
        <v>BugDragon</v>
      </c>
      <c r="BQ158" t="s">
        <v>2</v>
      </c>
      <c r="BR158">
        <v>3</v>
      </c>
    </row>
    <row r="159" spans="1:70" x14ac:dyDescent="0.25">
      <c r="A159">
        <f t="shared" si="5"/>
        <v>158</v>
      </c>
      <c r="B159" t="s">
        <v>235</v>
      </c>
      <c r="D159" s="1" t="s">
        <v>17</v>
      </c>
      <c r="E159" s="1" t="s">
        <v>12</v>
      </c>
      <c r="F159" s="1" t="s">
        <v>50</v>
      </c>
      <c r="G159" s="1" t="s">
        <v>50</v>
      </c>
      <c r="H159" s="1"/>
      <c r="I159" s="1" t="s">
        <v>50</v>
      </c>
      <c r="J159" s="1" t="s">
        <v>50</v>
      </c>
      <c r="K159" s="1" t="s">
        <v>50</v>
      </c>
      <c r="L159" s="1"/>
      <c r="M159" s="1" t="s">
        <v>104</v>
      </c>
      <c r="N159" s="1" t="s">
        <v>50</v>
      </c>
      <c r="O159" s="1" t="s">
        <v>50</v>
      </c>
      <c r="P159" s="1" t="s">
        <v>832</v>
      </c>
      <c r="Q159" s="1" t="s">
        <v>104</v>
      </c>
      <c r="R159" s="1" t="s">
        <v>104</v>
      </c>
      <c r="S159" s="1" t="s">
        <v>104</v>
      </c>
      <c r="T159" s="1" t="s">
        <v>104</v>
      </c>
      <c r="U159" s="1" t="s">
        <v>104</v>
      </c>
      <c r="V159" s="1" t="s">
        <v>104</v>
      </c>
      <c r="W159" s="1" t="s">
        <v>104</v>
      </c>
      <c r="X159" s="1" t="s">
        <v>742</v>
      </c>
      <c r="Y159" s="1"/>
      <c r="Z159" s="8"/>
      <c r="AA159" s="8">
        <v>1</v>
      </c>
      <c r="AB159" s="8">
        <v>1</v>
      </c>
      <c r="AC159" s="8">
        <v>1</v>
      </c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>
        <v>1</v>
      </c>
      <c r="AZ159" s="8"/>
      <c r="BA159" s="8"/>
      <c r="BB159" s="1"/>
      <c r="BL159" s="58"/>
      <c r="BP159" t="str">
        <f t="shared" si="4"/>
        <v>BugDragon</v>
      </c>
      <c r="BQ159" t="s">
        <v>2</v>
      </c>
      <c r="BR159">
        <v>3</v>
      </c>
    </row>
    <row r="160" spans="1:70" x14ac:dyDescent="0.25">
      <c r="A160">
        <f t="shared" si="5"/>
        <v>159</v>
      </c>
      <c r="B160" t="s">
        <v>236</v>
      </c>
      <c r="D160" s="1" t="s">
        <v>17</v>
      </c>
      <c r="E160" s="1" t="s">
        <v>12</v>
      </c>
      <c r="F160" s="1" t="s">
        <v>50</v>
      </c>
      <c r="G160" s="1" t="s">
        <v>50</v>
      </c>
      <c r="H160" s="1" t="s">
        <v>50</v>
      </c>
      <c r="I160" s="1" t="s">
        <v>50</v>
      </c>
      <c r="J160" s="1" t="s">
        <v>50</v>
      </c>
      <c r="K160" s="1" t="s">
        <v>50</v>
      </c>
      <c r="L160" s="1"/>
      <c r="M160" s="1" t="s">
        <v>104</v>
      </c>
      <c r="N160" s="1" t="s">
        <v>50</v>
      </c>
      <c r="O160" s="1" t="s">
        <v>50</v>
      </c>
      <c r="P160" s="1" t="s">
        <v>832</v>
      </c>
      <c r="Q160" s="1" t="s">
        <v>50</v>
      </c>
      <c r="R160" s="1" t="s">
        <v>50</v>
      </c>
      <c r="S160" s="1" t="s">
        <v>50</v>
      </c>
      <c r="T160" s="1" t="s">
        <v>50</v>
      </c>
      <c r="U160" s="1" t="s">
        <v>50</v>
      </c>
      <c r="V160" s="1" t="s">
        <v>50</v>
      </c>
      <c r="W160" s="1" t="s">
        <v>50</v>
      </c>
      <c r="X160" s="1" t="s">
        <v>2443</v>
      </c>
      <c r="Y160" s="1"/>
      <c r="Z160" s="8"/>
      <c r="AA160" s="8">
        <v>1</v>
      </c>
      <c r="AB160" s="8">
        <v>1</v>
      </c>
      <c r="AC160" s="8">
        <v>1</v>
      </c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>
        <v>1</v>
      </c>
      <c r="AZ160" s="8"/>
      <c r="BA160" s="8"/>
      <c r="BB160" s="1"/>
      <c r="BJ160">
        <v>10</v>
      </c>
      <c r="BK160">
        <v>5</v>
      </c>
      <c r="BL160" s="58"/>
      <c r="BP160" t="str">
        <f t="shared" si="4"/>
        <v>BugDragon</v>
      </c>
      <c r="BR160">
        <v>3</v>
      </c>
    </row>
    <row r="161" spans="1:70" x14ac:dyDescent="0.25">
      <c r="A161">
        <f t="shared" si="5"/>
        <v>160</v>
      </c>
      <c r="B161" t="s">
        <v>237</v>
      </c>
      <c r="D161" s="1" t="s">
        <v>6</v>
      </c>
      <c r="E161" s="1" t="s">
        <v>12</v>
      </c>
      <c r="F161" s="1" t="s">
        <v>50</v>
      </c>
      <c r="G161" s="1" t="s">
        <v>50</v>
      </c>
      <c r="H161" s="1"/>
      <c r="I161" s="1" t="s">
        <v>50</v>
      </c>
      <c r="J161" s="1" t="s">
        <v>50</v>
      </c>
      <c r="K161" s="1" t="s">
        <v>50</v>
      </c>
      <c r="L161" s="1"/>
      <c r="M161" s="1" t="s">
        <v>50</v>
      </c>
      <c r="N161" s="1" t="s">
        <v>50</v>
      </c>
      <c r="O161" s="1" t="s">
        <v>50</v>
      </c>
      <c r="P161" s="1" t="s">
        <v>832</v>
      </c>
      <c r="Q161" s="1" t="s">
        <v>104</v>
      </c>
      <c r="R161" s="1" t="s">
        <v>104</v>
      </c>
      <c r="S161" s="1" t="s">
        <v>104</v>
      </c>
      <c r="T161" s="1" t="s">
        <v>104</v>
      </c>
      <c r="U161" s="1" t="s">
        <v>104</v>
      </c>
      <c r="V161" s="1" t="s">
        <v>104</v>
      </c>
      <c r="W161" s="1" t="s">
        <v>104</v>
      </c>
      <c r="X161" s="1" t="s">
        <v>727</v>
      </c>
      <c r="Y161" s="1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>
        <v>1</v>
      </c>
      <c r="AT161" s="8"/>
      <c r="AU161" s="8">
        <v>1</v>
      </c>
      <c r="AV161" s="8"/>
      <c r="AW161" s="8"/>
      <c r="AX161" s="8"/>
      <c r="AY161" s="8"/>
      <c r="AZ161" s="8"/>
      <c r="BA161" s="8"/>
      <c r="BB161" s="1"/>
      <c r="BL161" s="58"/>
      <c r="BP161" t="str">
        <f t="shared" si="4"/>
        <v>SteelDragon</v>
      </c>
      <c r="BQ161" t="s">
        <v>2</v>
      </c>
      <c r="BR161">
        <v>2</v>
      </c>
    </row>
    <row r="162" spans="1:70" x14ac:dyDescent="0.25">
      <c r="A162">
        <f t="shared" si="5"/>
        <v>161</v>
      </c>
      <c r="B162" t="s">
        <v>238</v>
      </c>
      <c r="D162" s="1" t="s">
        <v>6</v>
      </c>
      <c r="E162" s="1" t="s">
        <v>12</v>
      </c>
      <c r="F162" s="1" t="s">
        <v>50</v>
      </c>
      <c r="G162" s="1" t="s">
        <v>50</v>
      </c>
      <c r="H162" s="1"/>
      <c r="I162" s="1" t="s">
        <v>50</v>
      </c>
      <c r="J162" s="1" t="s">
        <v>50</v>
      </c>
      <c r="K162" s="1" t="s">
        <v>50</v>
      </c>
      <c r="L162" s="1"/>
      <c r="M162" s="1" t="s">
        <v>104</v>
      </c>
      <c r="N162" s="1" t="s">
        <v>50</v>
      </c>
      <c r="O162" s="1" t="s">
        <v>50</v>
      </c>
      <c r="P162" s="1" t="s">
        <v>832</v>
      </c>
      <c r="Q162" s="1" t="s">
        <v>104</v>
      </c>
      <c r="R162" s="1" t="s">
        <v>104</v>
      </c>
      <c r="S162" s="1" t="s">
        <v>104</v>
      </c>
      <c r="T162" s="1" t="s">
        <v>104</v>
      </c>
      <c r="U162" s="1" t="s">
        <v>104</v>
      </c>
      <c r="V162" s="1" t="s">
        <v>104</v>
      </c>
      <c r="W162" s="1" t="s">
        <v>104</v>
      </c>
      <c r="X162" s="1" t="s">
        <v>727</v>
      </c>
      <c r="Y162" s="1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>
        <v>1</v>
      </c>
      <c r="AT162" s="8"/>
      <c r="AU162" s="8">
        <v>1</v>
      </c>
      <c r="AV162" s="8"/>
      <c r="AW162" s="8"/>
      <c r="AX162" s="8"/>
      <c r="AY162" s="8"/>
      <c r="AZ162" s="8"/>
      <c r="BA162" s="8"/>
      <c r="BB162" s="1"/>
      <c r="BL162" s="58"/>
      <c r="BP162" t="str">
        <f t="shared" si="4"/>
        <v>SteelDragon</v>
      </c>
      <c r="BQ162" t="s">
        <v>2</v>
      </c>
      <c r="BR162">
        <v>2</v>
      </c>
    </row>
    <row r="163" spans="1:70" x14ac:dyDescent="0.25">
      <c r="A163">
        <f t="shared" si="5"/>
        <v>162</v>
      </c>
      <c r="B163" t="s">
        <v>239</v>
      </c>
      <c r="D163" s="1" t="s">
        <v>6</v>
      </c>
      <c r="E163" s="1" t="s">
        <v>12</v>
      </c>
      <c r="F163" s="1" t="s">
        <v>50</v>
      </c>
      <c r="G163" s="1" t="s">
        <v>50</v>
      </c>
      <c r="H163" s="1" t="s">
        <v>50</v>
      </c>
      <c r="I163" s="1" t="s">
        <v>50</v>
      </c>
      <c r="J163" s="1" t="s">
        <v>50</v>
      </c>
      <c r="K163" s="1" t="s">
        <v>50</v>
      </c>
      <c r="L163" s="1"/>
      <c r="M163" s="1" t="s">
        <v>104</v>
      </c>
      <c r="N163" s="1" t="s">
        <v>50</v>
      </c>
      <c r="O163" s="1" t="s">
        <v>50</v>
      </c>
      <c r="P163" s="1" t="s">
        <v>832</v>
      </c>
      <c r="Q163" s="1" t="s">
        <v>50</v>
      </c>
      <c r="R163" s="1" t="s">
        <v>50</v>
      </c>
      <c r="S163" s="1" t="s">
        <v>50</v>
      </c>
      <c r="T163" s="1" t="s">
        <v>50</v>
      </c>
      <c r="U163" s="1" t="s">
        <v>50</v>
      </c>
      <c r="V163" s="1" t="s">
        <v>50</v>
      </c>
      <c r="W163" s="1" t="s">
        <v>50</v>
      </c>
      <c r="X163" s="1" t="s">
        <v>727</v>
      </c>
      <c r="Y163" s="1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>
        <v>1</v>
      </c>
      <c r="AT163" s="8"/>
      <c r="AU163" s="8">
        <v>1</v>
      </c>
      <c r="AV163" s="8"/>
      <c r="AW163" s="8"/>
      <c r="AX163" s="8"/>
      <c r="AY163" s="8"/>
      <c r="AZ163" s="8"/>
      <c r="BA163" s="8"/>
      <c r="BB163" s="1"/>
      <c r="BJ163">
        <v>5</v>
      </c>
      <c r="BK163">
        <v>6</v>
      </c>
      <c r="BL163" s="58"/>
      <c r="BP163" t="str">
        <f t="shared" si="4"/>
        <v>SteelDragon</v>
      </c>
      <c r="BR163">
        <v>2</v>
      </c>
    </row>
    <row r="164" spans="1:70" x14ac:dyDescent="0.25">
      <c r="A164">
        <f t="shared" si="5"/>
        <v>163</v>
      </c>
      <c r="B164" t="s">
        <v>240</v>
      </c>
      <c r="D164" s="1" t="s">
        <v>11</v>
      </c>
      <c r="E164" s="1" t="s">
        <v>15</v>
      </c>
      <c r="F164" s="1" t="s">
        <v>50</v>
      </c>
      <c r="G164" s="1" t="s">
        <v>50</v>
      </c>
      <c r="H164" s="1"/>
      <c r="I164" s="1" t="s">
        <v>50</v>
      </c>
      <c r="J164" s="1" t="s">
        <v>50</v>
      </c>
      <c r="K164" s="1" t="s">
        <v>50</v>
      </c>
      <c r="L164" s="1"/>
      <c r="M164" s="1" t="s">
        <v>50</v>
      </c>
      <c r="N164" s="1" t="s">
        <v>50</v>
      </c>
      <c r="O164" s="1" t="s">
        <v>50</v>
      </c>
      <c r="P164" s="1" t="s">
        <v>832</v>
      </c>
      <c r="Q164" s="1" t="s">
        <v>104</v>
      </c>
      <c r="R164" s="1" t="s">
        <v>104</v>
      </c>
      <c r="S164" s="1" t="s">
        <v>104</v>
      </c>
      <c r="T164" s="1" t="s">
        <v>104</v>
      </c>
      <c r="U164" s="1" t="s">
        <v>104</v>
      </c>
      <c r="V164" s="1" t="s">
        <v>104</v>
      </c>
      <c r="W164" s="1" t="s">
        <v>104</v>
      </c>
      <c r="X164" s="1" t="s">
        <v>727</v>
      </c>
      <c r="Y164" s="1"/>
      <c r="Z164" s="8"/>
      <c r="AA164" s="8"/>
      <c r="AB164" s="8">
        <v>1</v>
      </c>
      <c r="AC164" s="8">
        <v>1</v>
      </c>
      <c r="AD164" s="8"/>
      <c r="AE164" s="8">
        <v>1</v>
      </c>
      <c r="AF164" s="8"/>
      <c r="AG164" s="8"/>
      <c r="AH164" s="8"/>
      <c r="AI164" s="8"/>
      <c r="AJ164" s="8">
        <v>1</v>
      </c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1"/>
      <c r="BL164" s="58"/>
      <c r="BP164" t="str">
        <f t="shared" si="4"/>
        <v>GrassWater</v>
      </c>
      <c r="BQ164" t="s">
        <v>2</v>
      </c>
      <c r="BR164">
        <v>4</v>
      </c>
    </row>
    <row r="165" spans="1:70" x14ac:dyDescent="0.25">
      <c r="A165">
        <f t="shared" si="5"/>
        <v>164</v>
      </c>
      <c r="B165" t="s">
        <v>406</v>
      </c>
      <c r="D165" s="1" t="s">
        <v>11</v>
      </c>
      <c r="E165" s="1" t="s">
        <v>15</v>
      </c>
      <c r="F165" s="1" t="s">
        <v>50</v>
      </c>
      <c r="G165" s="1" t="s">
        <v>50</v>
      </c>
      <c r="H165" s="1" t="s">
        <v>50</v>
      </c>
      <c r="I165" s="1" t="s">
        <v>50</v>
      </c>
      <c r="J165" s="1" t="s">
        <v>50</v>
      </c>
      <c r="K165" s="1" t="s">
        <v>50</v>
      </c>
      <c r="L165" s="1"/>
      <c r="M165" s="1" t="s">
        <v>104</v>
      </c>
      <c r="N165" s="1" t="s">
        <v>50</v>
      </c>
      <c r="O165" s="1" t="s">
        <v>50</v>
      </c>
      <c r="P165" s="1" t="s">
        <v>832</v>
      </c>
      <c r="Q165" s="1" t="s">
        <v>50</v>
      </c>
      <c r="R165" s="1" t="s">
        <v>50</v>
      </c>
      <c r="S165" s="1" t="s">
        <v>50</v>
      </c>
      <c r="T165" s="1" t="s">
        <v>50</v>
      </c>
      <c r="U165" s="1" t="s">
        <v>50</v>
      </c>
      <c r="V165" s="1" t="s">
        <v>50</v>
      </c>
      <c r="W165" s="1" t="s">
        <v>50</v>
      </c>
      <c r="X165" s="1" t="s">
        <v>727</v>
      </c>
      <c r="Y165" s="1"/>
      <c r="Z165" s="8"/>
      <c r="AA165" s="8"/>
      <c r="AB165" s="8">
        <v>1</v>
      </c>
      <c r="AC165" s="8">
        <v>1</v>
      </c>
      <c r="AD165" s="8"/>
      <c r="AE165" s="8">
        <v>1</v>
      </c>
      <c r="AF165" s="8"/>
      <c r="AG165" s="8"/>
      <c r="AH165" s="8"/>
      <c r="AI165" s="8"/>
      <c r="AJ165" s="8">
        <v>1</v>
      </c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1"/>
      <c r="BJ165">
        <v>4</v>
      </c>
      <c r="BK165">
        <v>3</v>
      </c>
      <c r="BL165" s="58"/>
      <c r="BP165" t="str">
        <f t="shared" si="4"/>
        <v>GrassWater</v>
      </c>
      <c r="BR165">
        <v>4</v>
      </c>
    </row>
    <row r="166" spans="1:70" x14ac:dyDescent="0.25">
      <c r="A166">
        <f t="shared" si="5"/>
        <v>165</v>
      </c>
      <c r="B166" t="s">
        <v>241</v>
      </c>
      <c r="D166" s="1" t="s">
        <v>11</v>
      </c>
      <c r="E166" s="1" t="s">
        <v>9</v>
      </c>
      <c r="F166" s="1" t="s">
        <v>50</v>
      </c>
      <c r="G166" s="1" t="s">
        <v>50</v>
      </c>
      <c r="H166" s="1"/>
      <c r="I166" s="1" t="s">
        <v>50</v>
      </c>
      <c r="J166" s="1" t="s">
        <v>50</v>
      </c>
      <c r="K166" s="1" t="s">
        <v>50</v>
      </c>
      <c r="L166" s="1" t="s">
        <v>50</v>
      </c>
      <c r="M166" s="1" t="s">
        <v>50</v>
      </c>
      <c r="N166" s="1" t="s">
        <v>50</v>
      </c>
      <c r="O166" s="1" t="s">
        <v>50</v>
      </c>
      <c r="P166" s="1" t="s">
        <v>832</v>
      </c>
      <c r="Q166" s="1" t="s">
        <v>104</v>
      </c>
      <c r="R166" s="1" t="s">
        <v>104</v>
      </c>
      <c r="S166" s="1" t="s">
        <v>104</v>
      </c>
      <c r="T166" s="1" t="s">
        <v>104</v>
      </c>
      <c r="U166" s="1" t="s">
        <v>104</v>
      </c>
      <c r="V166" s="1" t="s">
        <v>104</v>
      </c>
      <c r="W166" s="1" t="s">
        <v>104</v>
      </c>
      <c r="X166" s="1" t="s">
        <v>743</v>
      </c>
      <c r="Y166" s="1"/>
      <c r="Z166" s="8"/>
      <c r="AA166" s="8"/>
      <c r="AB166" s="8">
        <v>1</v>
      </c>
      <c r="AC166" s="8">
        <v>1</v>
      </c>
      <c r="AD166" s="8"/>
      <c r="AE166" s="8"/>
      <c r="AF166" s="8"/>
      <c r="AG166" s="8">
        <v>1</v>
      </c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>
        <v>1</v>
      </c>
      <c r="BA166" s="8"/>
      <c r="BB166" s="1"/>
      <c r="BL166" s="58"/>
      <c r="BP166" t="str">
        <f t="shared" si="4"/>
        <v>GrassRock</v>
      </c>
      <c r="BQ166" t="s">
        <v>2</v>
      </c>
      <c r="BR166">
        <v>4</v>
      </c>
    </row>
    <row r="167" spans="1:70" x14ac:dyDescent="0.25">
      <c r="A167">
        <f t="shared" si="5"/>
        <v>166</v>
      </c>
      <c r="B167" t="s">
        <v>242</v>
      </c>
      <c r="D167" s="1" t="s">
        <v>11</v>
      </c>
      <c r="E167" s="1" t="s">
        <v>9</v>
      </c>
      <c r="F167" s="1" t="s">
        <v>50</v>
      </c>
      <c r="G167" s="1" t="s">
        <v>50</v>
      </c>
      <c r="H167" s="1" t="s">
        <v>50</v>
      </c>
      <c r="I167" s="1" t="s">
        <v>50</v>
      </c>
      <c r="J167" s="1" t="s">
        <v>50</v>
      </c>
      <c r="K167" s="1" t="s">
        <v>50</v>
      </c>
      <c r="L167" s="1" t="s">
        <v>50</v>
      </c>
      <c r="M167" s="1" t="s">
        <v>104</v>
      </c>
      <c r="N167" s="1" t="s">
        <v>50</v>
      </c>
      <c r="O167" s="1" t="s">
        <v>50</v>
      </c>
      <c r="P167" s="1" t="s">
        <v>832</v>
      </c>
      <c r="Q167" s="1" t="s">
        <v>104</v>
      </c>
      <c r="R167" s="1" t="s">
        <v>104</v>
      </c>
      <c r="S167" s="1" t="s">
        <v>104</v>
      </c>
      <c r="T167" s="1" t="s">
        <v>104</v>
      </c>
      <c r="U167" s="1" t="s">
        <v>104</v>
      </c>
      <c r="V167" s="1" t="s">
        <v>104</v>
      </c>
      <c r="W167" s="1" t="s">
        <v>104</v>
      </c>
      <c r="X167" s="1" t="s">
        <v>743</v>
      </c>
      <c r="Y167" s="1"/>
      <c r="Z167" s="8"/>
      <c r="AA167" s="8"/>
      <c r="AB167" s="8">
        <v>1</v>
      </c>
      <c r="AC167" s="8">
        <v>1</v>
      </c>
      <c r="AD167" s="8"/>
      <c r="AE167" s="8"/>
      <c r="AF167" s="8"/>
      <c r="AG167" s="8">
        <v>1</v>
      </c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>
        <v>1</v>
      </c>
      <c r="BA167" s="8"/>
      <c r="BB167" s="1"/>
      <c r="BJ167">
        <v>3</v>
      </c>
      <c r="BK167">
        <v>1</v>
      </c>
      <c r="BL167" s="58">
        <v>1</v>
      </c>
      <c r="BP167" t="str">
        <f t="shared" si="4"/>
        <v>GrassRock</v>
      </c>
      <c r="BR167">
        <v>4</v>
      </c>
    </row>
    <row r="168" spans="1:70" x14ac:dyDescent="0.25">
      <c r="A168">
        <f t="shared" si="5"/>
        <v>167</v>
      </c>
      <c r="B168" t="s">
        <v>243</v>
      </c>
      <c r="D168" s="1" t="s">
        <v>16</v>
      </c>
      <c r="E168" s="1" t="s">
        <v>44</v>
      </c>
      <c r="F168" s="1" t="s">
        <v>50</v>
      </c>
      <c r="G168" s="1" t="s">
        <v>50</v>
      </c>
      <c r="H168" s="1"/>
      <c r="I168" s="1" t="s">
        <v>50</v>
      </c>
      <c r="J168" s="1" t="s">
        <v>50</v>
      </c>
      <c r="K168" s="1" t="s">
        <v>50</v>
      </c>
      <c r="L168" s="1" t="s">
        <v>50</v>
      </c>
      <c r="M168" s="1" t="s">
        <v>50</v>
      </c>
      <c r="N168" s="1" t="s">
        <v>50</v>
      </c>
      <c r="O168" s="1" t="s">
        <v>50</v>
      </c>
      <c r="P168" s="1" t="s">
        <v>832</v>
      </c>
      <c r="Q168" s="1" t="s">
        <v>104</v>
      </c>
      <c r="R168" s="1" t="s">
        <v>104</v>
      </c>
      <c r="S168" s="1" t="s">
        <v>104</v>
      </c>
      <c r="T168" s="1" t="s">
        <v>104</v>
      </c>
      <c r="U168" s="1" t="s">
        <v>104</v>
      </c>
      <c r="V168" s="1" t="s">
        <v>104</v>
      </c>
      <c r="W168" s="1" t="s">
        <v>104</v>
      </c>
      <c r="X168" s="1" t="s">
        <v>2436</v>
      </c>
      <c r="Y168" s="1"/>
      <c r="Z168" s="8">
        <v>1</v>
      </c>
      <c r="AA168" s="8">
        <v>1</v>
      </c>
      <c r="AB168" s="8"/>
      <c r="AC168" s="8"/>
      <c r="AD168" s="8"/>
      <c r="AE168" s="8"/>
      <c r="AF168" s="8"/>
      <c r="AG168" s="8">
        <v>1</v>
      </c>
      <c r="AH168" s="8"/>
      <c r="AI168" s="8"/>
      <c r="AJ168" s="8"/>
      <c r="AK168" s="8"/>
      <c r="AL168" s="8"/>
      <c r="AM168" s="8"/>
      <c r="AN168" s="8"/>
      <c r="AO168" s="8">
        <v>1</v>
      </c>
      <c r="AP168" s="8"/>
      <c r="AQ168" s="8"/>
      <c r="AR168" s="8"/>
      <c r="AS168" s="8"/>
      <c r="AT168" s="8"/>
      <c r="AU168" s="8">
        <v>1</v>
      </c>
      <c r="AV168" s="8"/>
      <c r="AW168" s="8"/>
      <c r="AX168" s="8"/>
      <c r="AY168" s="8"/>
      <c r="AZ168" s="8"/>
      <c r="BA168" s="8"/>
      <c r="BB168" s="1"/>
      <c r="BL168" s="58"/>
      <c r="BP168" t="str">
        <f t="shared" si="4"/>
        <v>FlyingLight</v>
      </c>
      <c r="BQ168" t="s">
        <v>2</v>
      </c>
      <c r="BR168">
        <v>6</v>
      </c>
    </row>
    <row r="169" spans="1:70" x14ac:dyDescent="0.25">
      <c r="A169">
        <f t="shared" si="5"/>
        <v>168</v>
      </c>
      <c r="B169" t="s">
        <v>244</v>
      </c>
      <c r="D169" s="1" t="s">
        <v>16</v>
      </c>
      <c r="E169" s="1" t="s">
        <v>44</v>
      </c>
      <c r="F169" s="1" t="s">
        <v>50</v>
      </c>
      <c r="G169" s="1" t="s">
        <v>50</v>
      </c>
      <c r="H169" s="1" t="s">
        <v>50</v>
      </c>
      <c r="I169" s="1" t="s">
        <v>50</v>
      </c>
      <c r="J169" s="1" t="s">
        <v>50</v>
      </c>
      <c r="K169" s="1" t="s">
        <v>50</v>
      </c>
      <c r="L169" s="1" t="s">
        <v>50</v>
      </c>
      <c r="M169" s="1" t="s">
        <v>104</v>
      </c>
      <c r="N169" s="1" t="s">
        <v>50</v>
      </c>
      <c r="O169" s="1" t="s">
        <v>50</v>
      </c>
      <c r="P169" s="1" t="s">
        <v>832</v>
      </c>
      <c r="Q169" s="1" t="s">
        <v>104</v>
      </c>
      <c r="R169" s="1" t="s">
        <v>104</v>
      </c>
      <c r="S169" s="1" t="s">
        <v>104</v>
      </c>
      <c r="T169" s="1" t="s">
        <v>104</v>
      </c>
      <c r="U169" s="1" t="s">
        <v>104</v>
      </c>
      <c r="V169" s="1" t="s">
        <v>104</v>
      </c>
      <c r="W169" s="1" t="s">
        <v>104</v>
      </c>
      <c r="X169" s="1" t="s">
        <v>2436</v>
      </c>
      <c r="Y169" s="1"/>
      <c r="Z169" s="8">
        <v>1</v>
      </c>
      <c r="AA169" s="8">
        <v>1</v>
      </c>
      <c r="AB169" s="8"/>
      <c r="AC169" s="8"/>
      <c r="AD169" s="8"/>
      <c r="AE169" s="8"/>
      <c r="AF169" s="8"/>
      <c r="AG169" s="8">
        <v>1</v>
      </c>
      <c r="AH169" s="8"/>
      <c r="AI169" s="8"/>
      <c r="AJ169" s="8"/>
      <c r="AK169" s="8"/>
      <c r="AL169" s="8"/>
      <c r="AM169" s="8"/>
      <c r="AN169" s="8"/>
      <c r="AO169" s="8">
        <v>1</v>
      </c>
      <c r="AP169" s="8"/>
      <c r="AQ169" s="8"/>
      <c r="AR169" s="8"/>
      <c r="AS169" s="8"/>
      <c r="AT169" s="8"/>
      <c r="AU169" s="8">
        <v>1</v>
      </c>
      <c r="AV169" s="8"/>
      <c r="AW169" s="8"/>
      <c r="AX169" s="8"/>
      <c r="AY169" s="8"/>
      <c r="AZ169" s="8"/>
      <c r="BA169" s="8"/>
      <c r="BB169" s="1"/>
      <c r="BL169" s="58"/>
      <c r="BP169" t="str">
        <f t="shared" si="4"/>
        <v>FlyingLight</v>
      </c>
      <c r="BR169">
        <v>6</v>
      </c>
    </row>
    <row r="170" spans="1:70" x14ac:dyDescent="0.25">
      <c r="A170">
        <f t="shared" si="5"/>
        <v>169</v>
      </c>
      <c r="B170" t="s">
        <v>245</v>
      </c>
      <c r="D170" s="1" t="s">
        <v>7</v>
      </c>
      <c r="E170" s="1" t="s">
        <v>16</v>
      </c>
      <c r="F170" s="1" t="s">
        <v>50</v>
      </c>
      <c r="G170" s="1" t="s">
        <v>50</v>
      </c>
      <c r="H170" s="1"/>
      <c r="I170" s="1" t="s">
        <v>50</v>
      </c>
      <c r="J170" s="1" t="s">
        <v>50</v>
      </c>
      <c r="K170" s="1" t="s">
        <v>50</v>
      </c>
      <c r="L170" s="1"/>
      <c r="M170" s="1" t="s">
        <v>50</v>
      </c>
      <c r="N170" s="1" t="s">
        <v>50</v>
      </c>
      <c r="O170" s="1" t="s">
        <v>50</v>
      </c>
      <c r="P170" s="1" t="s">
        <v>832</v>
      </c>
      <c r="Q170" s="1" t="s">
        <v>104</v>
      </c>
      <c r="R170" s="1" t="s">
        <v>104</v>
      </c>
      <c r="S170" s="1" t="s">
        <v>104</v>
      </c>
      <c r="T170" s="1" t="s">
        <v>104</v>
      </c>
      <c r="U170" s="1" t="s">
        <v>104</v>
      </c>
      <c r="V170" s="1" t="s">
        <v>104</v>
      </c>
      <c r="W170" s="1" t="s">
        <v>104</v>
      </c>
      <c r="X170" s="1" t="s">
        <v>727</v>
      </c>
      <c r="Y170" s="1"/>
      <c r="Z170" s="8">
        <v>1</v>
      </c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>
        <v>1</v>
      </c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1"/>
      <c r="BL170" s="58"/>
      <c r="BP170" t="str">
        <f t="shared" si="4"/>
        <v>FairyFlying</v>
      </c>
      <c r="BQ170" t="s">
        <v>2</v>
      </c>
      <c r="BR170">
        <v>2</v>
      </c>
    </row>
    <row r="171" spans="1:70" x14ac:dyDescent="0.25">
      <c r="A171">
        <f t="shared" si="5"/>
        <v>170</v>
      </c>
      <c r="B171" t="s">
        <v>246</v>
      </c>
      <c r="D171" s="1" t="s">
        <v>7</v>
      </c>
      <c r="E171" s="1" t="s">
        <v>16</v>
      </c>
      <c r="F171" s="1" t="s">
        <v>50</v>
      </c>
      <c r="G171" s="1" t="s">
        <v>50</v>
      </c>
      <c r="H171" s="1"/>
      <c r="I171" s="1" t="s">
        <v>50</v>
      </c>
      <c r="J171" s="1" t="s">
        <v>50</v>
      </c>
      <c r="K171" s="1" t="s">
        <v>50</v>
      </c>
      <c r="L171" s="1"/>
      <c r="M171" s="1" t="s">
        <v>104</v>
      </c>
      <c r="N171" s="1" t="s">
        <v>50</v>
      </c>
      <c r="O171" s="1" t="s">
        <v>50</v>
      </c>
      <c r="P171" s="1" t="s">
        <v>832</v>
      </c>
      <c r="Q171" s="1" t="s">
        <v>104</v>
      </c>
      <c r="R171" s="1" t="s">
        <v>104</v>
      </c>
      <c r="S171" s="1" t="s">
        <v>104</v>
      </c>
      <c r="T171" s="1" t="s">
        <v>104</v>
      </c>
      <c r="U171" s="1" t="s">
        <v>104</v>
      </c>
      <c r="V171" s="1" t="s">
        <v>104</v>
      </c>
      <c r="W171" s="1" t="s">
        <v>104</v>
      </c>
      <c r="X171" s="1" t="s">
        <v>727</v>
      </c>
      <c r="Y171" s="1"/>
      <c r="Z171" s="8">
        <v>1</v>
      </c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>
        <v>1</v>
      </c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1"/>
      <c r="BL171" s="58"/>
      <c r="BP171" t="str">
        <f t="shared" si="4"/>
        <v>FairyFlying</v>
      </c>
      <c r="BQ171" t="s">
        <v>2</v>
      </c>
      <c r="BR171">
        <v>2</v>
      </c>
    </row>
    <row r="172" spans="1:70" x14ac:dyDescent="0.25">
      <c r="A172">
        <f t="shared" si="5"/>
        <v>171</v>
      </c>
      <c r="B172" t="s">
        <v>247</v>
      </c>
      <c r="D172" s="1" t="s">
        <v>7</v>
      </c>
      <c r="E172" s="1" t="s">
        <v>16</v>
      </c>
      <c r="F172" s="1" t="s">
        <v>50</v>
      </c>
      <c r="G172" s="1" t="s">
        <v>50</v>
      </c>
      <c r="H172" s="1" t="s">
        <v>50</v>
      </c>
      <c r="I172" s="1" t="s">
        <v>50</v>
      </c>
      <c r="J172" s="1" t="s">
        <v>50</v>
      </c>
      <c r="K172" s="1" t="s">
        <v>50</v>
      </c>
      <c r="L172" s="1"/>
      <c r="M172" s="1" t="s">
        <v>104</v>
      </c>
      <c r="N172" s="1" t="s">
        <v>50</v>
      </c>
      <c r="O172" s="1" t="s">
        <v>50</v>
      </c>
      <c r="P172" s="1" t="s">
        <v>832</v>
      </c>
      <c r="Q172" s="1" t="s">
        <v>50</v>
      </c>
      <c r="R172" s="1" t="s">
        <v>50</v>
      </c>
      <c r="S172" s="1" t="s">
        <v>50</v>
      </c>
      <c r="T172" s="1" t="s">
        <v>50</v>
      </c>
      <c r="U172" s="1" t="s">
        <v>50</v>
      </c>
      <c r="V172" s="1" t="s">
        <v>50</v>
      </c>
      <c r="W172" s="1" t="s">
        <v>50</v>
      </c>
      <c r="X172" s="1" t="s">
        <v>2385</v>
      </c>
      <c r="Y172" s="1"/>
      <c r="Z172" s="8">
        <v>1</v>
      </c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>
        <v>1</v>
      </c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1"/>
      <c r="BJ172">
        <v>8</v>
      </c>
      <c r="BK172">
        <v>4</v>
      </c>
      <c r="BL172" s="58"/>
      <c r="BP172" t="str">
        <f t="shared" si="4"/>
        <v>FairyFlying</v>
      </c>
      <c r="BR172">
        <v>2</v>
      </c>
    </row>
    <row r="173" spans="1:70" x14ac:dyDescent="0.25">
      <c r="A173">
        <f t="shared" si="5"/>
        <v>172</v>
      </c>
      <c r="B173" t="s">
        <v>248</v>
      </c>
      <c r="D173" s="1" t="s">
        <v>10</v>
      </c>
      <c r="E173" s="1" t="s">
        <v>12</v>
      </c>
      <c r="F173" s="1" t="s">
        <v>50</v>
      </c>
      <c r="G173" s="1" t="s">
        <v>50</v>
      </c>
      <c r="H173" s="1"/>
      <c r="I173" s="1" t="s">
        <v>50</v>
      </c>
      <c r="J173" s="1" t="s">
        <v>50</v>
      </c>
      <c r="K173" s="1" t="s">
        <v>50</v>
      </c>
      <c r="L173" s="1" t="s">
        <v>1767</v>
      </c>
      <c r="M173" s="1" t="s">
        <v>50</v>
      </c>
      <c r="N173" s="1" t="s">
        <v>50</v>
      </c>
      <c r="O173" s="1" t="s">
        <v>50</v>
      </c>
      <c r="P173" s="1" t="s">
        <v>832</v>
      </c>
      <c r="Q173" s="1" t="s">
        <v>104</v>
      </c>
      <c r="R173" s="1" t="s">
        <v>104</v>
      </c>
      <c r="S173" s="1" t="s">
        <v>104</v>
      </c>
      <c r="T173" s="1" t="s">
        <v>104</v>
      </c>
      <c r="U173" s="1" t="s">
        <v>104</v>
      </c>
      <c r="V173" s="1" t="s">
        <v>104</v>
      </c>
      <c r="W173" s="1" t="s">
        <v>104</v>
      </c>
      <c r="X173" s="1" t="s">
        <v>727</v>
      </c>
      <c r="Y173" s="1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>
        <v>1</v>
      </c>
      <c r="AT173" s="8"/>
      <c r="AU173" s="8"/>
      <c r="AV173" s="8">
        <v>1</v>
      </c>
      <c r="AW173" s="8">
        <v>1</v>
      </c>
      <c r="AX173" s="8">
        <v>1</v>
      </c>
      <c r="AY173" s="8">
        <v>1</v>
      </c>
      <c r="AZ173" s="8"/>
      <c r="BA173" s="8"/>
      <c r="BB173" s="1"/>
      <c r="BL173" s="58"/>
      <c r="BP173" t="str">
        <f t="shared" si="4"/>
        <v>PoisonDragon</v>
      </c>
      <c r="BQ173" t="s">
        <v>2</v>
      </c>
      <c r="BR173">
        <v>3</v>
      </c>
    </row>
    <row r="174" spans="1:70" x14ac:dyDescent="0.25">
      <c r="A174">
        <f t="shared" si="5"/>
        <v>173</v>
      </c>
      <c r="B174" t="s">
        <v>249</v>
      </c>
      <c r="D174" s="1" t="s">
        <v>10</v>
      </c>
      <c r="E174" s="1" t="s">
        <v>12</v>
      </c>
      <c r="F174" s="1" t="s">
        <v>50</v>
      </c>
      <c r="G174" s="1" t="s">
        <v>50</v>
      </c>
      <c r="H174" s="1" t="s">
        <v>50</v>
      </c>
      <c r="I174" s="1" t="s">
        <v>50</v>
      </c>
      <c r="J174" s="1" t="s">
        <v>50</v>
      </c>
      <c r="K174" s="1" t="s">
        <v>50</v>
      </c>
      <c r="L174" s="1"/>
      <c r="M174" s="1" t="s">
        <v>104</v>
      </c>
      <c r="N174" s="1" t="s">
        <v>50</v>
      </c>
      <c r="O174" s="1" t="s">
        <v>50</v>
      </c>
      <c r="P174" s="1" t="s">
        <v>832</v>
      </c>
      <c r="Q174" s="1" t="s">
        <v>50</v>
      </c>
      <c r="R174" s="1" t="s">
        <v>50</v>
      </c>
      <c r="S174" s="1" t="s">
        <v>50</v>
      </c>
      <c r="T174" s="1" t="s">
        <v>50</v>
      </c>
      <c r="U174" s="1" t="s">
        <v>50</v>
      </c>
      <c r="V174" s="1" t="s">
        <v>50</v>
      </c>
      <c r="W174" s="1" t="s">
        <v>50</v>
      </c>
      <c r="X174" s="1" t="s">
        <v>727</v>
      </c>
      <c r="Y174" s="1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>
        <v>1</v>
      </c>
      <c r="AT174" s="8"/>
      <c r="AU174" s="8"/>
      <c r="AV174" s="8">
        <v>1</v>
      </c>
      <c r="AW174" s="8">
        <v>1</v>
      </c>
      <c r="AX174" s="8">
        <v>1</v>
      </c>
      <c r="AY174" s="8">
        <v>1</v>
      </c>
      <c r="AZ174" s="8"/>
      <c r="BA174" s="8"/>
      <c r="BB174" s="1"/>
      <c r="BJ174">
        <v>1</v>
      </c>
      <c r="BL174" s="58">
        <v>1</v>
      </c>
      <c r="BP174" t="str">
        <f t="shared" si="4"/>
        <v>PoisonDragon</v>
      </c>
      <c r="BR174">
        <v>3</v>
      </c>
    </row>
    <row r="175" spans="1:70" x14ac:dyDescent="0.25">
      <c r="A175">
        <f t="shared" si="5"/>
        <v>174</v>
      </c>
      <c r="B175" t="s">
        <v>250</v>
      </c>
      <c r="D175" s="1" t="s">
        <v>18</v>
      </c>
      <c r="E175" s="1" t="s">
        <v>1</v>
      </c>
      <c r="F175" s="1" t="s">
        <v>50</v>
      </c>
      <c r="G175" s="1" t="s">
        <v>50</v>
      </c>
      <c r="H175" s="1"/>
      <c r="I175" s="1" t="s">
        <v>50</v>
      </c>
      <c r="J175" s="1" t="s">
        <v>50</v>
      </c>
      <c r="K175" s="1" t="s">
        <v>50</v>
      </c>
      <c r="L175" s="1"/>
      <c r="M175" s="1" t="s">
        <v>50</v>
      </c>
      <c r="N175" s="1" t="s">
        <v>50</v>
      </c>
      <c r="O175" s="1" t="s">
        <v>50</v>
      </c>
      <c r="P175" s="1" t="s">
        <v>832</v>
      </c>
      <c r="Q175" s="1" t="s">
        <v>104</v>
      </c>
      <c r="R175" s="1" t="s">
        <v>104</v>
      </c>
      <c r="S175" s="1" t="s">
        <v>104</v>
      </c>
      <c r="T175" s="1" t="s">
        <v>104</v>
      </c>
      <c r="U175" s="1" t="s">
        <v>104</v>
      </c>
      <c r="V175" s="1" t="s">
        <v>104</v>
      </c>
      <c r="W175" s="1" t="s">
        <v>104</v>
      </c>
      <c r="X175" s="1" t="s">
        <v>742</v>
      </c>
      <c r="Y175" s="1"/>
      <c r="Z175" s="8">
        <v>1</v>
      </c>
      <c r="AA175" s="8"/>
      <c r="AB175" s="8"/>
      <c r="AC175" s="8"/>
      <c r="AD175" s="8"/>
      <c r="AE175" s="8"/>
      <c r="AF175" s="8"/>
      <c r="AG175" s="8">
        <v>1</v>
      </c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>
        <v>1</v>
      </c>
      <c r="AT175" s="8"/>
      <c r="AU175" s="8"/>
      <c r="AV175" s="8"/>
      <c r="AW175" s="8"/>
      <c r="AX175" s="8">
        <v>1</v>
      </c>
      <c r="AY175" s="8">
        <v>1</v>
      </c>
      <c r="AZ175" s="8"/>
      <c r="BA175" s="8"/>
      <c r="BB175" s="1"/>
      <c r="BL175" s="58"/>
      <c r="BP175" t="str">
        <f t="shared" si="4"/>
        <v>FightingNormal</v>
      </c>
      <c r="BQ175" t="s">
        <v>2</v>
      </c>
      <c r="BR175">
        <v>1</v>
      </c>
    </row>
    <row r="176" spans="1:70" x14ac:dyDescent="0.25">
      <c r="A176">
        <f t="shared" si="5"/>
        <v>175</v>
      </c>
      <c r="B176" t="s">
        <v>407</v>
      </c>
      <c r="D176" s="1" t="s">
        <v>18</v>
      </c>
      <c r="E176" s="1" t="s">
        <v>1</v>
      </c>
      <c r="F176" s="1" t="s">
        <v>50</v>
      </c>
      <c r="G176" s="1" t="s">
        <v>50</v>
      </c>
      <c r="H176" s="1"/>
      <c r="I176" s="1" t="s">
        <v>50</v>
      </c>
      <c r="J176" s="1" t="s">
        <v>50</v>
      </c>
      <c r="K176" s="1" t="s">
        <v>50</v>
      </c>
      <c r="L176" s="1"/>
      <c r="M176" s="1" t="s">
        <v>104</v>
      </c>
      <c r="N176" s="1" t="s">
        <v>50</v>
      </c>
      <c r="O176" s="1" t="s">
        <v>50</v>
      </c>
      <c r="P176" s="1" t="s">
        <v>832</v>
      </c>
      <c r="Q176" s="1" t="s">
        <v>104</v>
      </c>
      <c r="R176" s="1" t="s">
        <v>104</v>
      </c>
      <c r="S176" s="1" t="s">
        <v>104</v>
      </c>
      <c r="T176" s="1" t="s">
        <v>104</v>
      </c>
      <c r="U176" s="1" t="s">
        <v>104</v>
      </c>
      <c r="V176" s="1" t="s">
        <v>104</v>
      </c>
      <c r="W176" s="1" t="s">
        <v>104</v>
      </c>
      <c r="X176" s="1" t="s">
        <v>742</v>
      </c>
      <c r="Y176" s="1"/>
      <c r="Z176" s="8">
        <v>1</v>
      </c>
      <c r="AA176" s="8"/>
      <c r="AB176" s="8"/>
      <c r="AC176" s="8"/>
      <c r="AD176" s="8"/>
      <c r="AE176" s="8"/>
      <c r="AF176" s="8"/>
      <c r="AG176" s="8">
        <v>1</v>
      </c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>
        <v>1</v>
      </c>
      <c r="AT176" s="8"/>
      <c r="AU176" s="8"/>
      <c r="AV176" s="8"/>
      <c r="AW176" s="8"/>
      <c r="AX176" s="8">
        <v>1</v>
      </c>
      <c r="AY176" s="8">
        <v>1</v>
      </c>
      <c r="AZ176" s="8"/>
      <c r="BA176" s="8"/>
      <c r="BB176" s="1"/>
      <c r="BL176" s="58"/>
      <c r="BP176" t="str">
        <f t="shared" si="4"/>
        <v>FightingNormal</v>
      </c>
      <c r="BQ176" t="s">
        <v>2</v>
      </c>
      <c r="BR176">
        <v>1</v>
      </c>
    </row>
    <row r="177" spans="1:70" x14ac:dyDescent="0.25">
      <c r="A177">
        <f t="shared" si="5"/>
        <v>176</v>
      </c>
      <c r="B177" t="s">
        <v>251</v>
      </c>
      <c r="D177" s="1" t="s">
        <v>18</v>
      </c>
      <c r="E177" s="1" t="s">
        <v>1</v>
      </c>
      <c r="F177" s="1" t="s">
        <v>50</v>
      </c>
      <c r="G177" s="1" t="s">
        <v>50</v>
      </c>
      <c r="H177" s="1" t="s">
        <v>50</v>
      </c>
      <c r="I177" s="1" t="s">
        <v>50</v>
      </c>
      <c r="J177" s="1" t="s">
        <v>50</v>
      </c>
      <c r="K177" s="1" t="s">
        <v>50</v>
      </c>
      <c r="L177" s="1"/>
      <c r="M177" s="1" t="s">
        <v>104</v>
      </c>
      <c r="N177" s="1" t="s">
        <v>50</v>
      </c>
      <c r="O177" s="1" t="s">
        <v>50</v>
      </c>
      <c r="P177" s="1" t="s">
        <v>832</v>
      </c>
      <c r="Q177" s="1" t="s">
        <v>104</v>
      </c>
      <c r="R177" s="1" t="s">
        <v>104</v>
      </c>
      <c r="S177" s="1" t="s">
        <v>104</v>
      </c>
      <c r="T177" s="1" t="s">
        <v>104</v>
      </c>
      <c r="U177" s="1" t="s">
        <v>104</v>
      </c>
      <c r="V177" s="1" t="s">
        <v>104</v>
      </c>
      <c r="W177" s="1" t="s">
        <v>104</v>
      </c>
      <c r="X177" s="1" t="s">
        <v>742</v>
      </c>
      <c r="Y177" s="1"/>
      <c r="Z177" s="8">
        <v>1</v>
      </c>
      <c r="AA177" s="8"/>
      <c r="AB177" s="8"/>
      <c r="AC177" s="8"/>
      <c r="AD177" s="8"/>
      <c r="AE177" s="8"/>
      <c r="AF177" s="8"/>
      <c r="AG177" s="8">
        <v>1</v>
      </c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>
        <v>1</v>
      </c>
      <c r="AT177" s="8"/>
      <c r="AU177" s="8"/>
      <c r="AV177" s="8"/>
      <c r="AW177" s="8"/>
      <c r="AX177" s="8">
        <v>1</v>
      </c>
      <c r="AY177" s="8">
        <v>1</v>
      </c>
      <c r="AZ177" s="8"/>
      <c r="BA177" s="8"/>
      <c r="BB177" s="1"/>
      <c r="BJ177">
        <v>7</v>
      </c>
      <c r="BL177" s="58"/>
      <c r="BP177" t="str">
        <f t="shared" si="4"/>
        <v>FightingNormal</v>
      </c>
      <c r="BR177">
        <v>1</v>
      </c>
    </row>
    <row r="178" spans="1:70" x14ac:dyDescent="0.25">
      <c r="A178">
        <f t="shared" si="5"/>
        <v>177</v>
      </c>
      <c r="B178" t="s">
        <v>408</v>
      </c>
      <c r="D178" s="1" t="s">
        <v>17</v>
      </c>
      <c r="E178" s="1" t="s">
        <v>42</v>
      </c>
      <c r="F178" s="1" t="s">
        <v>50</v>
      </c>
      <c r="G178" s="1" t="s">
        <v>50</v>
      </c>
      <c r="H178" s="1"/>
      <c r="I178" s="1" t="s">
        <v>50</v>
      </c>
      <c r="J178" s="1" t="s">
        <v>50</v>
      </c>
      <c r="K178" s="1" t="s">
        <v>50</v>
      </c>
      <c r="L178" s="1"/>
      <c r="M178" s="1" t="s">
        <v>50</v>
      </c>
      <c r="N178" s="1" t="s">
        <v>50</v>
      </c>
      <c r="O178" s="1" t="s">
        <v>50</v>
      </c>
      <c r="P178" s="1" t="s">
        <v>832</v>
      </c>
      <c r="Q178" s="1" t="s">
        <v>104</v>
      </c>
      <c r="R178" s="1" t="s">
        <v>104</v>
      </c>
      <c r="S178" s="1" t="s">
        <v>104</v>
      </c>
      <c r="T178" s="1" t="s">
        <v>104</v>
      </c>
      <c r="U178" s="1" t="s">
        <v>104</v>
      </c>
      <c r="V178" s="1" t="s">
        <v>104</v>
      </c>
      <c r="W178" s="1" t="s">
        <v>104</v>
      </c>
      <c r="X178" s="1" t="s">
        <v>733</v>
      </c>
      <c r="Y178" s="1"/>
      <c r="Z178" s="8"/>
      <c r="AA178" s="8"/>
      <c r="AB178" s="8"/>
      <c r="AC178" s="8"/>
      <c r="AD178" s="8"/>
      <c r="AE178" s="8">
        <v>1</v>
      </c>
      <c r="AF178" s="8">
        <v>1</v>
      </c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>
        <v>1</v>
      </c>
      <c r="AV178" s="8"/>
      <c r="AW178" s="8"/>
      <c r="AX178" s="8">
        <v>1</v>
      </c>
      <c r="AY178" s="8">
        <v>1</v>
      </c>
      <c r="AZ178" s="8"/>
      <c r="BA178" s="8"/>
      <c r="BB178" s="1"/>
      <c r="BL178" s="58"/>
      <c r="BP178" t="str">
        <f t="shared" si="4"/>
        <v>BugCosmic</v>
      </c>
      <c r="BQ178" t="s">
        <v>2</v>
      </c>
      <c r="BR178">
        <v>5</v>
      </c>
    </row>
    <row r="179" spans="1:70" x14ac:dyDescent="0.25">
      <c r="A179">
        <f t="shared" si="5"/>
        <v>178</v>
      </c>
      <c r="B179" t="s">
        <v>409</v>
      </c>
      <c r="D179" s="1" t="s">
        <v>6</v>
      </c>
      <c r="E179" s="1" t="s">
        <v>42</v>
      </c>
      <c r="F179" s="1" t="s">
        <v>50</v>
      </c>
      <c r="G179" s="1" t="s">
        <v>50</v>
      </c>
      <c r="H179" s="1"/>
      <c r="I179" s="1" t="s">
        <v>50</v>
      </c>
      <c r="J179" s="1" t="s">
        <v>50</v>
      </c>
      <c r="K179" s="1" t="s">
        <v>50</v>
      </c>
      <c r="L179" s="1"/>
      <c r="M179" s="1" t="s">
        <v>104</v>
      </c>
      <c r="N179" s="1" t="s">
        <v>50</v>
      </c>
      <c r="O179" s="1" t="s">
        <v>50</v>
      </c>
      <c r="P179" s="1" t="s">
        <v>832</v>
      </c>
      <c r="Q179" s="1" t="s">
        <v>104</v>
      </c>
      <c r="R179" s="1" t="s">
        <v>104</v>
      </c>
      <c r="S179" s="1" t="s">
        <v>104</v>
      </c>
      <c r="T179" s="1" t="s">
        <v>104</v>
      </c>
      <c r="U179" s="1" t="s">
        <v>104</v>
      </c>
      <c r="V179" s="1" t="s">
        <v>104</v>
      </c>
      <c r="W179" s="1" t="s">
        <v>104</v>
      </c>
      <c r="X179" s="1" t="s">
        <v>733</v>
      </c>
      <c r="Y179" s="1"/>
      <c r="Z179" s="8"/>
      <c r="AA179" s="8"/>
      <c r="AB179" s="8"/>
      <c r="AC179" s="8"/>
      <c r="AD179" s="8"/>
      <c r="AE179" s="8">
        <v>1</v>
      </c>
      <c r="AF179" s="8">
        <v>1</v>
      </c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>
        <v>1</v>
      </c>
      <c r="AV179" s="8"/>
      <c r="AW179" s="8"/>
      <c r="AX179" s="8">
        <v>1</v>
      </c>
      <c r="AY179" s="8">
        <v>1</v>
      </c>
      <c r="AZ179" s="8"/>
      <c r="BA179" s="8"/>
      <c r="BB179" s="1"/>
      <c r="BL179" s="58"/>
      <c r="BP179" t="str">
        <f t="shared" si="4"/>
        <v>SteelCosmic</v>
      </c>
      <c r="BQ179" t="s">
        <v>2</v>
      </c>
      <c r="BR179">
        <v>5</v>
      </c>
    </row>
    <row r="180" spans="1:70" x14ac:dyDescent="0.25">
      <c r="A180">
        <f t="shared" si="5"/>
        <v>179</v>
      </c>
      <c r="B180" t="s">
        <v>410</v>
      </c>
      <c r="D180" s="1" t="s">
        <v>6</v>
      </c>
      <c r="E180" s="1" t="s">
        <v>42</v>
      </c>
      <c r="F180" s="1" t="s">
        <v>50</v>
      </c>
      <c r="G180" s="1" t="s">
        <v>50</v>
      </c>
      <c r="H180" s="1" t="s">
        <v>50</v>
      </c>
      <c r="I180" s="1" t="s">
        <v>50</v>
      </c>
      <c r="J180" s="1" t="s">
        <v>50</v>
      </c>
      <c r="K180" s="1" t="s">
        <v>50</v>
      </c>
      <c r="L180" s="1"/>
      <c r="M180" s="1" t="s">
        <v>104</v>
      </c>
      <c r="N180" s="1" t="s">
        <v>50</v>
      </c>
      <c r="O180" s="1" t="s">
        <v>50</v>
      </c>
      <c r="P180" s="1" t="s">
        <v>832</v>
      </c>
      <c r="Q180" s="1" t="s">
        <v>104</v>
      </c>
      <c r="R180" s="1" t="s">
        <v>104</v>
      </c>
      <c r="S180" s="1" t="s">
        <v>104</v>
      </c>
      <c r="T180" s="1" t="s">
        <v>104</v>
      </c>
      <c r="U180" s="1" t="s">
        <v>104</v>
      </c>
      <c r="V180" s="1" t="s">
        <v>104</v>
      </c>
      <c r="W180" s="1" t="s">
        <v>104</v>
      </c>
      <c r="X180" s="1" t="s">
        <v>733</v>
      </c>
      <c r="Y180" s="1"/>
      <c r="Z180" s="8"/>
      <c r="AA180" s="8"/>
      <c r="AB180" s="8"/>
      <c r="AC180" s="8"/>
      <c r="AD180" s="8"/>
      <c r="AE180" s="8">
        <v>1</v>
      </c>
      <c r="AF180" s="8">
        <v>1</v>
      </c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>
        <v>1</v>
      </c>
      <c r="AV180" s="8"/>
      <c r="AW180" s="8"/>
      <c r="AX180" s="8">
        <v>1</v>
      </c>
      <c r="AY180" s="8">
        <v>1</v>
      </c>
      <c r="AZ180" s="8"/>
      <c r="BA180" s="8"/>
      <c r="BB180" s="1"/>
      <c r="BJ180">
        <v>5</v>
      </c>
      <c r="BK180">
        <v>2</v>
      </c>
      <c r="BL180" s="58"/>
      <c r="BP180" t="str">
        <f t="shared" si="4"/>
        <v>SteelCosmic</v>
      </c>
      <c r="BR180">
        <v>5</v>
      </c>
    </row>
    <row r="181" spans="1:70" x14ac:dyDescent="0.25">
      <c r="A181">
        <f t="shared" si="5"/>
        <v>180</v>
      </c>
      <c r="B181" t="s">
        <v>252</v>
      </c>
      <c r="D181" s="1" t="s">
        <v>17</v>
      </c>
      <c r="E181" s="1" t="s">
        <v>8</v>
      </c>
      <c r="F181" s="1" t="s">
        <v>50</v>
      </c>
      <c r="G181" s="1" t="s">
        <v>50</v>
      </c>
      <c r="H181" s="1" t="s">
        <v>50</v>
      </c>
      <c r="I181" s="1" t="s">
        <v>50</v>
      </c>
      <c r="J181" s="1" t="s">
        <v>50</v>
      </c>
      <c r="K181" s="1" t="s">
        <v>50</v>
      </c>
      <c r="L181" s="1"/>
      <c r="M181" s="1" t="s">
        <v>50</v>
      </c>
      <c r="N181" s="1" t="s">
        <v>50</v>
      </c>
      <c r="O181" s="1" t="s">
        <v>50</v>
      </c>
      <c r="P181" s="1" t="s">
        <v>832</v>
      </c>
      <c r="Q181" s="1" t="s">
        <v>50</v>
      </c>
      <c r="R181" s="1" t="s">
        <v>50</v>
      </c>
      <c r="S181" s="1" t="s">
        <v>50</v>
      </c>
      <c r="T181" s="1" t="s">
        <v>50</v>
      </c>
      <c r="U181" s="1" t="s">
        <v>50</v>
      </c>
      <c r="V181" s="1" t="s">
        <v>50</v>
      </c>
      <c r="W181" s="1" t="s">
        <v>50</v>
      </c>
      <c r="X181" s="1" t="s">
        <v>727</v>
      </c>
      <c r="Y181" s="1"/>
      <c r="Z181" s="8"/>
      <c r="AA181" s="8"/>
      <c r="AB181" s="8"/>
      <c r="AC181" s="8"/>
      <c r="AD181" s="8"/>
      <c r="AE181" s="8">
        <v>1</v>
      </c>
      <c r="AF181" s="8">
        <v>1</v>
      </c>
      <c r="AG181" s="8">
        <v>1</v>
      </c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>
        <v>1</v>
      </c>
      <c r="AZ181" s="8"/>
      <c r="BA181" s="8"/>
      <c r="BB181" s="1"/>
      <c r="BJ181">
        <v>1</v>
      </c>
      <c r="BK181">
        <v>1</v>
      </c>
      <c r="BL181" s="58"/>
      <c r="BP181" t="str">
        <f t="shared" si="4"/>
        <v>BugGround</v>
      </c>
      <c r="BR181">
        <v>2</v>
      </c>
    </row>
    <row r="182" spans="1:70" x14ac:dyDescent="0.25">
      <c r="A182">
        <f t="shared" si="5"/>
        <v>181</v>
      </c>
      <c r="B182" t="s">
        <v>411</v>
      </c>
      <c r="D182" s="1" t="s">
        <v>14</v>
      </c>
      <c r="E182" s="1" t="s">
        <v>42</v>
      </c>
      <c r="F182" s="1" t="s">
        <v>50</v>
      </c>
      <c r="G182" s="1" t="s">
        <v>50</v>
      </c>
      <c r="H182" s="1"/>
      <c r="I182" s="1" t="s">
        <v>50</v>
      </c>
      <c r="J182" s="1" t="s">
        <v>50</v>
      </c>
      <c r="K182" s="1" t="s">
        <v>50</v>
      </c>
      <c r="L182" s="1" t="s">
        <v>50</v>
      </c>
      <c r="M182" s="1" t="s">
        <v>50</v>
      </c>
      <c r="N182" s="1" t="s">
        <v>50</v>
      </c>
      <c r="O182" s="1" t="s">
        <v>50</v>
      </c>
      <c r="P182" s="1" t="s">
        <v>813</v>
      </c>
      <c r="Q182" s="1" t="s">
        <v>104</v>
      </c>
      <c r="R182" s="1" t="s">
        <v>104</v>
      </c>
      <c r="S182" s="1" t="s">
        <v>104</v>
      </c>
      <c r="T182" s="1" t="s">
        <v>104</v>
      </c>
      <c r="U182" s="1" t="s">
        <v>104</v>
      </c>
      <c r="V182" s="1" t="s">
        <v>104</v>
      </c>
      <c r="W182" s="1" t="s">
        <v>104</v>
      </c>
      <c r="X182" s="1" t="s">
        <v>727</v>
      </c>
      <c r="Y182" s="1"/>
      <c r="Z182" s="8">
        <v>1</v>
      </c>
      <c r="AA182" s="8"/>
      <c r="AB182" s="8"/>
      <c r="AC182" s="8"/>
      <c r="AD182" s="8">
        <v>1</v>
      </c>
      <c r="AE182" s="8"/>
      <c r="AF182" s="8"/>
      <c r="AG182" s="8">
        <v>1</v>
      </c>
      <c r="AH182" s="8"/>
      <c r="AI182" s="8"/>
      <c r="AJ182" s="8"/>
      <c r="AK182" s="8"/>
      <c r="AL182" s="8"/>
      <c r="AM182" s="8"/>
      <c r="AN182" s="8"/>
      <c r="AO182" s="8">
        <v>1</v>
      </c>
      <c r="AP182" s="8"/>
      <c r="AQ182" s="8"/>
      <c r="AR182" s="8">
        <v>1</v>
      </c>
      <c r="AS182" s="8"/>
      <c r="AT182" s="8"/>
      <c r="AU182" s="8">
        <v>1</v>
      </c>
      <c r="AV182" s="8"/>
      <c r="AW182" s="8"/>
      <c r="AX182" s="8">
        <v>1</v>
      </c>
      <c r="AY182" s="8">
        <v>1</v>
      </c>
      <c r="AZ182" s="8"/>
      <c r="BA182" s="8"/>
      <c r="BB182" s="1"/>
      <c r="BL182" s="58"/>
      <c r="BP182" t="str">
        <f t="shared" si="4"/>
        <v>GhostCosmic</v>
      </c>
      <c r="BQ182" t="s">
        <v>2</v>
      </c>
      <c r="BR182">
        <v>2</v>
      </c>
    </row>
    <row r="183" spans="1:70" x14ac:dyDescent="0.25">
      <c r="A183">
        <f t="shared" si="5"/>
        <v>182</v>
      </c>
      <c r="B183" t="s">
        <v>253</v>
      </c>
      <c r="D183" s="1" t="s">
        <v>14</v>
      </c>
      <c r="E183" s="1" t="s">
        <v>42</v>
      </c>
      <c r="F183" s="1" t="s">
        <v>50</v>
      </c>
      <c r="G183" s="1" t="s">
        <v>50</v>
      </c>
      <c r="H183" s="1" t="s">
        <v>50</v>
      </c>
      <c r="I183" s="1" t="s">
        <v>50</v>
      </c>
      <c r="J183" s="1" t="s">
        <v>50</v>
      </c>
      <c r="K183" s="1" t="s">
        <v>50</v>
      </c>
      <c r="L183" s="1"/>
      <c r="M183" s="1" t="s">
        <v>104</v>
      </c>
      <c r="N183" s="1" t="s">
        <v>50</v>
      </c>
      <c r="O183" s="1" t="s">
        <v>50</v>
      </c>
      <c r="P183" s="1" t="s">
        <v>813</v>
      </c>
      <c r="Q183" s="1" t="s">
        <v>104</v>
      </c>
      <c r="R183" s="1" t="s">
        <v>104</v>
      </c>
      <c r="S183" s="1" t="s">
        <v>104</v>
      </c>
      <c r="T183" s="1" t="s">
        <v>104</v>
      </c>
      <c r="U183" s="1" t="s">
        <v>104</v>
      </c>
      <c r="V183" s="1" t="s">
        <v>104</v>
      </c>
      <c r="W183" s="1" t="s">
        <v>104</v>
      </c>
      <c r="X183" s="1" t="s">
        <v>727</v>
      </c>
      <c r="Y183" s="1"/>
      <c r="Z183" s="8">
        <v>1</v>
      </c>
      <c r="AA183" s="8"/>
      <c r="AB183" s="8"/>
      <c r="AC183" s="8"/>
      <c r="AD183" s="8">
        <v>1</v>
      </c>
      <c r="AE183" s="8"/>
      <c r="AF183" s="8"/>
      <c r="AG183" s="8">
        <v>1</v>
      </c>
      <c r="AH183" s="8"/>
      <c r="AI183" s="8"/>
      <c r="AJ183" s="8"/>
      <c r="AK183" s="8"/>
      <c r="AL183" s="8"/>
      <c r="AM183" s="8"/>
      <c r="AN183" s="8"/>
      <c r="AO183" s="8">
        <v>1</v>
      </c>
      <c r="AP183" s="8"/>
      <c r="AQ183" s="8"/>
      <c r="AR183" s="8">
        <v>1</v>
      </c>
      <c r="AS183" s="8"/>
      <c r="AT183" s="8"/>
      <c r="AU183" s="8">
        <v>1</v>
      </c>
      <c r="AV183" s="8"/>
      <c r="AW183" s="8"/>
      <c r="AX183" s="8">
        <v>1</v>
      </c>
      <c r="AY183" s="8">
        <v>1</v>
      </c>
      <c r="AZ183" s="8"/>
      <c r="BA183" s="8"/>
      <c r="BB183" s="1"/>
      <c r="BJ183">
        <v>2</v>
      </c>
      <c r="BL183" s="58"/>
      <c r="BP183" t="str">
        <f t="shared" si="4"/>
        <v>GhostCosmic</v>
      </c>
      <c r="BR183">
        <v>2</v>
      </c>
    </row>
    <row r="184" spans="1:70" x14ac:dyDescent="0.25">
      <c r="A184">
        <f t="shared" si="5"/>
        <v>183</v>
      </c>
      <c r="B184" t="s">
        <v>412</v>
      </c>
      <c r="D184" s="1" t="s">
        <v>8</v>
      </c>
      <c r="E184" s="1" t="s">
        <v>4</v>
      </c>
      <c r="F184" s="1" t="s">
        <v>50</v>
      </c>
      <c r="G184" s="1" t="s">
        <v>50</v>
      </c>
      <c r="H184" s="1"/>
      <c r="I184" s="1" t="s">
        <v>50</v>
      </c>
      <c r="J184" s="1" t="s">
        <v>50</v>
      </c>
      <c r="K184" s="1" t="s">
        <v>50</v>
      </c>
      <c r="L184" s="1" t="s">
        <v>50</v>
      </c>
      <c r="M184" s="1" t="s">
        <v>50</v>
      </c>
      <c r="N184" s="1" t="s">
        <v>50</v>
      </c>
      <c r="O184" s="1" t="s">
        <v>50</v>
      </c>
      <c r="P184" s="1" t="s">
        <v>832</v>
      </c>
      <c r="Q184" s="1" t="s">
        <v>104</v>
      </c>
      <c r="R184" s="1" t="s">
        <v>104</v>
      </c>
      <c r="S184" s="1" t="s">
        <v>104</v>
      </c>
      <c r="T184" s="1" t="s">
        <v>104</v>
      </c>
      <c r="U184" s="1" t="s">
        <v>104</v>
      </c>
      <c r="V184" s="1" t="s">
        <v>104</v>
      </c>
      <c r="W184" s="1" t="s">
        <v>104</v>
      </c>
      <c r="X184" s="1" t="s">
        <v>742</v>
      </c>
      <c r="Y184" s="1"/>
      <c r="Z184" s="8"/>
      <c r="AA184" s="8"/>
      <c r="AB184" s="8">
        <v>1</v>
      </c>
      <c r="AC184" s="8">
        <v>1</v>
      </c>
      <c r="AD184" s="8"/>
      <c r="AE184" s="8"/>
      <c r="AF184" s="8"/>
      <c r="AG184" s="8">
        <v>1</v>
      </c>
      <c r="AH184" s="8"/>
      <c r="AI184" s="8">
        <v>1</v>
      </c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>
        <v>1</v>
      </c>
      <c r="BA184" s="8"/>
      <c r="BB184" s="1"/>
      <c r="BL184" s="58"/>
      <c r="BP184" t="str">
        <f t="shared" si="4"/>
        <v>GroundPsychic</v>
      </c>
      <c r="BQ184" t="s">
        <v>2</v>
      </c>
      <c r="BR184">
        <v>1</v>
      </c>
    </row>
    <row r="185" spans="1:70" x14ac:dyDescent="0.25">
      <c r="A185">
        <f t="shared" si="5"/>
        <v>184</v>
      </c>
      <c r="B185" t="s">
        <v>413</v>
      </c>
      <c r="D185" s="1" t="s">
        <v>8</v>
      </c>
      <c r="E185" s="1" t="s">
        <v>4</v>
      </c>
      <c r="F185" s="1" t="s">
        <v>50</v>
      </c>
      <c r="G185" s="1" t="s">
        <v>50</v>
      </c>
      <c r="H185" s="1" t="s">
        <v>50</v>
      </c>
      <c r="I185" s="1" t="s">
        <v>50</v>
      </c>
      <c r="J185" s="1" t="s">
        <v>50</v>
      </c>
      <c r="K185" s="1" t="s">
        <v>50</v>
      </c>
      <c r="L185" s="1"/>
      <c r="M185" s="1" t="s">
        <v>104</v>
      </c>
      <c r="N185" s="1" t="s">
        <v>50</v>
      </c>
      <c r="O185" s="1" t="s">
        <v>50</v>
      </c>
      <c r="P185" s="1" t="s">
        <v>832</v>
      </c>
      <c r="Q185" s="1" t="s">
        <v>104</v>
      </c>
      <c r="R185" s="1" t="s">
        <v>104</v>
      </c>
      <c r="S185" s="1" t="s">
        <v>104</v>
      </c>
      <c r="T185" s="1" t="s">
        <v>104</v>
      </c>
      <c r="U185" s="1" t="s">
        <v>104</v>
      </c>
      <c r="V185" s="1" t="s">
        <v>104</v>
      </c>
      <c r="W185" s="1" t="s">
        <v>104</v>
      </c>
      <c r="X185" s="1" t="s">
        <v>742</v>
      </c>
      <c r="Y185" s="1"/>
      <c r="Z185" s="8"/>
      <c r="AA185" s="8"/>
      <c r="AB185" s="8">
        <v>1</v>
      </c>
      <c r="AC185" s="8">
        <v>1</v>
      </c>
      <c r="AD185" s="8"/>
      <c r="AE185" s="8"/>
      <c r="AF185" s="8"/>
      <c r="AG185" s="8">
        <v>1</v>
      </c>
      <c r="AH185" s="8"/>
      <c r="AI185" s="8">
        <v>1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>
        <v>1</v>
      </c>
      <c r="BA185" s="8"/>
      <c r="BB185" s="1"/>
      <c r="BJ185">
        <v>2</v>
      </c>
      <c r="BL185" s="58"/>
      <c r="BP185" t="str">
        <f t="shared" si="4"/>
        <v>GroundPsychic</v>
      </c>
      <c r="BR185">
        <v>1</v>
      </c>
    </row>
    <row r="186" spans="1:70" x14ac:dyDescent="0.25">
      <c r="A186">
        <f t="shared" si="5"/>
        <v>185</v>
      </c>
      <c r="B186" t="s">
        <v>414</v>
      </c>
      <c r="D186" s="1" t="s">
        <v>13</v>
      </c>
      <c r="E186" s="1" t="s">
        <v>14</v>
      </c>
      <c r="F186" s="1" t="s">
        <v>50</v>
      </c>
      <c r="G186" s="1" t="s">
        <v>50</v>
      </c>
      <c r="H186" s="1"/>
      <c r="I186" s="1" t="s">
        <v>50</v>
      </c>
      <c r="J186" s="1" t="s">
        <v>50</v>
      </c>
      <c r="K186" s="1" t="s">
        <v>50</v>
      </c>
      <c r="L186" s="1" t="s">
        <v>50</v>
      </c>
      <c r="M186" s="1" t="s">
        <v>50</v>
      </c>
      <c r="N186" s="1" t="s">
        <v>50</v>
      </c>
      <c r="O186" s="1" t="s">
        <v>50</v>
      </c>
      <c r="P186" s="1" t="s">
        <v>832</v>
      </c>
      <c r="Q186" s="1" t="s">
        <v>104</v>
      </c>
      <c r="R186" s="1" t="s">
        <v>104</v>
      </c>
      <c r="S186" s="1" t="s">
        <v>104</v>
      </c>
      <c r="T186" s="1" t="s">
        <v>104</v>
      </c>
      <c r="U186" s="1" t="s">
        <v>104</v>
      </c>
      <c r="V186" s="1" t="s">
        <v>104</v>
      </c>
      <c r="W186" s="1" t="s">
        <v>104</v>
      </c>
      <c r="X186" s="1" t="s">
        <v>2356</v>
      </c>
      <c r="Y186" s="1"/>
      <c r="Z186" s="8"/>
      <c r="AA186" s="8"/>
      <c r="AB186" s="8"/>
      <c r="AC186" s="8"/>
      <c r="AD186" s="8"/>
      <c r="AE186" s="8"/>
      <c r="AF186" s="8"/>
      <c r="AG186" s="8">
        <v>1</v>
      </c>
      <c r="AH186" s="8">
        <v>1</v>
      </c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>
        <v>1</v>
      </c>
      <c r="AV186" s="8">
        <v>1</v>
      </c>
      <c r="AW186" s="8">
        <v>1</v>
      </c>
      <c r="AX186" s="8"/>
      <c r="AY186" s="8"/>
      <c r="AZ186" s="8"/>
      <c r="BA186" s="8"/>
      <c r="BB186" s="1"/>
      <c r="BL186" s="58"/>
      <c r="BP186" t="str">
        <f t="shared" si="4"/>
        <v>FireGhost</v>
      </c>
      <c r="BQ186" t="s">
        <v>2</v>
      </c>
      <c r="BR186">
        <v>3</v>
      </c>
    </row>
    <row r="187" spans="1:70" x14ac:dyDescent="0.25">
      <c r="A187">
        <f t="shared" si="5"/>
        <v>186</v>
      </c>
      <c r="B187" t="s">
        <v>415</v>
      </c>
      <c r="D187" s="1" t="s">
        <v>13</v>
      </c>
      <c r="E187" s="1" t="s">
        <v>14</v>
      </c>
      <c r="F187" s="1" t="s">
        <v>50</v>
      </c>
      <c r="G187" s="1" t="s">
        <v>50</v>
      </c>
      <c r="H187" s="1" t="s">
        <v>50</v>
      </c>
      <c r="I187" s="1" t="s">
        <v>50</v>
      </c>
      <c r="J187" s="1" t="s">
        <v>50</v>
      </c>
      <c r="K187" s="1" t="s">
        <v>50</v>
      </c>
      <c r="L187" s="1"/>
      <c r="M187" s="1" t="s">
        <v>104</v>
      </c>
      <c r="N187" s="1" t="s">
        <v>50</v>
      </c>
      <c r="O187" s="1" t="s">
        <v>50</v>
      </c>
      <c r="P187" s="1" t="s">
        <v>832</v>
      </c>
      <c r="Q187" s="1" t="s">
        <v>104</v>
      </c>
      <c r="R187" s="1" t="s">
        <v>104</v>
      </c>
      <c r="S187" s="1" t="s">
        <v>104</v>
      </c>
      <c r="T187" s="1" t="s">
        <v>104</v>
      </c>
      <c r="U187" s="1" t="s">
        <v>104</v>
      </c>
      <c r="V187" s="1" t="s">
        <v>104</v>
      </c>
      <c r="W187" s="1" t="s">
        <v>104</v>
      </c>
      <c r="X187" s="1" t="s">
        <v>2356</v>
      </c>
      <c r="Y187" s="1"/>
      <c r="Z187" s="8"/>
      <c r="AA187" s="8"/>
      <c r="AB187" s="8"/>
      <c r="AC187" s="8"/>
      <c r="AD187" s="8"/>
      <c r="AE187" s="8"/>
      <c r="AF187" s="8"/>
      <c r="AG187" s="8">
        <v>1</v>
      </c>
      <c r="AH187" s="8">
        <v>1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>
        <v>1</v>
      </c>
      <c r="AV187" s="8">
        <v>1</v>
      </c>
      <c r="AW187" s="8">
        <v>1</v>
      </c>
      <c r="AX187" s="8"/>
      <c r="AY187" s="8"/>
      <c r="AZ187" s="8"/>
      <c r="BA187" s="8"/>
      <c r="BB187" s="1"/>
      <c r="BL187" s="58"/>
      <c r="BP187" t="str">
        <f t="shared" si="4"/>
        <v>FireGhost</v>
      </c>
      <c r="BQ187" t="s">
        <v>2</v>
      </c>
      <c r="BR187">
        <v>3</v>
      </c>
    </row>
    <row r="188" spans="1:70" x14ac:dyDescent="0.25">
      <c r="A188">
        <f t="shared" si="5"/>
        <v>187</v>
      </c>
      <c r="B188" t="s">
        <v>416</v>
      </c>
      <c r="D188" s="1" t="s">
        <v>13</v>
      </c>
      <c r="E188" s="1" t="s">
        <v>14</v>
      </c>
      <c r="F188" s="1" t="s">
        <v>50</v>
      </c>
      <c r="G188" s="1" t="s">
        <v>50</v>
      </c>
      <c r="H188" s="1" t="s">
        <v>50</v>
      </c>
      <c r="I188" s="1" t="s">
        <v>50</v>
      </c>
      <c r="J188" s="1" t="s">
        <v>50</v>
      </c>
      <c r="K188" s="1" t="s">
        <v>50</v>
      </c>
      <c r="L188" s="1"/>
      <c r="M188" s="1" t="s">
        <v>104</v>
      </c>
      <c r="N188" s="1" t="s">
        <v>50</v>
      </c>
      <c r="O188" s="1" t="s">
        <v>50</v>
      </c>
      <c r="P188" s="1" t="s">
        <v>832</v>
      </c>
      <c r="Q188" s="1" t="s">
        <v>104</v>
      </c>
      <c r="R188" s="1" t="s">
        <v>104</v>
      </c>
      <c r="S188" s="1" t="s">
        <v>104</v>
      </c>
      <c r="T188" s="1" t="s">
        <v>104</v>
      </c>
      <c r="U188" s="1" t="s">
        <v>104</v>
      </c>
      <c r="V188" s="1" t="s">
        <v>104</v>
      </c>
      <c r="W188" s="1" t="s">
        <v>104</v>
      </c>
      <c r="X188" s="1" t="s">
        <v>2356</v>
      </c>
      <c r="Y188" s="1"/>
      <c r="Z188" s="8"/>
      <c r="AA188" s="8"/>
      <c r="AB188" s="8"/>
      <c r="AC188" s="8"/>
      <c r="AD188" s="8"/>
      <c r="AE188" s="8"/>
      <c r="AF188" s="8"/>
      <c r="AG188" s="8">
        <v>1</v>
      </c>
      <c r="AH188" s="8">
        <v>1</v>
      </c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>
        <v>1</v>
      </c>
      <c r="AV188" s="8">
        <v>1</v>
      </c>
      <c r="AW188" s="8">
        <v>1</v>
      </c>
      <c r="AX188" s="8"/>
      <c r="AY188" s="8"/>
      <c r="AZ188" s="8"/>
      <c r="BA188" s="8"/>
      <c r="BB188" s="1"/>
      <c r="BJ188">
        <v>2</v>
      </c>
      <c r="BL188" s="58"/>
      <c r="BP188" t="str">
        <f t="shared" si="4"/>
        <v>FireGhost</v>
      </c>
      <c r="BR188">
        <v>4</v>
      </c>
    </row>
    <row r="189" spans="1:70" x14ac:dyDescent="0.25">
      <c r="A189">
        <f t="shared" si="5"/>
        <v>188</v>
      </c>
      <c r="B189" t="s">
        <v>254</v>
      </c>
      <c r="D189" s="1" t="s">
        <v>14</v>
      </c>
      <c r="E189" s="1" t="s">
        <v>1</v>
      </c>
      <c r="F189" s="1" t="s">
        <v>50</v>
      </c>
      <c r="G189" s="1" t="s">
        <v>50</v>
      </c>
      <c r="H189" s="1"/>
      <c r="I189" s="1" t="s">
        <v>50</v>
      </c>
      <c r="J189" s="1" t="s">
        <v>50</v>
      </c>
      <c r="K189" s="1" t="s">
        <v>50</v>
      </c>
      <c r="L189" s="1"/>
      <c r="M189" s="1" t="s">
        <v>50</v>
      </c>
      <c r="N189" s="1" t="s">
        <v>50</v>
      </c>
      <c r="O189" s="1" t="s">
        <v>50</v>
      </c>
      <c r="P189" s="1" t="s">
        <v>832</v>
      </c>
      <c r="Q189" s="1" t="s">
        <v>104</v>
      </c>
      <c r="R189" s="1" t="s">
        <v>104</v>
      </c>
      <c r="S189" s="1" t="s">
        <v>104</v>
      </c>
      <c r="T189" s="1" t="s">
        <v>104</v>
      </c>
      <c r="U189" s="1" t="s">
        <v>104</v>
      </c>
      <c r="V189" s="1" t="s">
        <v>104</v>
      </c>
      <c r="W189" s="1" t="s">
        <v>104</v>
      </c>
      <c r="X189" s="1" t="s">
        <v>727</v>
      </c>
      <c r="Y189" s="1"/>
      <c r="Z189" s="8"/>
      <c r="AA189" s="8"/>
      <c r="AB189" s="8"/>
      <c r="AC189" s="8"/>
      <c r="AD189" s="8">
        <v>1</v>
      </c>
      <c r="AE189" s="8"/>
      <c r="AF189" s="8"/>
      <c r="AG189" s="8">
        <v>1</v>
      </c>
      <c r="AH189" s="8">
        <v>1</v>
      </c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>
        <v>1</v>
      </c>
      <c r="AT189" s="8">
        <v>1</v>
      </c>
      <c r="AU189" s="8">
        <v>1</v>
      </c>
      <c r="AV189" s="8"/>
      <c r="AW189" s="8"/>
      <c r="AX189" s="8"/>
      <c r="AY189" s="8"/>
      <c r="AZ189" s="8"/>
      <c r="BA189" s="8"/>
      <c r="BB189" s="1"/>
      <c r="BL189" s="58"/>
      <c r="BP189" t="str">
        <f t="shared" si="4"/>
        <v>GhostNormal</v>
      </c>
      <c r="BQ189" t="s">
        <v>2</v>
      </c>
      <c r="BR189">
        <v>3</v>
      </c>
    </row>
    <row r="190" spans="1:70" x14ac:dyDescent="0.25">
      <c r="A190">
        <f t="shared" si="5"/>
        <v>189</v>
      </c>
      <c r="B190" t="s">
        <v>417</v>
      </c>
      <c r="D190" s="1" t="s">
        <v>14</v>
      </c>
      <c r="E190" s="1" t="s">
        <v>1</v>
      </c>
      <c r="F190" s="1" t="s">
        <v>50</v>
      </c>
      <c r="G190" s="1" t="s">
        <v>50</v>
      </c>
      <c r="H190" s="1" t="s">
        <v>50</v>
      </c>
      <c r="I190" s="1" t="s">
        <v>50</v>
      </c>
      <c r="J190" s="1" t="s">
        <v>50</v>
      </c>
      <c r="K190" s="1" t="s">
        <v>50</v>
      </c>
      <c r="L190" s="1" t="s">
        <v>50</v>
      </c>
      <c r="M190" s="1" t="s">
        <v>104</v>
      </c>
      <c r="N190" s="1" t="s">
        <v>50</v>
      </c>
      <c r="O190" s="1" t="s">
        <v>50</v>
      </c>
      <c r="P190" s="1" t="s">
        <v>832</v>
      </c>
      <c r="Q190" s="1" t="s">
        <v>104</v>
      </c>
      <c r="R190" s="1" t="s">
        <v>104</v>
      </c>
      <c r="S190" s="1" t="s">
        <v>104</v>
      </c>
      <c r="T190" s="1" t="s">
        <v>104</v>
      </c>
      <c r="U190" s="1" t="s">
        <v>104</v>
      </c>
      <c r="V190" s="1" t="s">
        <v>104</v>
      </c>
      <c r="W190" s="1" t="s">
        <v>104</v>
      </c>
      <c r="X190" s="1" t="s">
        <v>727</v>
      </c>
      <c r="Y190" s="1"/>
      <c r="Z190" s="8"/>
      <c r="AA190" s="8"/>
      <c r="AB190" s="8"/>
      <c r="AC190" s="8"/>
      <c r="AD190" s="8">
        <v>1</v>
      </c>
      <c r="AE190" s="8"/>
      <c r="AF190" s="8"/>
      <c r="AG190" s="8">
        <v>1</v>
      </c>
      <c r="AH190" s="8">
        <v>1</v>
      </c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>
        <v>1</v>
      </c>
      <c r="AT190" s="8">
        <v>1</v>
      </c>
      <c r="AU190" s="8">
        <v>1</v>
      </c>
      <c r="AV190" s="8"/>
      <c r="AW190" s="8"/>
      <c r="AX190" s="8"/>
      <c r="AY190" s="8"/>
      <c r="AZ190" s="8"/>
      <c r="BA190" s="8"/>
      <c r="BB190" s="1"/>
      <c r="BJ190">
        <v>1</v>
      </c>
      <c r="BK190">
        <v>1</v>
      </c>
      <c r="BL190" s="58"/>
      <c r="BP190" t="str">
        <f t="shared" si="4"/>
        <v>GhostNormal</v>
      </c>
      <c r="BR190">
        <v>3</v>
      </c>
    </row>
    <row r="191" spans="1:70" x14ac:dyDescent="0.25">
      <c r="A191">
        <f t="shared" si="5"/>
        <v>190</v>
      </c>
      <c r="B191" t="s">
        <v>628</v>
      </c>
      <c r="D191" s="1" t="s">
        <v>14</v>
      </c>
      <c r="E191" s="1">
        <v>0</v>
      </c>
      <c r="F191" s="1" t="s">
        <v>50</v>
      </c>
      <c r="G191" s="1" t="s">
        <v>50</v>
      </c>
      <c r="H191" s="1"/>
      <c r="I191" s="1" t="s">
        <v>50</v>
      </c>
      <c r="J191" s="1" t="s">
        <v>50</v>
      </c>
      <c r="K191" s="1" t="s">
        <v>50</v>
      </c>
      <c r="L191" s="1" t="s">
        <v>50</v>
      </c>
      <c r="M191" s="1" t="s">
        <v>50</v>
      </c>
      <c r="N191" s="1" t="s">
        <v>50</v>
      </c>
      <c r="O191" s="1" t="s">
        <v>50</v>
      </c>
      <c r="P191" s="1" t="s">
        <v>832</v>
      </c>
      <c r="Q191" s="1" t="s">
        <v>104</v>
      </c>
      <c r="R191" s="1" t="s">
        <v>104</v>
      </c>
      <c r="S191" s="1" t="s">
        <v>104</v>
      </c>
      <c r="T191" s="1" t="s">
        <v>104</v>
      </c>
      <c r="U191" s="1" t="s">
        <v>104</v>
      </c>
      <c r="V191" s="1" t="s">
        <v>104</v>
      </c>
      <c r="W191" s="1" t="s">
        <v>104</v>
      </c>
      <c r="X191" s="1" t="s">
        <v>729</v>
      </c>
      <c r="Y191" s="1"/>
      <c r="Z191" s="8"/>
      <c r="AA191" s="8"/>
      <c r="AB191" s="8"/>
      <c r="AC191" s="8"/>
      <c r="AD191" s="8"/>
      <c r="AE191" s="8"/>
      <c r="AF191" s="8"/>
      <c r="AG191" s="8"/>
      <c r="AH191" s="8">
        <v>1</v>
      </c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>
        <v>1</v>
      </c>
      <c r="AT191" s="8">
        <v>1</v>
      </c>
      <c r="AU191" s="8"/>
      <c r="AV191" s="8"/>
      <c r="AW191" s="8"/>
      <c r="AX191" s="8"/>
      <c r="AY191" s="8"/>
      <c r="AZ191" s="8"/>
      <c r="BA191" s="8"/>
      <c r="BB191" s="1"/>
      <c r="BL191" s="58"/>
      <c r="BP191" t="str">
        <f t="shared" si="4"/>
        <v>Ghost0</v>
      </c>
      <c r="BQ191" t="s">
        <v>2</v>
      </c>
      <c r="BR191">
        <v>1</v>
      </c>
    </row>
    <row r="192" spans="1:70" x14ac:dyDescent="0.25">
      <c r="A192">
        <f t="shared" si="5"/>
        <v>191</v>
      </c>
      <c r="B192" t="s">
        <v>256</v>
      </c>
      <c r="D192" s="1" t="s">
        <v>8</v>
      </c>
      <c r="E192" s="1">
        <v>0</v>
      </c>
      <c r="F192" s="1" t="s">
        <v>50</v>
      </c>
      <c r="G192" s="1" t="s">
        <v>50</v>
      </c>
      <c r="H192" s="1" t="s">
        <v>50</v>
      </c>
      <c r="I192" s="1" t="s">
        <v>50</v>
      </c>
      <c r="J192" s="1" t="s">
        <v>50</v>
      </c>
      <c r="K192" s="1" t="s">
        <v>50</v>
      </c>
      <c r="L192" s="1"/>
      <c r="M192" s="1" t="s">
        <v>104</v>
      </c>
      <c r="N192" s="1" t="s">
        <v>50</v>
      </c>
      <c r="O192" s="1" t="s">
        <v>50</v>
      </c>
      <c r="P192" s="1" t="s">
        <v>832</v>
      </c>
      <c r="Q192" s="1" t="s">
        <v>104</v>
      </c>
      <c r="R192" s="1" t="s">
        <v>104</v>
      </c>
      <c r="S192" s="1" t="s">
        <v>104</v>
      </c>
      <c r="T192" s="1" t="s">
        <v>104</v>
      </c>
      <c r="U192" s="1" t="s">
        <v>104</v>
      </c>
      <c r="V192" s="1" t="s">
        <v>104</v>
      </c>
      <c r="W192" s="1" t="s">
        <v>104</v>
      </c>
      <c r="X192" s="1" t="s">
        <v>729</v>
      </c>
      <c r="Y192" s="1"/>
      <c r="Z192" s="8"/>
      <c r="AA192" s="8"/>
      <c r="AB192" s="8"/>
      <c r="AC192" s="8"/>
      <c r="AD192" s="8"/>
      <c r="AE192" s="8">
        <v>1</v>
      </c>
      <c r="AF192" s="8">
        <v>1</v>
      </c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1"/>
      <c r="BJ192">
        <v>1</v>
      </c>
      <c r="BK192">
        <v>2</v>
      </c>
      <c r="BL192" s="58"/>
      <c r="BP192" t="str">
        <f t="shared" si="4"/>
        <v>Ground0</v>
      </c>
      <c r="BR192">
        <v>1</v>
      </c>
    </row>
    <row r="193" spans="1:70" x14ac:dyDescent="0.25">
      <c r="A193">
        <f t="shared" si="5"/>
        <v>192</v>
      </c>
      <c r="B193" t="s">
        <v>257</v>
      </c>
      <c r="D193" s="1" t="s">
        <v>16</v>
      </c>
      <c r="E193" s="1">
        <v>0</v>
      </c>
      <c r="F193" s="1" t="s">
        <v>50</v>
      </c>
      <c r="G193" s="1" t="s">
        <v>50</v>
      </c>
      <c r="H193" s="1" t="s">
        <v>50</v>
      </c>
      <c r="I193" s="1" t="s">
        <v>50</v>
      </c>
      <c r="J193" s="1" t="s">
        <v>50</v>
      </c>
      <c r="K193" s="1" t="s">
        <v>50</v>
      </c>
      <c r="L193" s="1"/>
      <c r="M193" s="1" t="s">
        <v>104</v>
      </c>
      <c r="N193" s="1" t="s">
        <v>50</v>
      </c>
      <c r="O193" s="1" t="s">
        <v>50</v>
      </c>
      <c r="P193" s="1" t="s">
        <v>832</v>
      </c>
      <c r="Q193" s="1" t="s">
        <v>104</v>
      </c>
      <c r="R193" s="1" t="s">
        <v>104</v>
      </c>
      <c r="S193" s="1" t="s">
        <v>104</v>
      </c>
      <c r="T193" s="1" t="s">
        <v>104</v>
      </c>
      <c r="U193" s="1" t="s">
        <v>104</v>
      </c>
      <c r="V193" s="1" t="s">
        <v>104</v>
      </c>
      <c r="W193" s="1" t="s">
        <v>104</v>
      </c>
      <c r="X193" s="1" t="s">
        <v>729</v>
      </c>
      <c r="Y193" s="1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>
        <v>1</v>
      </c>
      <c r="AR193" s="8"/>
      <c r="AS193" s="8"/>
      <c r="AT193" s="8"/>
      <c r="AU193" s="8"/>
      <c r="AV193" s="8"/>
      <c r="AW193" s="8"/>
      <c r="AX193" s="8">
        <v>1</v>
      </c>
      <c r="AY193" s="8"/>
      <c r="AZ193" s="8"/>
      <c r="BA193" s="8"/>
      <c r="BB193" s="1"/>
      <c r="BJ193">
        <v>6</v>
      </c>
      <c r="BK193">
        <v>3</v>
      </c>
      <c r="BL193" s="58">
        <v>1</v>
      </c>
      <c r="BP193" t="str">
        <f t="shared" si="4"/>
        <v>Flying0</v>
      </c>
      <c r="BR193">
        <v>1</v>
      </c>
    </row>
    <row r="194" spans="1:70" x14ac:dyDescent="0.25">
      <c r="A194">
        <f t="shared" si="5"/>
        <v>193</v>
      </c>
      <c r="B194" t="s">
        <v>258</v>
      </c>
      <c r="D194" s="1" t="s">
        <v>6</v>
      </c>
      <c r="E194" s="1">
        <v>0</v>
      </c>
      <c r="F194" s="1" t="s">
        <v>50</v>
      </c>
      <c r="G194" s="1" t="s">
        <v>50</v>
      </c>
      <c r="H194" s="1" t="s">
        <v>50</v>
      </c>
      <c r="I194" s="1" t="s">
        <v>50</v>
      </c>
      <c r="J194" s="1" t="s">
        <v>50</v>
      </c>
      <c r="K194" s="1" t="s">
        <v>50</v>
      </c>
      <c r="L194" s="1"/>
      <c r="M194" s="1" t="s">
        <v>104</v>
      </c>
      <c r="N194" s="1" t="s">
        <v>50</v>
      </c>
      <c r="O194" s="1" t="s">
        <v>50</v>
      </c>
      <c r="P194" s="1" t="s">
        <v>832</v>
      </c>
      <c r="Q194" s="1" t="s">
        <v>104</v>
      </c>
      <c r="R194" s="1" t="s">
        <v>104</v>
      </c>
      <c r="S194" s="1" t="s">
        <v>104</v>
      </c>
      <c r="T194" s="1" t="s">
        <v>104</v>
      </c>
      <c r="U194" s="1" t="s">
        <v>104</v>
      </c>
      <c r="V194" s="1" t="s">
        <v>104</v>
      </c>
      <c r="W194" s="1" t="s">
        <v>104</v>
      </c>
      <c r="X194" s="1" t="s">
        <v>729</v>
      </c>
      <c r="Y194" s="1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>
        <v>1</v>
      </c>
      <c r="AT194" s="8"/>
      <c r="AU194" s="8"/>
      <c r="AV194" s="8"/>
      <c r="AW194" s="8"/>
      <c r="AX194" s="8"/>
      <c r="AY194" s="8"/>
      <c r="AZ194" s="8"/>
      <c r="BA194" s="8"/>
      <c r="BB194" s="1"/>
      <c r="BJ194">
        <v>2</v>
      </c>
      <c r="BL194" s="58"/>
      <c r="BP194" t="str">
        <f t="shared" ref="BP194:BP257" si="6">D194&amp;E194</f>
        <v>Steel0</v>
      </c>
      <c r="BR194">
        <v>1</v>
      </c>
    </row>
    <row r="195" spans="1:70" x14ac:dyDescent="0.25">
      <c r="A195">
        <f t="shared" ref="A195:A206" si="7">A194+1</f>
        <v>194</v>
      </c>
      <c r="B195" t="s">
        <v>259</v>
      </c>
      <c r="D195" s="1" t="s">
        <v>10</v>
      </c>
      <c r="E195" s="1">
        <v>0</v>
      </c>
      <c r="F195" s="1" t="s">
        <v>50</v>
      </c>
      <c r="G195" s="1" t="s">
        <v>50</v>
      </c>
      <c r="H195" s="1" t="s">
        <v>50</v>
      </c>
      <c r="I195" s="1" t="s">
        <v>50</v>
      </c>
      <c r="J195" s="1" t="s">
        <v>50</v>
      </c>
      <c r="K195" s="1" t="s">
        <v>50</v>
      </c>
      <c r="L195" s="1"/>
      <c r="M195" s="1" t="s">
        <v>104</v>
      </c>
      <c r="N195" s="1" t="s">
        <v>50</v>
      </c>
      <c r="O195" s="1" t="s">
        <v>50</v>
      </c>
      <c r="P195" s="1" t="s">
        <v>832</v>
      </c>
      <c r="Q195" s="1" t="s">
        <v>104</v>
      </c>
      <c r="R195" s="1" t="s">
        <v>104</v>
      </c>
      <c r="S195" s="1" t="s">
        <v>104</v>
      </c>
      <c r="T195" s="1" t="s">
        <v>104</v>
      </c>
      <c r="U195" s="1" t="s">
        <v>104</v>
      </c>
      <c r="V195" s="1" t="s">
        <v>104</v>
      </c>
      <c r="W195" s="1" t="s">
        <v>104</v>
      </c>
      <c r="X195" s="1" t="s">
        <v>729</v>
      </c>
      <c r="Y195" s="1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>
        <v>1</v>
      </c>
      <c r="AT195" s="8">
        <v>1</v>
      </c>
      <c r="AU195" s="8"/>
      <c r="AV195" s="8"/>
      <c r="AW195" s="8"/>
      <c r="AX195" s="8"/>
      <c r="AY195" s="8"/>
      <c r="AZ195" s="8"/>
      <c r="BA195" s="8"/>
      <c r="BB195" s="1"/>
      <c r="BJ195">
        <v>4</v>
      </c>
      <c r="BL195" s="58"/>
      <c r="BP195" t="str">
        <f t="shared" si="6"/>
        <v>Poison0</v>
      </c>
      <c r="BR195">
        <v>2</v>
      </c>
    </row>
    <row r="196" spans="1:70" x14ac:dyDescent="0.25">
      <c r="A196">
        <f t="shared" si="7"/>
        <v>195</v>
      </c>
      <c r="B196" t="s">
        <v>260</v>
      </c>
      <c r="D196" s="1" t="s">
        <v>18</v>
      </c>
      <c r="E196" s="1">
        <v>0</v>
      </c>
      <c r="F196" s="1" t="s">
        <v>50</v>
      </c>
      <c r="G196" s="1" t="s">
        <v>50</v>
      </c>
      <c r="H196" s="1" t="s">
        <v>50</v>
      </c>
      <c r="I196" s="1" t="s">
        <v>50</v>
      </c>
      <c r="J196" s="1" t="s">
        <v>50</v>
      </c>
      <c r="K196" s="1" t="s">
        <v>50</v>
      </c>
      <c r="L196" s="1"/>
      <c r="M196" s="1" t="s">
        <v>104</v>
      </c>
      <c r="N196" s="1" t="s">
        <v>50</v>
      </c>
      <c r="O196" s="1" t="s">
        <v>50</v>
      </c>
      <c r="P196" s="1" t="s">
        <v>832</v>
      </c>
      <c r="Q196" s="1" t="s">
        <v>104</v>
      </c>
      <c r="R196" s="1" t="s">
        <v>104</v>
      </c>
      <c r="S196" s="1" t="s">
        <v>104</v>
      </c>
      <c r="T196" s="1" t="s">
        <v>104</v>
      </c>
      <c r="U196" s="1" t="s">
        <v>104</v>
      </c>
      <c r="V196" s="1" t="s">
        <v>104</v>
      </c>
      <c r="W196" s="1" t="s">
        <v>104</v>
      </c>
      <c r="X196" s="1" t="s">
        <v>729</v>
      </c>
      <c r="Y196" s="1"/>
      <c r="Z196" s="8"/>
      <c r="AA196" s="8"/>
      <c r="AB196" s="8"/>
      <c r="AC196" s="8"/>
      <c r="AD196" s="8"/>
      <c r="AE196" s="8"/>
      <c r="AF196" s="8"/>
      <c r="AG196" s="8">
        <v>1</v>
      </c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>
        <v>1</v>
      </c>
      <c r="AT196" s="8"/>
      <c r="AU196" s="8"/>
      <c r="AV196" s="8"/>
      <c r="AW196" s="8"/>
      <c r="AX196" s="8"/>
      <c r="AY196" s="8"/>
      <c r="AZ196" s="8"/>
      <c r="BA196" s="8"/>
      <c r="BB196" s="1"/>
      <c r="BJ196">
        <v>6</v>
      </c>
      <c r="BK196">
        <v>1</v>
      </c>
      <c r="BL196" s="58"/>
      <c r="BP196" t="str">
        <f t="shared" si="6"/>
        <v>Fighting0</v>
      </c>
      <c r="BR196">
        <v>2</v>
      </c>
    </row>
    <row r="197" spans="1:70" x14ac:dyDescent="0.25">
      <c r="A197">
        <f t="shared" si="7"/>
        <v>196</v>
      </c>
      <c r="B197" t="s">
        <v>261</v>
      </c>
      <c r="D197" s="1" t="s">
        <v>17</v>
      </c>
      <c r="E197" s="1">
        <v>0</v>
      </c>
      <c r="F197" s="1" t="s">
        <v>50</v>
      </c>
      <c r="G197" s="1" t="s">
        <v>50</v>
      </c>
      <c r="H197" s="1" t="s">
        <v>50</v>
      </c>
      <c r="I197" s="1" t="s">
        <v>50</v>
      </c>
      <c r="J197" s="1" t="s">
        <v>50</v>
      </c>
      <c r="K197" s="1" t="s">
        <v>50</v>
      </c>
      <c r="L197" s="1"/>
      <c r="M197" s="1" t="s">
        <v>104</v>
      </c>
      <c r="N197" s="1" t="s">
        <v>50</v>
      </c>
      <c r="O197" s="1" t="s">
        <v>50</v>
      </c>
      <c r="P197" s="1" t="s">
        <v>832</v>
      </c>
      <c r="Q197" s="1" t="s">
        <v>104</v>
      </c>
      <c r="R197" s="1" t="s">
        <v>104</v>
      </c>
      <c r="S197" s="1" t="s">
        <v>104</v>
      </c>
      <c r="T197" s="1" t="s">
        <v>104</v>
      </c>
      <c r="U197" s="1" t="s">
        <v>104</v>
      </c>
      <c r="V197" s="1" t="s">
        <v>104</v>
      </c>
      <c r="W197" s="1" t="s">
        <v>104</v>
      </c>
      <c r="X197" s="1" t="s">
        <v>729</v>
      </c>
      <c r="Y197" s="1"/>
      <c r="Z197" s="8"/>
      <c r="AA197" s="8"/>
      <c r="AB197" s="8">
        <v>1</v>
      </c>
      <c r="AC197" s="8">
        <v>1</v>
      </c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>
        <v>1</v>
      </c>
      <c r="BA197" s="8"/>
      <c r="BB197" s="1"/>
      <c r="BJ197">
        <v>4</v>
      </c>
      <c r="BK197">
        <v>3</v>
      </c>
      <c r="BL197" s="58"/>
      <c r="BP197" t="str">
        <f t="shared" si="6"/>
        <v>Bug0</v>
      </c>
      <c r="BR197">
        <v>4</v>
      </c>
    </row>
    <row r="198" spans="1:70" x14ac:dyDescent="0.25">
      <c r="A198">
        <f t="shared" si="7"/>
        <v>197</v>
      </c>
      <c r="B198" t="s">
        <v>262</v>
      </c>
      <c r="D198" s="1" t="s">
        <v>9</v>
      </c>
      <c r="E198" s="1">
        <v>0</v>
      </c>
      <c r="F198" s="1" t="s">
        <v>50</v>
      </c>
      <c r="G198" s="1" t="s">
        <v>50</v>
      </c>
      <c r="H198" s="1" t="s">
        <v>50</v>
      </c>
      <c r="I198" s="1" t="s">
        <v>50</v>
      </c>
      <c r="J198" s="1" t="s">
        <v>50</v>
      </c>
      <c r="K198" s="1" t="s">
        <v>50</v>
      </c>
      <c r="L198" s="1" t="s">
        <v>50</v>
      </c>
      <c r="M198" s="1" t="s">
        <v>104</v>
      </c>
      <c r="N198" s="1" t="s">
        <v>50</v>
      </c>
      <c r="O198" s="1" t="s">
        <v>50</v>
      </c>
      <c r="P198" s="1" t="s">
        <v>832</v>
      </c>
      <c r="Q198" s="1" t="s">
        <v>104</v>
      </c>
      <c r="R198" s="1" t="s">
        <v>104</v>
      </c>
      <c r="S198" s="1" t="s">
        <v>104</v>
      </c>
      <c r="T198" s="1" t="s">
        <v>104</v>
      </c>
      <c r="U198" s="1" t="s">
        <v>104</v>
      </c>
      <c r="V198" s="1" t="s">
        <v>104</v>
      </c>
      <c r="W198" s="1" t="s">
        <v>104</v>
      </c>
      <c r="X198" s="1" t="s">
        <v>729</v>
      </c>
      <c r="Y198" s="1"/>
      <c r="Z198" s="8"/>
      <c r="AA198" s="8"/>
      <c r="AB198" s="8"/>
      <c r="AC198" s="8"/>
      <c r="AD198" s="8">
        <v>1</v>
      </c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1"/>
      <c r="BJ198">
        <v>3</v>
      </c>
      <c r="BL198" s="58"/>
      <c r="BP198" t="str">
        <f t="shared" si="6"/>
        <v>Rock0</v>
      </c>
      <c r="BR198">
        <v>4</v>
      </c>
    </row>
    <row r="199" spans="1:70" x14ac:dyDescent="0.25">
      <c r="A199">
        <f t="shared" si="7"/>
        <v>198</v>
      </c>
      <c r="B199" t="s">
        <v>263</v>
      </c>
      <c r="D199" s="1" t="s">
        <v>12</v>
      </c>
      <c r="E199" s="1">
        <v>0</v>
      </c>
      <c r="F199" s="1" t="s">
        <v>50</v>
      </c>
      <c r="G199" s="1" t="s">
        <v>50</v>
      </c>
      <c r="H199" s="1" t="s">
        <v>50</v>
      </c>
      <c r="I199" s="1" t="s">
        <v>50</v>
      </c>
      <c r="J199" s="1" t="s">
        <v>50</v>
      </c>
      <c r="K199" s="1" t="s">
        <v>50</v>
      </c>
      <c r="L199" s="1"/>
      <c r="M199" s="1" t="s">
        <v>104</v>
      </c>
      <c r="N199" s="1" t="s">
        <v>50</v>
      </c>
      <c r="O199" s="1" t="s">
        <v>50</v>
      </c>
      <c r="P199" s="1" t="s">
        <v>832</v>
      </c>
      <c r="Q199" s="1" t="s">
        <v>104</v>
      </c>
      <c r="R199" s="1" t="s">
        <v>104</v>
      </c>
      <c r="S199" s="1" t="s">
        <v>104</v>
      </c>
      <c r="T199" s="1" t="s">
        <v>104</v>
      </c>
      <c r="U199" s="1" t="s">
        <v>104</v>
      </c>
      <c r="V199" s="1" t="s">
        <v>104</v>
      </c>
      <c r="W199" s="1" t="s">
        <v>104</v>
      </c>
      <c r="X199" s="1" t="s">
        <v>729</v>
      </c>
      <c r="Y199" s="1"/>
      <c r="Z199" s="8"/>
      <c r="AA199" s="8"/>
      <c r="AB199" s="8"/>
      <c r="AC199" s="8"/>
      <c r="AD199" s="8"/>
      <c r="AE199" s="8"/>
      <c r="AF199" s="8"/>
      <c r="AG199" s="8">
        <v>1</v>
      </c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>
        <v>1</v>
      </c>
      <c r="AV199" s="8"/>
      <c r="AW199" s="8"/>
      <c r="AX199" s="8">
        <v>1</v>
      </c>
      <c r="AY199" s="8">
        <v>1</v>
      </c>
      <c r="AZ199" s="8"/>
      <c r="BA199" s="8"/>
      <c r="BB199" s="1"/>
      <c r="BJ199">
        <v>5</v>
      </c>
      <c r="BK199">
        <v>1</v>
      </c>
      <c r="BL199" s="58">
        <v>1</v>
      </c>
      <c r="BP199" t="str">
        <f t="shared" si="6"/>
        <v>Dragon0</v>
      </c>
      <c r="BR199">
        <v>6</v>
      </c>
    </row>
    <row r="200" spans="1:70" x14ac:dyDescent="0.25">
      <c r="A200">
        <f t="shared" si="7"/>
        <v>199</v>
      </c>
      <c r="B200" t="s">
        <v>418</v>
      </c>
      <c r="D200" s="1" t="s">
        <v>1</v>
      </c>
      <c r="E200" s="1" t="s">
        <v>13</v>
      </c>
      <c r="F200" s="1" t="s">
        <v>50</v>
      </c>
      <c r="G200" s="1" t="s">
        <v>50</v>
      </c>
      <c r="H200" s="1"/>
      <c r="I200" s="1" t="s">
        <v>50</v>
      </c>
      <c r="J200" s="1" t="s">
        <v>50</v>
      </c>
      <c r="K200" s="1" t="s">
        <v>50</v>
      </c>
      <c r="L200" s="1"/>
      <c r="M200" s="1" t="s">
        <v>50</v>
      </c>
      <c r="N200" s="1" t="s">
        <v>50</v>
      </c>
      <c r="O200" s="1" t="s">
        <v>50</v>
      </c>
      <c r="P200" s="13" t="s">
        <v>810</v>
      </c>
      <c r="Q200" s="1" t="s">
        <v>104</v>
      </c>
      <c r="R200" s="1" t="s">
        <v>104</v>
      </c>
      <c r="S200" s="1" t="s">
        <v>104</v>
      </c>
      <c r="T200" s="1" t="s">
        <v>104</v>
      </c>
      <c r="U200" s="1" t="s">
        <v>104</v>
      </c>
      <c r="V200" s="1" t="s">
        <v>104</v>
      </c>
      <c r="W200" s="1" t="s">
        <v>104</v>
      </c>
      <c r="X200" s="1" t="s">
        <v>727</v>
      </c>
      <c r="Y200" s="1"/>
      <c r="Z200" s="8">
        <v>1</v>
      </c>
      <c r="AA200" s="8">
        <v>1</v>
      </c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1"/>
      <c r="BL200" s="58"/>
      <c r="BP200" t="str">
        <f t="shared" si="6"/>
        <v>NormalFire</v>
      </c>
      <c r="BQ200" t="s">
        <v>2</v>
      </c>
      <c r="BR200">
        <v>5</v>
      </c>
    </row>
    <row r="201" spans="1:70" x14ac:dyDescent="0.25">
      <c r="A201">
        <f t="shared" si="7"/>
        <v>200</v>
      </c>
      <c r="B201" t="s">
        <v>264</v>
      </c>
      <c r="D201" s="1" t="s">
        <v>1</v>
      </c>
      <c r="E201" s="1" t="s">
        <v>13</v>
      </c>
      <c r="F201" s="1" t="s">
        <v>50</v>
      </c>
      <c r="G201" s="1" t="s">
        <v>50</v>
      </c>
      <c r="H201" s="1" t="s">
        <v>50</v>
      </c>
      <c r="I201" s="1" t="s">
        <v>50</v>
      </c>
      <c r="J201" s="1" t="s">
        <v>50</v>
      </c>
      <c r="K201" s="1" t="s">
        <v>50</v>
      </c>
      <c r="L201" s="1"/>
      <c r="M201" s="1" t="s">
        <v>104</v>
      </c>
      <c r="N201" s="1" t="s">
        <v>50</v>
      </c>
      <c r="O201" s="1" t="s">
        <v>50</v>
      </c>
      <c r="P201" s="13" t="s">
        <v>810</v>
      </c>
      <c r="Q201" s="1" t="s">
        <v>50</v>
      </c>
      <c r="R201" s="1" t="s">
        <v>50</v>
      </c>
      <c r="S201" s="1" t="s">
        <v>50</v>
      </c>
      <c r="T201" s="1" t="s">
        <v>50</v>
      </c>
      <c r="U201" s="1" t="s">
        <v>50</v>
      </c>
      <c r="V201" s="1" t="s">
        <v>50</v>
      </c>
      <c r="W201" s="1" t="s">
        <v>50</v>
      </c>
      <c r="X201" s="1" t="s">
        <v>727</v>
      </c>
      <c r="Y201" s="1"/>
      <c r="Z201" s="8">
        <v>1</v>
      </c>
      <c r="AA201" s="8">
        <v>1</v>
      </c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1"/>
      <c r="BJ201">
        <v>2</v>
      </c>
      <c r="BK201">
        <v>1</v>
      </c>
      <c r="BL201" s="58"/>
      <c r="BP201" t="str">
        <f t="shared" si="6"/>
        <v>NormalFire</v>
      </c>
      <c r="BR201">
        <v>5</v>
      </c>
    </row>
    <row r="202" spans="1:70" x14ac:dyDescent="0.25">
      <c r="A202">
        <f t="shared" si="7"/>
        <v>201</v>
      </c>
      <c r="B202" t="s">
        <v>265</v>
      </c>
      <c r="D202" s="1" t="s">
        <v>17</v>
      </c>
      <c r="E202" s="1" t="s">
        <v>9</v>
      </c>
      <c r="F202" s="1" t="s">
        <v>50</v>
      </c>
      <c r="G202" s="1" t="s">
        <v>50</v>
      </c>
      <c r="H202" s="1"/>
      <c r="I202" s="1" t="s">
        <v>50</v>
      </c>
      <c r="J202" s="1" t="s">
        <v>50</v>
      </c>
      <c r="K202" s="1" t="s">
        <v>50</v>
      </c>
      <c r="L202" s="1" t="s">
        <v>50</v>
      </c>
      <c r="M202" s="1" t="s">
        <v>50</v>
      </c>
      <c r="N202" s="1" t="s">
        <v>50</v>
      </c>
      <c r="O202" s="1" t="s">
        <v>50</v>
      </c>
      <c r="P202" s="13" t="s">
        <v>1708</v>
      </c>
      <c r="Q202" s="1" t="s">
        <v>104</v>
      </c>
      <c r="R202" s="1" t="s">
        <v>104</v>
      </c>
      <c r="S202" s="1" t="s">
        <v>104</v>
      </c>
      <c r="T202" s="1" t="s">
        <v>104</v>
      </c>
      <c r="U202" s="1" t="s">
        <v>104</v>
      </c>
      <c r="V202" s="1" t="s">
        <v>104</v>
      </c>
      <c r="W202" s="1" t="s">
        <v>104</v>
      </c>
      <c r="X202" s="1" t="s">
        <v>727</v>
      </c>
      <c r="Y202" s="1"/>
      <c r="Z202" s="8"/>
      <c r="AA202" s="8"/>
      <c r="AB202" s="8"/>
      <c r="AC202" s="8"/>
      <c r="AD202" s="8">
        <v>1</v>
      </c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>
        <v>1</v>
      </c>
      <c r="AW202" s="8"/>
      <c r="AX202" s="8">
        <v>1</v>
      </c>
      <c r="AY202" s="8">
        <v>1</v>
      </c>
      <c r="AZ202" s="8"/>
      <c r="BA202" s="8"/>
      <c r="BB202" s="1"/>
      <c r="BL202" s="58"/>
      <c r="BP202" t="str">
        <f t="shared" si="6"/>
        <v>BugRock</v>
      </c>
      <c r="BQ202" t="s">
        <v>2</v>
      </c>
      <c r="BR202">
        <v>3</v>
      </c>
    </row>
    <row r="203" spans="1:70" x14ac:dyDescent="0.25">
      <c r="A203">
        <f t="shared" si="7"/>
        <v>202</v>
      </c>
      <c r="B203" t="s">
        <v>266</v>
      </c>
      <c r="D203" s="1" t="s">
        <v>17</v>
      </c>
      <c r="E203" s="1" t="s">
        <v>9</v>
      </c>
      <c r="F203" s="1" t="s">
        <v>50</v>
      </c>
      <c r="G203" s="1" t="s">
        <v>50</v>
      </c>
      <c r="H203" s="1"/>
      <c r="I203" s="1" t="s">
        <v>50</v>
      </c>
      <c r="J203" s="1" t="s">
        <v>50</v>
      </c>
      <c r="K203" s="1" t="s">
        <v>50</v>
      </c>
      <c r="L203" s="1"/>
      <c r="M203" s="1" t="s">
        <v>104</v>
      </c>
      <c r="N203" s="1" t="s">
        <v>50</v>
      </c>
      <c r="O203" s="1" t="s">
        <v>50</v>
      </c>
      <c r="P203" s="13" t="s">
        <v>1708</v>
      </c>
      <c r="Q203" s="1" t="s">
        <v>104</v>
      </c>
      <c r="R203" s="1" t="s">
        <v>104</v>
      </c>
      <c r="S203" s="1" t="s">
        <v>104</v>
      </c>
      <c r="T203" s="1" t="s">
        <v>104</v>
      </c>
      <c r="U203" s="1" t="s">
        <v>104</v>
      </c>
      <c r="V203" s="1" t="s">
        <v>104</v>
      </c>
      <c r="W203" s="1" t="s">
        <v>104</v>
      </c>
      <c r="X203" s="1" t="s">
        <v>727</v>
      </c>
      <c r="Y203" s="1"/>
      <c r="Z203" s="8"/>
      <c r="AA203" s="8"/>
      <c r="AB203" s="8"/>
      <c r="AC203" s="8"/>
      <c r="AD203" s="8">
        <v>1</v>
      </c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>
        <v>1</v>
      </c>
      <c r="AW203" s="8"/>
      <c r="AX203" s="8">
        <v>1</v>
      </c>
      <c r="AY203" s="8">
        <v>1</v>
      </c>
      <c r="AZ203" s="8"/>
      <c r="BA203" s="8"/>
      <c r="BB203" s="1"/>
      <c r="BL203" s="58"/>
      <c r="BP203" t="str">
        <f t="shared" si="6"/>
        <v>BugRock</v>
      </c>
      <c r="BQ203" t="s">
        <v>2</v>
      </c>
      <c r="BR203">
        <v>3</v>
      </c>
    </row>
    <row r="204" spans="1:70" x14ac:dyDescent="0.25">
      <c r="A204">
        <f t="shared" si="7"/>
        <v>203</v>
      </c>
      <c r="B204" t="s">
        <v>267</v>
      </c>
      <c r="D204" s="1" t="s">
        <v>17</v>
      </c>
      <c r="E204" s="1" t="s">
        <v>9</v>
      </c>
      <c r="F204" s="1" t="s">
        <v>50</v>
      </c>
      <c r="G204" s="1" t="s">
        <v>50</v>
      </c>
      <c r="H204" s="1" t="s">
        <v>50</v>
      </c>
      <c r="I204" s="1" t="s">
        <v>50</v>
      </c>
      <c r="J204" s="1" t="s">
        <v>50</v>
      </c>
      <c r="K204" s="1" t="s">
        <v>50</v>
      </c>
      <c r="L204" s="1" t="s">
        <v>50</v>
      </c>
      <c r="M204" s="1" t="s">
        <v>104</v>
      </c>
      <c r="N204" s="1" t="s">
        <v>50</v>
      </c>
      <c r="O204" s="1" t="s">
        <v>50</v>
      </c>
      <c r="P204" s="13" t="s">
        <v>1708</v>
      </c>
      <c r="Q204" s="1" t="s">
        <v>50</v>
      </c>
      <c r="R204" s="1" t="s">
        <v>50</v>
      </c>
      <c r="S204" s="1" t="s">
        <v>50</v>
      </c>
      <c r="T204" s="1" t="s">
        <v>50</v>
      </c>
      <c r="U204" s="1" t="s">
        <v>50</v>
      </c>
      <c r="V204" s="1" t="s">
        <v>50</v>
      </c>
      <c r="W204" s="1" t="s">
        <v>50</v>
      </c>
      <c r="X204" s="1" t="s">
        <v>727</v>
      </c>
      <c r="Y204" s="1"/>
      <c r="Z204" s="8"/>
      <c r="AA204" s="8"/>
      <c r="AB204" s="8"/>
      <c r="AC204" s="8"/>
      <c r="AD204" s="8">
        <v>1</v>
      </c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>
        <v>1</v>
      </c>
      <c r="AW204" s="8"/>
      <c r="AX204" s="8">
        <v>1</v>
      </c>
      <c r="AY204" s="8">
        <v>1</v>
      </c>
      <c r="AZ204" s="8"/>
      <c r="BA204" s="8"/>
      <c r="BB204" s="1"/>
      <c r="BJ204">
        <v>5</v>
      </c>
      <c r="BK204">
        <v>3</v>
      </c>
      <c r="BL204" s="58"/>
      <c r="BP204" t="str">
        <f t="shared" si="6"/>
        <v>BugRock</v>
      </c>
      <c r="BR204">
        <v>3</v>
      </c>
    </row>
    <row r="205" spans="1:70" x14ac:dyDescent="0.25">
      <c r="A205">
        <f t="shared" si="7"/>
        <v>204</v>
      </c>
      <c r="B205" t="s">
        <v>268</v>
      </c>
      <c r="D205" s="1" t="s">
        <v>12</v>
      </c>
      <c r="E205" s="1" t="s">
        <v>1</v>
      </c>
      <c r="F205" s="1" t="s">
        <v>50</v>
      </c>
      <c r="G205" s="1" t="s">
        <v>50</v>
      </c>
      <c r="H205" s="1"/>
      <c r="I205" s="1" t="s">
        <v>50</v>
      </c>
      <c r="J205" s="1" t="s">
        <v>50</v>
      </c>
      <c r="K205" s="1" t="s">
        <v>50</v>
      </c>
      <c r="L205" s="1"/>
      <c r="M205" s="1" t="s">
        <v>50</v>
      </c>
      <c r="N205" s="1" t="s">
        <v>50</v>
      </c>
      <c r="O205" s="1" t="s">
        <v>50</v>
      </c>
      <c r="P205" s="1" t="s">
        <v>832</v>
      </c>
      <c r="Q205" s="1" t="s">
        <v>104</v>
      </c>
      <c r="R205" s="1" t="s">
        <v>104</v>
      </c>
      <c r="S205" s="1" t="s">
        <v>104</v>
      </c>
      <c r="T205" s="1" t="s">
        <v>104</v>
      </c>
      <c r="U205" s="1" t="s">
        <v>104</v>
      </c>
      <c r="V205" s="1" t="s">
        <v>104</v>
      </c>
      <c r="W205" s="1" t="s">
        <v>104</v>
      </c>
      <c r="X205" s="1" t="s">
        <v>2505</v>
      </c>
      <c r="Y205" s="1"/>
      <c r="Z205" s="8">
        <v>1</v>
      </c>
      <c r="AA205" s="8">
        <v>1</v>
      </c>
      <c r="AB205" s="8">
        <v>1</v>
      </c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>
        <v>1</v>
      </c>
      <c r="AY205" s="8">
        <v>1</v>
      </c>
      <c r="AZ205" s="8">
        <v>1</v>
      </c>
      <c r="BA205" s="8"/>
      <c r="BB205" s="1"/>
      <c r="BK205">
        <v>1</v>
      </c>
      <c r="BL205" s="58"/>
      <c r="BP205" t="str">
        <f t="shared" si="6"/>
        <v>DragonNormal</v>
      </c>
      <c r="BQ205" t="s">
        <v>2</v>
      </c>
      <c r="BR205">
        <v>4</v>
      </c>
    </row>
    <row r="206" spans="1:70" x14ac:dyDescent="0.25">
      <c r="A206">
        <f t="shared" si="7"/>
        <v>205</v>
      </c>
      <c r="B206" t="s">
        <v>419</v>
      </c>
      <c r="D206" s="1" t="s">
        <v>12</v>
      </c>
      <c r="E206" s="1" t="s">
        <v>1</v>
      </c>
      <c r="F206" s="1" t="s">
        <v>50</v>
      </c>
      <c r="G206" s="1" t="s">
        <v>50</v>
      </c>
      <c r="H206" s="1" t="s">
        <v>50</v>
      </c>
      <c r="I206" s="1" t="s">
        <v>50</v>
      </c>
      <c r="J206" s="1" t="s">
        <v>50</v>
      </c>
      <c r="K206" s="1" t="s">
        <v>50</v>
      </c>
      <c r="L206" s="1"/>
      <c r="M206" s="1" t="s">
        <v>104</v>
      </c>
      <c r="N206" s="1" t="s">
        <v>50</v>
      </c>
      <c r="O206" s="1" t="s">
        <v>50</v>
      </c>
      <c r="P206" s="1" t="s">
        <v>832</v>
      </c>
      <c r="Q206" s="1" t="s">
        <v>104</v>
      </c>
      <c r="R206" s="1" t="s">
        <v>104</v>
      </c>
      <c r="S206" s="1" t="s">
        <v>104</v>
      </c>
      <c r="T206" s="1" t="s">
        <v>104</v>
      </c>
      <c r="U206" s="1" t="s">
        <v>104</v>
      </c>
      <c r="V206" s="1" t="s">
        <v>104</v>
      </c>
      <c r="W206" s="1" t="s">
        <v>104</v>
      </c>
      <c r="X206" s="1" t="s">
        <v>2505</v>
      </c>
      <c r="Y206" s="1"/>
      <c r="Z206" s="8">
        <v>1</v>
      </c>
      <c r="AA206" s="8">
        <v>1</v>
      </c>
      <c r="AB206" s="8">
        <v>1</v>
      </c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>
        <v>1</v>
      </c>
      <c r="AY206" s="8">
        <v>1</v>
      </c>
      <c r="AZ206" s="8">
        <v>1</v>
      </c>
      <c r="BA206" s="8"/>
      <c r="BB206" s="1"/>
      <c r="BJ206">
        <v>1</v>
      </c>
      <c r="BL206" s="58"/>
      <c r="BP206" t="str">
        <f t="shared" si="6"/>
        <v>DragonNormal</v>
      </c>
      <c r="BR206">
        <v>4</v>
      </c>
    </row>
    <row r="207" spans="1:70" x14ac:dyDescent="0.25">
      <c r="A207" s="1" t="s">
        <v>50</v>
      </c>
      <c r="B207" t="s">
        <v>268</v>
      </c>
      <c r="C207" t="s">
        <v>2557</v>
      </c>
      <c r="D207" s="1" t="s">
        <v>12</v>
      </c>
      <c r="E207" s="1" t="s">
        <v>15</v>
      </c>
      <c r="F207" s="1" t="s">
        <v>50</v>
      </c>
      <c r="G207" s="1" t="s">
        <v>50</v>
      </c>
      <c r="H207" s="1"/>
      <c r="I207" s="1" t="s">
        <v>50</v>
      </c>
      <c r="J207" s="1" t="s">
        <v>50</v>
      </c>
      <c r="K207" s="1" t="s">
        <v>50</v>
      </c>
      <c r="L207" s="1"/>
      <c r="M207" s="1" t="s">
        <v>50</v>
      </c>
      <c r="N207" s="1" t="s">
        <v>50</v>
      </c>
      <c r="O207" s="1" t="s">
        <v>50</v>
      </c>
      <c r="P207" s="1" t="s">
        <v>832</v>
      </c>
      <c r="Q207" s="1" t="s">
        <v>104</v>
      </c>
      <c r="R207" s="1" t="s">
        <v>104</v>
      </c>
      <c r="S207" s="1" t="s">
        <v>104</v>
      </c>
      <c r="T207" s="1" t="s">
        <v>104</v>
      </c>
      <c r="U207" s="1" t="s">
        <v>104</v>
      </c>
      <c r="V207" s="1" t="s">
        <v>104</v>
      </c>
      <c r="W207" s="1" t="s">
        <v>104</v>
      </c>
      <c r="X207" s="1" t="s">
        <v>2505</v>
      </c>
      <c r="Y207" s="1"/>
      <c r="Z207" s="8"/>
      <c r="AA207" s="8"/>
      <c r="AB207" s="8"/>
      <c r="AC207" s="8"/>
      <c r="AD207" s="8"/>
      <c r="AE207" s="8"/>
      <c r="AF207" s="8"/>
      <c r="AG207" s="8"/>
      <c r="AH207" s="8"/>
      <c r="AI207" s="8">
        <v>1</v>
      </c>
      <c r="AJ207" s="8">
        <v>1</v>
      </c>
      <c r="AK207" s="8">
        <v>1</v>
      </c>
      <c r="AL207" s="8">
        <v>1</v>
      </c>
      <c r="AM207" s="8">
        <v>1</v>
      </c>
      <c r="AN207" s="8">
        <v>1</v>
      </c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1"/>
      <c r="BL207" s="58"/>
      <c r="BP207" t="str">
        <f t="shared" si="6"/>
        <v>DragonWater</v>
      </c>
      <c r="BQ207" t="s">
        <v>2</v>
      </c>
      <c r="BR207" s="1" t="s">
        <v>104</v>
      </c>
    </row>
    <row r="208" spans="1:70" x14ac:dyDescent="0.25">
      <c r="A208" s="1" t="s">
        <v>50</v>
      </c>
      <c r="B208" t="s">
        <v>419</v>
      </c>
      <c r="C208" t="s">
        <v>2557</v>
      </c>
      <c r="D208" s="1" t="s">
        <v>12</v>
      </c>
      <c r="E208" s="1" t="s">
        <v>15</v>
      </c>
      <c r="F208" s="1" t="s">
        <v>50</v>
      </c>
      <c r="G208" s="1" t="s">
        <v>50</v>
      </c>
      <c r="H208" s="1" t="s">
        <v>50</v>
      </c>
      <c r="I208" s="1" t="s">
        <v>50</v>
      </c>
      <c r="J208" s="1" t="s">
        <v>50</v>
      </c>
      <c r="K208" s="1" t="s">
        <v>50</v>
      </c>
      <c r="L208" s="1"/>
      <c r="M208" s="1" t="s">
        <v>104</v>
      </c>
      <c r="N208" s="1" t="s">
        <v>50</v>
      </c>
      <c r="O208" s="1" t="s">
        <v>50</v>
      </c>
      <c r="P208" s="1" t="s">
        <v>832</v>
      </c>
      <c r="Q208" s="1" t="s">
        <v>104</v>
      </c>
      <c r="R208" s="1" t="s">
        <v>104</v>
      </c>
      <c r="S208" s="1" t="s">
        <v>104</v>
      </c>
      <c r="T208" s="1" t="s">
        <v>104</v>
      </c>
      <c r="U208" s="1" t="s">
        <v>104</v>
      </c>
      <c r="V208" s="1" t="s">
        <v>104</v>
      </c>
      <c r="W208" s="1" t="s">
        <v>104</v>
      </c>
      <c r="X208" s="1" t="s">
        <v>2505</v>
      </c>
      <c r="Y208" s="1"/>
      <c r="Z208" s="8"/>
      <c r="AA208" s="8"/>
      <c r="AB208" s="8"/>
      <c r="AC208" s="8"/>
      <c r="AD208" s="8"/>
      <c r="AE208" s="8"/>
      <c r="AF208" s="8"/>
      <c r="AG208" s="8"/>
      <c r="AH208" s="8"/>
      <c r="AI208" s="8">
        <v>1</v>
      </c>
      <c r="AJ208" s="8">
        <v>1</v>
      </c>
      <c r="AK208" s="8">
        <v>1</v>
      </c>
      <c r="AL208" s="8">
        <v>1</v>
      </c>
      <c r="AM208" s="8">
        <v>1</v>
      </c>
      <c r="AN208" s="8">
        <v>1</v>
      </c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1"/>
      <c r="BL208" s="58"/>
      <c r="BP208" t="str">
        <f t="shared" si="6"/>
        <v>DragonWater</v>
      </c>
      <c r="BR208" s="1" t="s">
        <v>104</v>
      </c>
    </row>
    <row r="209" spans="1:70" x14ac:dyDescent="0.25">
      <c r="A209" s="1" t="s">
        <v>50</v>
      </c>
      <c r="B209" t="s">
        <v>268</v>
      </c>
      <c r="C209" t="s">
        <v>79</v>
      </c>
      <c r="D209" s="1" t="s">
        <v>12</v>
      </c>
      <c r="E209" s="1" t="s">
        <v>6</v>
      </c>
      <c r="F209" s="1" t="s">
        <v>50</v>
      </c>
      <c r="G209" s="1" t="s">
        <v>50</v>
      </c>
      <c r="H209" s="1"/>
      <c r="I209" s="1" t="s">
        <v>50</v>
      </c>
      <c r="J209" s="1" t="s">
        <v>50</v>
      </c>
      <c r="K209" s="1" t="s">
        <v>50</v>
      </c>
      <c r="L209" s="1"/>
      <c r="M209" s="1" t="s">
        <v>50</v>
      </c>
      <c r="N209" s="1" t="s">
        <v>50</v>
      </c>
      <c r="O209" s="1" t="s">
        <v>50</v>
      </c>
      <c r="P209" s="1" t="s">
        <v>832</v>
      </c>
      <c r="Q209" s="1" t="s">
        <v>104</v>
      </c>
      <c r="R209" s="1" t="s">
        <v>104</v>
      </c>
      <c r="S209" s="1" t="s">
        <v>104</v>
      </c>
      <c r="T209" s="1" t="s">
        <v>104</v>
      </c>
      <c r="U209" s="1" t="s">
        <v>104</v>
      </c>
      <c r="V209" s="1" t="s">
        <v>104</v>
      </c>
      <c r="W209" s="1" t="s">
        <v>104</v>
      </c>
      <c r="X209" s="1" t="s">
        <v>2504</v>
      </c>
      <c r="Y209" s="1"/>
      <c r="Z209" s="8"/>
      <c r="AA209" s="8"/>
      <c r="AB209" s="8"/>
      <c r="AC209" s="8"/>
      <c r="AD209" s="8">
        <v>1</v>
      </c>
      <c r="AE209" s="8">
        <v>1</v>
      </c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>
        <v>1</v>
      </c>
      <c r="AW209" s="8"/>
      <c r="AX209" s="8">
        <v>1</v>
      </c>
      <c r="AY209" s="8">
        <v>1</v>
      </c>
      <c r="AZ209" s="8"/>
      <c r="BA209" s="8"/>
      <c r="BB209" s="1"/>
      <c r="BK209">
        <v>1</v>
      </c>
      <c r="BL209" s="58"/>
      <c r="BP209" t="str">
        <f t="shared" si="6"/>
        <v>DragonSteel</v>
      </c>
      <c r="BQ209" t="s">
        <v>2</v>
      </c>
      <c r="BR209" s="1" t="s">
        <v>104</v>
      </c>
    </row>
    <row r="210" spans="1:70" x14ac:dyDescent="0.25">
      <c r="A210" s="1" t="s">
        <v>50</v>
      </c>
      <c r="B210" t="s">
        <v>419</v>
      </c>
      <c r="C210" t="s">
        <v>79</v>
      </c>
      <c r="D210" s="1" t="s">
        <v>12</v>
      </c>
      <c r="E210" s="1" t="s">
        <v>6</v>
      </c>
      <c r="F210" s="1" t="s">
        <v>50</v>
      </c>
      <c r="G210" s="1" t="s">
        <v>50</v>
      </c>
      <c r="H210" s="1" t="s">
        <v>50</v>
      </c>
      <c r="I210" s="1" t="s">
        <v>50</v>
      </c>
      <c r="J210" s="1" t="s">
        <v>50</v>
      </c>
      <c r="K210" s="1" t="s">
        <v>50</v>
      </c>
      <c r="L210" s="1"/>
      <c r="M210" s="1" t="s">
        <v>104</v>
      </c>
      <c r="N210" s="1" t="s">
        <v>50</v>
      </c>
      <c r="O210" s="1" t="s">
        <v>50</v>
      </c>
      <c r="P210" s="1" t="s">
        <v>832</v>
      </c>
      <c r="Q210" s="1" t="s">
        <v>104</v>
      </c>
      <c r="R210" s="1" t="s">
        <v>104</v>
      </c>
      <c r="S210" s="1" t="s">
        <v>104</v>
      </c>
      <c r="T210" s="1" t="s">
        <v>104</v>
      </c>
      <c r="U210" s="1" t="s">
        <v>104</v>
      </c>
      <c r="V210" s="1" t="s">
        <v>104</v>
      </c>
      <c r="W210" s="1" t="s">
        <v>104</v>
      </c>
      <c r="X210" s="1" t="s">
        <v>2504</v>
      </c>
      <c r="Y210" s="1"/>
      <c r="Z210" s="8"/>
      <c r="AA210" s="8"/>
      <c r="AB210" s="8"/>
      <c r="AC210" s="8"/>
      <c r="AD210" s="8">
        <v>1</v>
      </c>
      <c r="AE210" s="8">
        <v>1</v>
      </c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>
        <v>1</v>
      </c>
      <c r="AW210" s="8"/>
      <c r="AX210" s="8">
        <v>1</v>
      </c>
      <c r="AY210" s="8">
        <v>1</v>
      </c>
      <c r="AZ210" s="8"/>
      <c r="BA210" s="8"/>
      <c r="BB210" s="1"/>
      <c r="BL210" s="58"/>
      <c r="BP210" t="str">
        <f t="shared" si="6"/>
        <v>DragonSteel</v>
      </c>
      <c r="BR210" s="1" t="s">
        <v>104</v>
      </c>
    </row>
    <row r="211" spans="1:70" x14ac:dyDescent="0.25">
      <c r="A211" s="1" t="s">
        <v>50</v>
      </c>
      <c r="B211" t="s">
        <v>268</v>
      </c>
      <c r="C211" t="s">
        <v>80</v>
      </c>
      <c r="D211" s="1" t="s">
        <v>12</v>
      </c>
      <c r="E211" s="1" t="s">
        <v>0</v>
      </c>
      <c r="F211" s="1" t="s">
        <v>50</v>
      </c>
      <c r="G211" s="1" t="s">
        <v>50</v>
      </c>
      <c r="H211" s="1"/>
      <c r="I211" s="1" t="s">
        <v>50</v>
      </c>
      <c r="J211" s="1" t="s">
        <v>50</v>
      </c>
      <c r="K211" s="1" t="s">
        <v>50</v>
      </c>
      <c r="L211" s="1"/>
      <c r="M211" s="1" t="s">
        <v>50</v>
      </c>
      <c r="N211" s="1" t="s">
        <v>50</v>
      </c>
      <c r="O211" s="1" t="s">
        <v>50</v>
      </c>
      <c r="P211" s="1" t="s">
        <v>832</v>
      </c>
      <c r="Q211" s="1" t="s">
        <v>104</v>
      </c>
      <c r="R211" s="1" t="s">
        <v>104</v>
      </c>
      <c r="S211" s="1" t="s">
        <v>104</v>
      </c>
      <c r="T211" s="1" t="s">
        <v>104</v>
      </c>
      <c r="U211" s="1" t="s">
        <v>104</v>
      </c>
      <c r="V211" s="1" t="s">
        <v>104</v>
      </c>
      <c r="W211" s="1" t="s">
        <v>104</v>
      </c>
      <c r="X211" s="1" t="s">
        <v>2504</v>
      </c>
      <c r="Y211" s="1"/>
      <c r="Z211" s="8"/>
      <c r="AA211" s="8"/>
      <c r="AB211" s="8"/>
      <c r="AC211" s="8"/>
      <c r="AD211" s="8">
        <v>1</v>
      </c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>
        <v>1</v>
      </c>
      <c r="AV211" s="8"/>
      <c r="AW211" s="8"/>
      <c r="AX211" s="8">
        <v>1</v>
      </c>
      <c r="AY211" s="8">
        <v>1</v>
      </c>
      <c r="AZ211" s="8"/>
      <c r="BA211" s="8"/>
      <c r="BB211" s="1"/>
      <c r="BK211">
        <v>1</v>
      </c>
      <c r="BL211" s="58"/>
      <c r="BP211" t="str">
        <f t="shared" si="6"/>
        <v>DragonDark</v>
      </c>
      <c r="BQ211" t="s">
        <v>2</v>
      </c>
      <c r="BR211" s="1" t="s">
        <v>104</v>
      </c>
    </row>
    <row r="212" spans="1:70" x14ac:dyDescent="0.25">
      <c r="A212" s="1" t="s">
        <v>50</v>
      </c>
      <c r="B212" t="s">
        <v>419</v>
      </c>
      <c r="C212" t="s">
        <v>80</v>
      </c>
      <c r="D212" s="1" t="s">
        <v>12</v>
      </c>
      <c r="E212" s="1" t="s">
        <v>0</v>
      </c>
      <c r="F212" s="1" t="s">
        <v>50</v>
      </c>
      <c r="G212" s="1" t="s">
        <v>50</v>
      </c>
      <c r="H212" s="1" t="s">
        <v>50</v>
      </c>
      <c r="I212" s="1" t="s">
        <v>50</v>
      </c>
      <c r="J212" s="1" t="s">
        <v>50</v>
      </c>
      <c r="K212" s="1" t="s">
        <v>50</v>
      </c>
      <c r="L212" s="1"/>
      <c r="M212" s="1" t="s">
        <v>104</v>
      </c>
      <c r="N212" s="1" t="s">
        <v>50</v>
      </c>
      <c r="O212" s="1" t="s">
        <v>50</v>
      </c>
      <c r="P212" s="1" t="s">
        <v>832</v>
      </c>
      <c r="Q212" s="1" t="s">
        <v>104</v>
      </c>
      <c r="R212" s="1" t="s">
        <v>104</v>
      </c>
      <c r="S212" s="1" t="s">
        <v>104</v>
      </c>
      <c r="T212" s="1" t="s">
        <v>104</v>
      </c>
      <c r="U212" s="1" t="s">
        <v>104</v>
      </c>
      <c r="V212" s="1" t="s">
        <v>104</v>
      </c>
      <c r="W212" s="1" t="s">
        <v>104</v>
      </c>
      <c r="X212" s="1" t="s">
        <v>2504</v>
      </c>
      <c r="Y212" s="1"/>
      <c r="Z212" s="8"/>
      <c r="AA212" s="8"/>
      <c r="AB212" s="8"/>
      <c r="AC212" s="8"/>
      <c r="AD212" s="8">
        <v>1</v>
      </c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>
        <v>1</v>
      </c>
      <c r="AV212" s="8"/>
      <c r="AW212" s="8"/>
      <c r="AX212" s="8">
        <v>1</v>
      </c>
      <c r="AY212" s="8">
        <v>1</v>
      </c>
      <c r="AZ212" s="8"/>
      <c r="BA212" s="8"/>
      <c r="BB212" s="1"/>
      <c r="BJ212">
        <v>1</v>
      </c>
      <c r="BL212" s="58"/>
      <c r="BP212" t="str">
        <f t="shared" si="6"/>
        <v>DragonDark</v>
      </c>
      <c r="BR212" s="1" t="s">
        <v>104</v>
      </c>
    </row>
    <row r="213" spans="1:70" x14ac:dyDescent="0.25">
      <c r="A213" s="1" t="s">
        <v>50</v>
      </c>
      <c r="B213" t="s">
        <v>268</v>
      </c>
      <c r="C213" t="s">
        <v>81</v>
      </c>
      <c r="D213" s="1" t="s">
        <v>12</v>
      </c>
      <c r="E213" s="1" t="s">
        <v>18</v>
      </c>
      <c r="F213" s="1" t="s">
        <v>50</v>
      </c>
      <c r="G213" s="1" t="s">
        <v>50</v>
      </c>
      <c r="H213" s="1"/>
      <c r="I213" s="1" t="s">
        <v>50</v>
      </c>
      <c r="J213" s="1" t="s">
        <v>50</v>
      </c>
      <c r="K213" s="1" t="s">
        <v>50</v>
      </c>
      <c r="L213" s="1"/>
      <c r="M213" s="1" t="s">
        <v>50</v>
      </c>
      <c r="N213" s="1" t="s">
        <v>50</v>
      </c>
      <c r="O213" s="1" t="s">
        <v>50</v>
      </c>
      <c r="P213" s="1" t="s">
        <v>832</v>
      </c>
      <c r="Q213" s="1" t="s">
        <v>104</v>
      </c>
      <c r="R213" s="1" t="s">
        <v>104</v>
      </c>
      <c r="S213" s="1" t="s">
        <v>104</v>
      </c>
      <c r="T213" s="1" t="s">
        <v>104</v>
      </c>
      <c r="U213" s="1" t="s">
        <v>104</v>
      </c>
      <c r="V213" s="1" t="s">
        <v>104</v>
      </c>
      <c r="W213" s="1" t="s">
        <v>104</v>
      </c>
      <c r="X213" s="1" t="s">
        <v>2504</v>
      </c>
      <c r="Y213" s="1"/>
      <c r="Z213" s="8"/>
      <c r="AA213" s="8"/>
      <c r="AB213" s="8"/>
      <c r="AC213" s="8"/>
      <c r="AD213" s="8">
        <v>1</v>
      </c>
      <c r="AE213" s="8"/>
      <c r="AF213" s="8"/>
      <c r="AG213" s="8">
        <v>1</v>
      </c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>
        <v>1</v>
      </c>
      <c r="AY213" s="8">
        <v>1</v>
      </c>
      <c r="AZ213" s="8"/>
      <c r="BA213" s="8"/>
      <c r="BB213" s="1"/>
      <c r="BL213" s="58"/>
      <c r="BP213" t="str">
        <f t="shared" si="6"/>
        <v>DragonFighting</v>
      </c>
      <c r="BQ213" t="s">
        <v>2</v>
      </c>
      <c r="BR213" s="1" t="s">
        <v>104</v>
      </c>
    </row>
    <row r="214" spans="1:70" x14ac:dyDescent="0.25">
      <c r="A214" s="1" t="s">
        <v>50</v>
      </c>
      <c r="B214" t="s">
        <v>419</v>
      </c>
      <c r="C214" t="s">
        <v>81</v>
      </c>
      <c r="D214" s="1" t="s">
        <v>12</v>
      </c>
      <c r="E214" s="1" t="s">
        <v>18</v>
      </c>
      <c r="F214" s="1" t="s">
        <v>50</v>
      </c>
      <c r="G214" s="1" t="s">
        <v>50</v>
      </c>
      <c r="H214" s="1" t="s">
        <v>50</v>
      </c>
      <c r="I214" s="1" t="s">
        <v>50</v>
      </c>
      <c r="J214" s="1" t="s">
        <v>50</v>
      </c>
      <c r="K214" s="1" t="s">
        <v>50</v>
      </c>
      <c r="L214" s="1"/>
      <c r="M214" s="1" t="s">
        <v>104</v>
      </c>
      <c r="N214" s="1" t="s">
        <v>50</v>
      </c>
      <c r="O214" s="1" t="s">
        <v>50</v>
      </c>
      <c r="P214" s="1" t="s">
        <v>832</v>
      </c>
      <c r="Q214" s="1" t="s">
        <v>104</v>
      </c>
      <c r="R214" s="1" t="s">
        <v>104</v>
      </c>
      <c r="S214" s="1" t="s">
        <v>104</v>
      </c>
      <c r="T214" s="1" t="s">
        <v>104</v>
      </c>
      <c r="U214" s="1" t="s">
        <v>104</v>
      </c>
      <c r="V214" s="1" t="s">
        <v>104</v>
      </c>
      <c r="W214" s="1" t="s">
        <v>104</v>
      </c>
      <c r="X214" s="1" t="s">
        <v>2504</v>
      </c>
      <c r="Y214" s="1"/>
      <c r="Z214" s="8"/>
      <c r="AA214" s="8"/>
      <c r="AB214" s="8"/>
      <c r="AC214" s="8"/>
      <c r="AD214" s="8">
        <v>1</v>
      </c>
      <c r="AE214" s="8"/>
      <c r="AF214" s="8"/>
      <c r="AG214" s="8">
        <v>1</v>
      </c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>
        <v>1</v>
      </c>
      <c r="AY214" s="8">
        <v>1</v>
      </c>
      <c r="AZ214" s="8"/>
      <c r="BA214" s="8"/>
      <c r="BB214" s="1"/>
      <c r="BJ214">
        <v>1</v>
      </c>
      <c r="BL214" s="58"/>
      <c r="BP214" t="str">
        <f t="shared" si="6"/>
        <v>DragonFighting</v>
      </c>
      <c r="BR214" s="1" t="s">
        <v>104</v>
      </c>
    </row>
    <row r="215" spans="1:70" x14ac:dyDescent="0.25">
      <c r="A215" s="1" t="s">
        <v>50</v>
      </c>
      <c r="B215" t="s">
        <v>268</v>
      </c>
      <c r="C215" t="s">
        <v>82</v>
      </c>
      <c r="D215" s="1" t="s">
        <v>12</v>
      </c>
      <c r="E215" s="1" t="s">
        <v>7</v>
      </c>
      <c r="F215" s="1" t="s">
        <v>50</v>
      </c>
      <c r="G215" s="1" t="s">
        <v>50</v>
      </c>
      <c r="H215" s="1"/>
      <c r="I215" s="1" t="s">
        <v>50</v>
      </c>
      <c r="J215" s="1" t="s">
        <v>50</v>
      </c>
      <c r="K215" s="1" t="s">
        <v>50</v>
      </c>
      <c r="L215" s="1"/>
      <c r="M215" s="1" t="s">
        <v>50</v>
      </c>
      <c r="N215" s="1" t="s">
        <v>50</v>
      </c>
      <c r="O215" s="1" t="s">
        <v>50</v>
      </c>
      <c r="P215" s="1" t="s">
        <v>832</v>
      </c>
      <c r="Q215" s="1" t="s">
        <v>104</v>
      </c>
      <c r="R215" s="1" t="s">
        <v>104</v>
      </c>
      <c r="S215" s="1" t="s">
        <v>104</v>
      </c>
      <c r="T215" s="1" t="s">
        <v>104</v>
      </c>
      <c r="U215" s="1" t="s">
        <v>104</v>
      </c>
      <c r="V215" s="1" t="s">
        <v>104</v>
      </c>
      <c r="W215" s="1" t="s">
        <v>104</v>
      </c>
      <c r="X215" s="1" t="s">
        <v>2504</v>
      </c>
      <c r="Y215" s="1"/>
      <c r="Z215" s="8">
        <v>1</v>
      </c>
      <c r="AA215" s="8"/>
      <c r="AB215" s="8"/>
      <c r="AC215" s="8"/>
      <c r="AD215" s="8"/>
      <c r="AE215" s="8"/>
      <c r="AF215" s="8"/>
      <c r="AG215" s="8">
        <v>1</v>
      </c>
      <c r="AH215" s="8"/>
      <c r="AI215" s="8">
        <v>1</v>
      </c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1"/>
      <c r="BL215" s="58"/>
      <c r="BP215" t="str">
        <f t="shared" si="6"/>
        <v>DragonFairy</v>
      </c>
      <c r="BQ215" t="s">
        <v>2</v>
      </c>
      <c r="BR215" s="1" t="s">
        <v>104</v>
      </c>
    </row>
    <row r="216" spans="1:70" x14ac:dyDescent="0.25">
      <c r="A216" s="1" t="s">
        <v>50</v>
      </c>
      <c r="B216" t="s">
        <v>419</v>
      </c>
      <c r="C216" t="s">
        <v>82</v>
      </c>
      <c r="D216" s="1" t="s">
        <v>12</v>
      </c>
      <c r="E216" s="1" t="s">
        <v>7</v>
      </c>
      <c r="F216" s="1" t="s">
        <v>50</v>
      </c>
      <c r="G216" s="1" t="s">
        <v>50</v>
      </c>
      <c r="H216" s="1" t="s">
        <v>50</v>
      </c>
      <c r="I216" s="1" t="s">
        <v>50</v>
      </c>
      <c r="J216" s="1" t="s">
        <v>50</v>
      </c>
      <c r="K216" s="1" t="s">
        <v>50</v>
      </c>
      <c r="L216" s="1"/>
      <c r="M216" s="1" t="s">
        <v>104</v>
      </c>
      <c r="N216" s="1" t="s">
        <v>50</v>
      </c>
      <c r="O216" s="1" t="s">
        <v>50</v>
      </c>
      <c r="P216" s="1" t="s">
        <v>832</v>
      </c>
      <c r="Q216" s="1" t="s">
        <v>104</v>
      </c>
      <c r="R216" s="1" t="s">
        <v>104</v>
      </c>
      <c r="S216" s="1" t="s">
        <v>104</v>
      </c>
      <c r="T216" s="1" t="s">
        <v>104</v>
      </c>
      <c r="U216" s="1" t="s">
        <v>104</v>
      </c>
      <c r="V216" s="1" t="s">
        <v>104</v>
      </c>
      <c r="W216" s="1" t="s">
        <v>104</v>
      </c>
      <c r="X216" s="1" t="s">
        <v>2505</v>
      </c>
      <c r="Y216" s="1"/>
      <c r="Z216" s="8">
        <v>1</v>
      </c>
      <c r="AA216" s="8"/>
      <c r="AB216" s="8"/>
      <c r="AC216" s="8"/>
      <c r="AD216" s="8"/>
      <c r="AE216" s="8"/>
      <c r="AF216" s="8"/>
      <c r="AG216" s="8">
        <v>1</v>
      </c>
      <c r="AH216" s="8"/>
      <c r="AI216" s="8">
        <v>1</v>
      </c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1"/>
      <c r="BJ216">
        <v>2</v>
      </c>
      <c r="BL216" s="58"/>
      <c r="BP216" t="str">
        <f t="shared" si="6"/>
        <v>DragonFairy</v>
      </c>
      <c r="BR216" s="1" t="s">
        <v>104</v>
      </c>
    </row>
    <row r="217" spans="1:70" x14ac:dyDescent="0.25">
      <c r="A217" s="1" t="s">
        <v>50</v>
      </c>
      <c r="B217" t="s">
        <v>268</v>
      </c>
      <c r="C217" t="s">
        <v>83</v>
      </c>
      <c r="D217" s="1" t="s">
        <v>12</v>
      </c>
      <c r="E217" s="1" t="s">
        <v>17</v>
      </c>
      <c r="F217" s="1" t="s">
        <v>50</v>
      </c>
      <c r="G217" s="1" t="s">
        <v>50</v>
      </c>
      <c r="H217" s="1"/>
      <c r="I217" s="1" t="s">
        <v>50</v>
      </c>
      <c r="J217" s="1" t="s">
        <v>50</v>
      </c>
      <c r="K217" s="1" t="s">
        <v>50</v>
      </c>
      <c r="L217" s="1"/>
      <c r="M217" s="1" t="s">
        <v>50</v>
      </c>
      <c r="N217" s="1" t="s">
        <v>50</v>
      </c>
      <c r="O217" s="1" t="s">
        <v>50</v>
      </c>
      <c r="P217" s="1" t="s">
        <v>832</v>
      </c>
      <c r="Q217" s="1" t="s">
        <v>104</v>
      </c>
      <c r="R217" s="1" t="s">
        <v>104</v>
      </c>
      <c r="S217" s="1" t="s">
        <v>104</v>
      </c>
      <c r="T217" s="1" t="s">
        <v>104</v>
      </c>
      <c r="U217" s="1" t="s">
        <v>104</v>
      </c>
      <c r="V217" s="1" t="s">
        <v>104</v>
      </c>
      <c r="W217" s="1" t="s">
        <v>104</v>
      </c>
      <c r="X217" s="1" t="s">
        <v>2504</v>
      </c>
      <c r="Y217" s="1"/>
      <c r="Z217" s="8"/>
      <c r="AA217" s="8"/>
      <c r="AB217" s="8"/>
      <c r="AC217" s="8"/>
      <c r="AD217" s="8"/>
      <c r="AE217" s="8">
        <v>1</v>
      </c>
      <c r="AF217" s="8">
        <v>1</v>
      </c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>
        <v>1</v>
      </c>
      <c r="AY217" s="8">
        <v>1</v>
      </c>
      <c r="AZ217" s="8"/>
      <c r="BA217" s="8"/>
      <c r="BB217" s="1"/>
      <c r="BL217" s="58"/>
      <c r="BP217" t="str">
        <f t="shared" si="6"/>
        <v>DragonBug</v>
      </c>
      <c r="BQ217" t="s">
        <v>2</v>
      </c>
      <c r="BR217" s="1" t="s">
        <v>104</v>
      </c>
    </row>
    <row r="218" spans="1:70" x14ac:dyDescent="0.25">
      <c r="A218" s="1" t="s">
        <v>50</v>
      </c>
      <c r="B218" t="s">
        <v>419</v>
      </c>
      <c r="C218" t="s">
        <v>83</v>
      </c>
      <c r="D218" s="1" t="s">
        <v>12</v>
      </c>
      <c r="E218" s="1" t="s">
        <v>17</v>
      </c>
      <c r="F218" s="1" t="s">
        <v>50</v>
      </c>
      <c r="G218" s="1" t="s">
        <v>50</v>
      </c>
      <c r="H218" s="1" t="s">
        <v>50</v>
      </c>
      <c r="I218" s="1" t="s">
        <v>50</v>
      </c>
      <c r="J218" s="1" t="s">
        <v>50</v>
      </c>
      <c r="K218" s="1" t="s">
        <v>50</v>
      </c>
      <c r="L218" s="1"/>
      <c r="M218" s="1" t="s">
        <v>104</v>
      </c>
      <c r="N218" s="1" t="s">
        <v>50</v>
      </c>
      <c r="O218" s="1" t="s">
        <v>50</v>
      </c>
      <c r="P218" s="1" t="s">
        <v>832</v>
      </c>
      <c r="Q218" s="1" t="s">
        <v>104</v>
      </c>
      <c r="R218" s="1" t="s">
        <v>104</v>
      </c>
      <c r="S218" s="1" t="s">
        <v>104</v>
      </c>
      <c r="T218" s="1" t="s">
        <v>104</v>
      </c>
      <c r="U218" s="1" t="s">
        <v>104</v>
      </c>
      <c r="V218" s="1" t="s">
        <v>104</v>
      </c>
      <c r="W218" s="1" t="s">
        <v>104</v>
      </c>
      <c r="X218" s="1" t="s">
        <v>2504</v>
      </c>
      <c r="Y218" s="1"/>
      <c r="Z218" s="8"/>
      <c r="AA218" s="8"/>
      <c r="AB218" s="8"/>
      <c r="AC218" s="8"/>
      <c r="AD218" s="8"/>
      <c r="AE218" s="8">
        <v>1</v>
      </c>
      <c r="AF218" s="8">
        <v>1</v>
      </c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>
        <v>1</v>
      </c>
      <c r="AY218" s="8">
        <v>1</v>
      </c>
      <c r="AZ218" s="8"/>
      <c r="BA218" s="8"/>
      <c r="BB218" s="1"/>
      <c r="BL218" s="58"/>
      <c r="BP218" t="str">
        <f t="shared" si="6"/>
        <v>DragonBug</v>
      </c>
      <c r="BR218" s="1" t="s">
        <v>104</v>
      </c>
    </row>
    <row r="219" spans="1:70" x14ac:dyDescent="0.25">
      <c r="A219" s="1" t="s">
        <v>50</v>
      </c>
      <c r="B219" t="s">
        <v>268</v>
      </c>
      <c r="C219" t="s">
        <v>84</v>
      </c>
      <c r="D219" s="1" t="s">
        <v>12</v>
      </c>
      <c r="E219" s="1" t="s">
        <v>8</v>
      </c>
      <c r="F219" s="1" t="s">
        <v>50</v>
      </c>
      <c r="G219" s="1" t="s">
        <v>50</v>
      </c>
      <c r="H219" s="1"/>
      <c r="I219" s="1" t="s">
        <v>50</v>
      </c>
      <c r="J219" s="1" t="s">
        <v>50</v>
      </c>
      <c r="K219" s="1" t="s">
        <v>50</v>
      </c>
      <c r="L219" s="1"/>
      <c r="M219" s="1" t="s">
        <v>50</v>
      </c>
      <c r="N219" s="1" t="s">
        <v>50</v>
      </c>
      <c r="O219" s="1" t="s">
        <v>50</v>
      </c>
      <c r="P219" s="1" t="s">
        <v>1788</v>
      </c>
      <c r="Q219" s="1" t="s">
        <v>104</v>
      </c>
      <c r="R219" s="1" t="s">
        <v>104</v>
      </c>
      <c r="S219" s="1" t="s">
        <v>104</v>
      </c>
      <c r="T219" s="1" t="s">
        <v>104</v>
      </c>
      <c r="U219" s="1" t="s">
        <v>104</v>
      </c>
      <c r="V219" s="1" t="s">
        <v>104</v>
      </c>
      <c r="W219" s="1" t="s">
        <v>104</v>
      </c>
      <c r="X219" s="1" t="s">
        <v>2505</v>
      </c>
      <c r="Y219" s="1"/>
      <c r="Z219" s="8"/>
      <c r="AA219" s="8"/>
      <c r="AB219" s="8"/>
      <c r="AC219" s="8"/>
      <c r="AD219" s="8">
        <v>1</v>
      </c>
      <c r="AE219" s="8">
        <v>1</v>
      </c>
      <c r="AF219" s="8">
        <v>1</v>
      </c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>
        <v>1</v>
      </c>
      <c r="AY219" s="8">
        <v>1</v>
      </c>
      <c r="AZ219" s="8"/>
      <c r="BA219" s="8"/>
      <c r="BB219" s="1"/>
      <c r="BL219" s="58"/>
      <c r="BP219" t="str">
        <f t="shared" si="6"/>
        <v>DragonGround</v>
      </c>
      <c r="BQ219" t="s">
        <v>2</v>
      </c>
      <c r="BR219" s="1" t="s">
        <v>104</v>
      </c>
    </row>
    <row r="220" spans="1:70" x14ac:dyDescent="0.25">
      <c r="A220" s="1" t="s">
        <v>50</v>
      </c>
      <c r="B220" t="s">
        <v>419</v>
      </c>
      <c r="C220" t="s">
        <v>84</v>
      </c>
      <c r="D220" s="1" t="s">
        <v>12</v>
      </c>
      <c r="E220" s="1" t="s">
        <v>8</v>
      </c>
      <c r="F220" s="1" t="s">
        <v>50</v>
      </c>
      <c r="G220" s="1" t="s">
        <v>50</v>
      </c>
      <c r="H220" s="1" t="s">
        <v>50</v>
      </c>
      <c r="I220" s="1" t="s">
        <v>50</v>
      </c>
      <c r="J220" s="1" t="s">
        <v>50</v>
      </c>
      <c r="K220" s="1" t="s">
        <v>50</v>
      </c>
      <c r="L220" s="1"/>
      <c r="M220" s="1" t="s">
        <v>104</v>
      </c>
      <c r="N220" s="1" t="s">
        <v>50</v>
      </c>
      <c r="O220" s="1" t="s">
        <v>50</v>
      </c>
      <c r="P220" s="1" t="s">
        <v>1788</v>
      </c>
      <c r="Q220" s="1" t="s">
        <v>104</v>
      </c>
      <c r="R220" s="1" t="s">
        <v>104</v>
      </c>
      <c r="S220" s="1" t="s">
        <v>104</v>
      </c>
      <c r="T220" s="1" t="s">
        <v>104</v>
      </c>
      <c r="U220" s="1" t="s">
        <v>104</v>
      </c>
      <c r="V220" s="1" t="s">
        <v>104</v>
      </c>
      <c r="W220" s="1" t="s">
        <v>104</v>
      </c>
      <c r="X220" s="1" t="s">
        <v>2505</v>
      </c>
      <c r="Y220" s="1"/>
      <c r="Z220" s="8"/>
      <c r="AA220" s="8"/>
      <c r="AB220" s="8"/>
      <c r="AC220" s="8"/>
      <c r="AD220" s="8">
        <v>1</v>
      </c>
      <c r="AE220" s="8">
        <v>1</v>
      </c>
      <c r="AF220" s="8">
        <v>1</v>
      </c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>
        <v>1</v>
      </c>
      <c r="AY220" s="8">
        <v>1</v>
      </c>
      <c r="AZ220" s="8"/>
      <c r="BA220" s="8"/>
      <c r="BB220" s="1"/>
      <c r="BL220" s="58"/>
      <c r="BP220" t="str">
        <f t="shared" si="6"/>
        <v>DragonGround</v>
      </c>
      <c r="BR220" s="1" t="s">
        <v>104</v>
      </c>
    </row>
    <row r="221" spans="1:70" x14ac:dyDescent="0.25">
      <c r="A221" s="1" t="s">
        <v>50</v>
      </c>
      <c r="B221" t="s">
        <v>268</v>
      </c>
      <c r="C221" t="s">
        <v>85</v>
      </c>
      <c r="D221" s="1" t="s">
        <v>12</v>
      </c>
      <c r="E221" s="1" t="s">
        <v>11</v>
      </c>
      <c r="F221" s="1" t="s">
        <v>50</v>
      </c>
      <c r="G221" s="1" t="s">
        <v>50</v>
      </c>
      <c r="H221" s="1"/>
      <c r="I221" s="1" t="s">
        <v>50</v>
      </c>
      <c r="J221" s="1" t="s">
        <v>50</v>
      </c>
      <c r="K221" s="1" t="s">
        <v>50</v>
      </c>
      <c r="L221" s="1"/>
      <c r="M221" s="1" t="s">
        <v>50</v>
      </c>
      <c r="N221" s="1" t="s">
        <v>50</v>
      </c>
      <c r="O221" s="1" t="s">
        <v>50</v>
      </c>
      <c r="P221" s="13" t="s">
        <v>824</v>
      </c>
      <c r="Q221" s="1" t="s">
        <v>104</v>
      </c>
      <c r="R221" s="1" t="s">
        <v>104</v>
      </c>
      <c r="S221" s="1" t="s">
        <v>104</v>
      </c>
      <c r="T221" s="1" t="s">
        <v>104</v>
      </c>
      <c r="U221" s="1" t="s">
        <v>104</v>
      </c>
      <c r="V221" s="1" t="s">
        <v>104</v>
      </c>
      <c r="W221" s="1" t="s">
        <v>104</v>
      </c>
      <c r="X221" s="1" t="s">
        <v>2504</v>
      </c>
      <c r="Y221" s="1"/>
      <c r="Z221" s="8">
        <v>1</v>
      </c>
      <c r="AA221" s="8">
        <v>1</v>
      </c>
      <c r="AB221" s="8">
        <v>1</v>
      </c>
      <c r="AC221" s="8">
        <v>1</v>
      </c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>
        <v>1</v>
      </c>
      <c r="BA221" s="8"/>
      <c r="BB221" s="1"/>
      <c r="BK221">
        <v>1</v>
      </c>
      <c r="BL221" s="58"/>
      <c r="BP221" t="str">
        <f t="shared" si="6"/>
        <v>DragonGrass</v>
      </c>
      <c r="BQ221" t="s">
        <v>2</v>
      </c>
      <c r="BR221" s="1" t="s">
        <v>104</v>
      </c>
    </row>
    <row r="222" spans="1:70" x14ac:dyDescent="0.25">
      <c r="A222" s="1" t="s">
        <v>50</v>
      </c>
      <c r="B222" t="s">
        <v>419</v>
      </c>
      <c r="C222" t="s">
        <v>85</v>
      </c>
      <c r="D222" s="1" t="s">
        <v>12</v>
      </c>
      <c r="E222" s="1" t="s">
        <v>11</v>
      </c>
      <c r="F222" s="1" t="s">
        <v>50</v>
      </c>
      <c r="G222" s="1" t="s">
        <v>50</v>
      </c>
      <c r="H222" s="1" t="s">
        <v>50</v>
      </c>
      <c r="I222" s="1" t="s">
        <v>50</v>
      </c>
      <c r="J222" s="1" t="s">
        <v>50</v>
      </c>
      <c r="K222" s="1" t="s">
        <v>50</v>
      </c>
      <c r="L222" s="1"/>
      <c r="M222" s="1" t="s">
        <v>104</v>
      </c>
      <c r="N222" s="1" t="s">
        <v>50</v>
      </c>
      <c r="O222" s="1" t="s">
        <v>50</v>
      </c>
      <c r="P222" s="13" t="s">
        <v>824</v>
      </c>
      <c r="Q222" s="1" t="s">
        <v>104</v>
      </c>
      <c r="R222" s="1" t="s">
        <v>104</v>
      </c>
      <c r="S222" s="1" t="s">
        <v>104</v>
      </c>
      <c r="T222" s="1" t="s">
        <v>104</v>
      </c>
      <c r="U222" s="1" t="s">
        <v>104</v>
      </c>
      <c r="V222" s="1" t="s">
        <v>104</v>
      </c>
      <c r="W222" s="1" t="s">
        <v>104</v>
      </c>
      <c r="X222" s="1" t="s">
        <v>2504</v>
      </c>
      <c r="Y222" s="1"/>
      <c r="Z222" s="8">
        <v>1</v>
      </c>
      <c r="AA222" s="8">
        <v>1</v>
      </c>
      <c r="AB222" s="8">
        <v>1</v>
      </c>
      <c r="AC222" s="8">
        <v>1</v>
      </c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>
        <v>1</v>
      </c>
      <c r="BA222" s="8"/>
      <c r="BB222" s="1"/>
      <c r="BL222" s="58"/>
      <c r="BP222" t="str">
        <f t="shared" si="6"/>
        <v>DragonGrass</v>
      </c>
      <c r="BR222" s="1" t="s">
        <v>104</v>
      </c>
    </row>
    <row r="223" spans="1:70" x14ac:dyDescent="0.25">
      <c r="A223" s="1" t="s">
        <v>50</v>
      </c>
      <c r="B223" t="s">
        <v>268</v>
      </c>
      <c r="C223" t="s">
        <v>86</v>
      </c>
      <c r="D223" s="1" t="s">
        <v>12</v>
      </c>
      <c r="E223" s="1" t="s">
        <v>14</v>
      </c>
      <c r="F223" s="1" t="s">
        <v>50</v>
      </c>
      <c r="G223" s="1" t="s">
        <v>50</v>
      </c>
      <c r="H223" s="1"/>
      <c r="I223" s="1" t="s">
        <v>50</v>
      </c>
      <c r="J223" s="1" t="s">
        <v>50</v>
      </c>
      <c r="K223" s="1" t="s">
        <v>50</v>
      </c>
      <c r="L223" s="1"/>
      <c r="M223" s="1" t="s">
        <v>50</v>
      </c>
      <c r="N223" s="1" t="s">
        <v>50</v>
      </c>
      <c r="O223" s="1" t="s">
        <v>50</v>
      </c>
      <c r="P223" s="13" t="s">
        <v>1766</v>
      </c>
      <c r="Q223" s="1" t="s">
        <v>104</v>
      </c>
      <c r="R223" s="1" t="s">
        <v>104</v>
      </c>
      <c r="S223" s="1" t="s">
        <v>104</v>
      </c>
      <c r="T223" s="1" t="s">
        <v>104</v>
      </c>
      <c r="U223" s="1" t="s">
        <v>104</v>
      </c>
      <c r="V223" s="1" t="s">
        <v>104</v>
      </c>
      <c r="W223" s="1" t="s">
        <v>104</v>
      </c>
      <c r="X223" s="1" t="s">
        <v>2504</v>
      </c>
      <c r="Y223" s="1"/>
      <c r="Z223" s="8"/>
      <c r="AA223" s="8"/>
      <c r="AB223" s="8"/>
      <c r="AC223" s="8"/>
      <c r="AD223" s="8">
        <v>1</v>
      </c>
      <c r="AE223" s="8"/>
      <c r="AF223" s="8">
        <v>1</v>
      </c>
      <c r="AG223" s="8"/>
      <c r="AH223" s="8">
        <v>1</v>
      </c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>
        <v>1</v>
      </c>
      <c r="AT223" s="8"/>
      <c r="AU223" s="8"/>
      <c r="AV223" s="8"/>
      <c r="AW223" s="8"/>
      <c r="AX223" s="8"/>
      <c r="AY223" s="8"/>
      <c r="AZ223" s="8"/>
      <c r="BA223" s="8"/>
      <c r="BB223" s="1"/>
      <c r="BK223">
        <v>1</v>
      </c>
      <c r="BL223" s="58"/>
      <c r="BP223" t="str">
        <f t="shared" si="6"/>
        <v>DragonGhost</v>
      </c>
      <c r="BQ223" t="s">
        <v>2</v>
      </c>
      <c r="BR223" s="1" t="s">
        <v>104</v>
      </c>
    </row>
    <row r="224" spans="1:70" x14ac:dyDescent="0.25">
      <c r="A224" s="1" t="s">
        <v>50</v>
      </c>
      <c r="B224" t="s">
        <v>419</v>
      </c>
      <c r="C224" t="s">
        <v>86</v>
      </c>
      <c r="D224" s="1" t="s">
        <v>12</v>
      </c>
      <c r="E224" s="1" t="s">
        <v>14</v>
      </c>
      <c r="F224" s="1" t="s">
        <v>50</v>
      </c>
      <c r="G224" s="1" t="s">
        <v>50</v>
      </c>
      <c r="H224" s="1" t="s">
        <v>50</v>
      </c>
      <c r="I224" s="1" t="s">
        <v>50</v>
      </c>
      <c r="J224" s="1" t="s">
        <v>50</v>
      </c>
      <c r="K224" s="1" t="s">
        <v>50</v>
      </c>
      <c r="L224" s="1"/>
      <c r="M224" s="1" t="s">
        <v>104</v>
      </c>
      <c r="N224" s="1" t="s">
        <v>50</v>
      </c>
      <c r="O224" s="1" t="s">
        <v>50</v>
      </c>
      <c r="P224" s="13" t="s">
        <v>1766</v>
      </c>
      <c r="Q224" s="1" t="s">
        <v>104</v>
      </c>
      <c r="R224" s="1" t="s">
        <v>104</v>
      </c>
      <c r="S224" s="1" t="s">
        <v>104</v>
      </c>
      <c r="T224" s="1" t="s">
        <v>104</v>
      </c>
      <c r="U224" s="1" t="s">
        <v>104</v>
      </c>
      <c r="V224" s="1" t="s">
        <v>104</v>
      </c>
      <c r="W224" s="1" t="s">
        <v>104</v>
      </c>
      <c r="X224" s="1" t="s">
        <v>2504</v>
      </c>
      <c r="Y224" s="1"/>
      <c r="Z224" s="8"/>
      <c r="AA224" s="8"/>
      <c r="AB224" s="8"/>
      <c r="AC224" s="8"/>
      <c r="AD224" s="8">
        <v>1</v>
      </c>
      <c r="AE224" s="8"/>
      <c r="AF224" s="8">
        <v>1</v>
      </c>
      <c r="AG224" s="8"/>
      <c r="AH224" s="8">
        <v>1</v>
      </c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>
        <v>1</v>
      </c>
      <c r="AT224" s="8"/>
      <c r="AU224" s="8"/>
      <c r="AV224" s="8"/>
      <c r="AW224" s="8"/>
      <c r="AX224" s="8"/>
      <c r="AY224" s="8"/>
      <c r="AZ224" s="8"/>
      <c r="BA224" s="8"/>
      <c r="BB224" s="1"/>
      <c r="BL224" s="58"/>
      <c r="BP224" t="str">
        <f t="shared" si="6"/>
        <v>DragonGhost</v>
      </c>
      <c r="BR224" s="1" t="s">
        <v>104</v>
      </c>
    </row>
    <row r="225" spans="1:70" x14ac:dyDescent="0.25">
      <c r="A225" s="1" t="s">
        <v>50</v>
      </c>
      <c r="B225" t="s">
        <v>268</v>
      </c>
      <c r="C225" t="s">
        <v>87</v>
      </c>
      <c r="D225" s="1" t="s">
        <v>12</v>
      </c>
      <c r="E225" s="1" t="s">
        <v>10</v>
      </c>
      <c r="F225" s="1" t="s">
        <v>50</v>
      </c>
      <c r="G225" s="1" t="s">
        <v>50</v>
      </c>
      <c r="H225" s="1"/>
      <c r="I225" s="1" t="s">
        <v>50</v>
      </c>
      <c r="J225" s="1" t="s">
        <v>50</v>
      </c>
      <c r="K225" s="1" t="s">
        <v>50</v>
      </c>
      <c r="L225" s="1"/>
      <c r="M225" s="1" t="s">
        <v>50</v>
      </c>
      <c r="N225" s="1" t="s">
        <v>50</v>
      </c>
      <c r="O225" s="1" t="s">
        <v>50</v>
      </c>
      <c r="P225" s="1" t="s">
        <v>818</v>
      </c>
      <c r="Q225" s="1" t="s">
        <v>104</v>
      </c>
      <c r="R225" s="1" t="s">
        <v>104</v>
      </c>
      <c r="S225" s="1" t="s">
        <v>104</v>
      </c>
      <c r="T225" s="1" t="s">
        <v>104</v>
      </c>
      <c r="U225" s="1" t="s">
        <v>104</v>
      </c>
      <c r="V225" s="1" t="s">
        <v>104</v>
      </c>
      <c r="W225" s="1" t="s">
        <v>104</v>
      </c>
      <c r="X225" s="1" t="s">
        <v>2504</v>
      </c>
      <c r="Y225" s="1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>
        <v>1</v>
      </c>
      <c r="AM225" s="8">
        <v>1</v>
      </c>
      <c r="AN225" s="8">
        <v>1</v>
      </c>
      <c r="AO225" s="8"/>
      <c r="AP225" s="8"/>
      <c r="AQ225" s="8"/>
      <c r="AR225" s="8"/>
      <c r="AS225" s="8"/>
      <c r="AT225" s="8">
        <v>1</v>
      </c>
      <c r="AU225" s="8"/>
      <c r="AV225" s="8"/>
      <c r="AW225" s="8"/>
      <c r="AX225" s="8"/>
      <c r="AY225" s="8"/>
      <c r="AZ225" s="8"/>
      <c r="BA225" s="8"/>
      <c r="BB225" s="1"/>
      <c r="BK225">
        <v>1</v>
      </c>
      <c r="BL225" s="58"/>
      <c r="BP225" t="str">
        <f t="shared" si="6"/>
        <v>DragonPoison</v>
      </c>
      <c r="BQ225" t="s">
        <v>2</v>
      </c>
      <c r="BR225" s="1" t="s">
        <v>104</v>
      </c>
    </row>
    <row r="226" spans="1:70" x14ac:dyDescent="0.25">
      <c r="A226" s="1" t="s">
        <v>50</v>
      </c>
      <c r="B226" t="s">
        <v>419</v>
      </c>
      <c r="C226" t="s">
        <v>87</v>
      </c>
      <c r="D226" s="1" t="s">
        <v>12</v>
      </c>
      <c r="E226" s="1" t="s">
        <v>10</v>
      </c>
      <c r="F226" s="1" t="s">
        <v>50</v>
      </c>
      <c r="G226" s="1" t="s">
        <v>50</v>
      </c>
      <c r="H226" s="1" t="s">
        <v>50</v>
      </c>
      <c r="I226" s="1" t="s">
        <v>50</v>
      </c>
      <c r="J226" s="1" t="s">
        <v>50</v>
      </c>
      <c r="K226" s="1" t="s">
        <v>50</v>
      </c>
      <c r="L226" s="1"/>
      <c r="M226" s="1" t="s">
        <v>104</v>
      </c>
      <c r="N226" s="1" t="s">
        <v>50</v>
      </c>
      <c r="O226" s="1" t="s">
        <v>50</v>
      </c>
      <c r="P226" s="1" t="s">
        <v>818</v>
      </c>
      <c r="Q226" s="1" t="s">
        <v>104</v>
      </c>
      <c r="R226" s="1" t="s">
        <v>104</v>
      </c>
      <c r="S226" s="1" t="s">
        <v>104</v>
      </c>
      <c r="T226" s="1" t="s">
        <v>104</v>
      </c>
      <c r="U226" s="1" t="s">
        <v>104</v>
      </c>
      <c r="V226" s="1" t="s">
        <v>104</v>
      </c>
      <c r="W226" s="1" t="s">
        <v>104</v>
      </c>
      <c r="X226" s="1" t="s">
        <v>2504</v>
      </c>
      <c r="Y226" s="1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>
        <v>1</v>
      </c>
      <c r="AM226" s="8">
        <v>1</v>
      </c>
      <c r="AN226" s="8">
        <v>1</v>
      </c>
      <c r="AO226" s="8"/>
      <c r="AP226" s="8"/>
      <c r="AQ226" s="8"/>
      <c r="AR226" s="8"/>
      <c r="AS226" s="8"/>
      <c r="AT226" s="8">
        <v>1</v>
      </c>
      <c r="AU226" s="8"/>
      <c r="AV226" s="8"/>
      <c r="AW226" s="8"/>
      <c r="AX226" s="8"/>
      <c r="AY226" s="8"/>
      <c r="AZ226" s="8"/>
      <c r="BA226" s="8"/>
      <c r="BB226" s="1"/>
      <c r="BL226" s="58"/>
      <c r="BP226" t="str">
        <f t="shared" si="6"/>
        <v>DragonPoison</v>
      </c>
      <c r="BR226" s="1" t="s">
        <v>104</v>
      </c>
    </row>
    <row r="227" spans="1:70" x14ac:dyDescent="0.25">
      <c r="A227" s="1" t="s">
        <v>50</v>
      </c>
      <c r="B227" t="s">
        <v>268</v>
      </c>
      <c r="C227" t="s">
        <v>88</v>
      </c>
      <c r="D227" s="1" t="s">
        <v>12</v>
      </c>
      <c r="E227" s="1" t="s">
        <v>9</v>
      </c>
      <c r="F227" s="1" t="s">
        <v>50</v>
      </c>
      <c r="G227" s="1" t="s">
        <v>50</v>
      </c>
      <c r="H227" s="1"/>
      <c r="I227" s="1" t="s">
        <v>50</v>
      </c>
      <c r="J227" s="1" t="s">
        <v>50</v>
      </c>
      <c r="K227" s="1" t="s">
        <v>50</v>
      </c>
      <c r="L227" s="1"/>
      <c r="M227" s="1" t="s">
        <v>50</v>
      </c>
      <c r="N227" s="1" t="s">
        <v>50</v>
      </c>
      <c r="O227" s="1" t="s">
        <v>50</v>
      </c>
      <c r="P227" s="13" t="s">
        <v>821</v>
      </c>
      <c r="Q227" s="1" t="s">
        <v>104</v>
      </c>
      <c r="R227" s="1" t="s">
        <v>104</v>
      </c>
      <c r="S227" s="1" t="s">
        <v>104</v>
      </c>
      <c r="T227" s="1" t="s">
        <v>104</v>
      </c>
      <c r="U227" s="1" t="s">
        <v>104</v>
      </c>
      <c r="V227" s="1" t="s">
        <v>104</v>
      </c>
      <c r="W227" s="1" t="s">
        <v>104</v>
      </c>
      <c r="X227" s="1" t="s">
        <v>2504</v>
      </c>
      <c r="Y227" s="1"/>
      <c r="Z227" s="8"/>
      <c r="AA227" s="8"/>
      <c r="AB227" s="8"/>
      <c r="AC227" s="8"/>
      <c r="AD227" s="8">
        <v>1</v>
      </c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>
        <v>1</v>
      </c>
      <c r="AY227" s="8">
        <v>1</v>
      </c>
      <c r="AZ227" s="8"/>
      <c r="BA227" s="8"/>
      <c r="BB227" s="1"/>
      <c r="BL227" s="58"/>
      <c r="BP227" t="str">
        <f t="shared" si="6"/>
        <v>DragonRock</v>
      </c>
      <c r="BQ227" t="s">
        <v>2</v>
      </c>
      <c r="BR227" s="1" t="s">
        <v>104</v>
      </c>
    </row>
    <row r="228" spans="1:70" x14ac:dyDescent="0.25">
      <c r="A228" s="1" t="s">
        <v>50</v>
      </c>
      <c r="B228" t="s">
        <v>419</v>
      </c>
      <c r="C228" t="s">
        <v>88</v>
      </c>
      <c r="D228" s="1" t="s">
        <v>12</v>
      </c>
      <c r="E228" s="1" t="s">
        <v>9</v>
      </c>
      <c r="F228" s="1" t="s">
        <v>50</v>
      </c>
      <c r="G228" s="1" t="s">
        <v>50</v>
      </c>
      <c r="H228" s="1" t="s">
        <v>50</v>
      </c>
      <c r="I228" s="1" t="s">
        <v>50</v>
      </c>
      <c r="J228" s="1" t="s">
        <v>50</v>
      </c>
      <c r="K228" s="1" t="s">
        <v>50</v>
      </c>
      <c r="L228" s="1"/>
      <c r="M228" s="1" t="s">
        <v>104</v>
      </c>
      <c r="N228" s="1" t="s">
        <v>50</v>
      </c>
      <c r="O228" s="1" t="s">
        <v>50</v>
      </c>
      <c r="P228" s="13" t="s">
        <v>821</v>
      </c>
      <c r="Q228" s="1" t="s">
        <v>104</v>
      </c>
      <c r="R228" s="1" t="s">
        <v>104</v>
      </c>
      <c r="S228" s="1" t="s">
        <v>104</v>
      </c>
      <c r="T228" s="1" t="s">
        <v>104</v>
      </c>
      <c r="U228" s="1" t="s">
        <v>104</v>
      </c>
      <c r="V228" s="1" t="s">
        <v>104</v>
      </c>
      <c r="W228" s="1" t="s">
        <v>104</v>
      </c>
      <c r="X228" s="1" t="s">
        <v>2504</v>
      </c>
      <c r="Y228" s="1"/>
      <c r="Z228" s="8"/>
      <c r="AA228" s="8"/>
      <c r="AB228" s="8"/>
      <c r="AC228" s="8"/>
      <c r="AD228" s="8">
        <v>1</v>
      </c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>
        <v>1</v>
      </c>
      <c r="AY228" s="8">
        <v>1</v>
      </c>
      <c r="AZ228" s="8"/>
      <c r="BA228" s="8"/>
      <c r="BB228" s="1"/>
      <c r="BL228" s="58"/>
      <c r="BP228" t="str">
        <f t="shared" si="6"/>
        <v>DragonRock</v>
      </c>
      <c r="BR228" s="1" t="s">
        <v>104</v>
      </c>
    </row>
    <row r="229" spans="1:70" x14ac:dyDescent="0.25">
      <c r="A229" s="1" t="s">
        <v>50</v>
      </c>
      <c r="B229" t="s">
        <v>268</v>
      </c>
      <c r="C229" t="s">
        <v>2276</v>
      </c>
      <c r="D229" s="1" t="s">
        <v>12</v>
      </c>
      <c r="E229" s="1" t="s">
        <v>16</v>
      </c>
      <c r="F229" s="1" t="s">
        <v>50</v>
      </c>
      <c r="G229" s="1" t="s">
        <v>50</v>
      </c>
      <c r="H229" s="1"/>
      <c r="I229" s="1" t="s">
        <v>50</v>
      </c>
      <c r="J229" s="1" t="s">
        <v>50</v>
      </c>
      <c r="K229" s="1" t="s">
        <v>50</v>
      </c>
      <c r="L229" s="1"/>
      <c r="M229" s="1" t="s">
        <v>50</v>
      </c>
      <c r="N229" s="1" t="s">
        <v>50</v>
      </c>
      <c r="O229" s="1" t="s">
        <v>50</v>
      </c>
      <c r="P229" s="13" t="s">
        <v>811</v>
      </c>
      <c r="Q229" s="1" t="s">
        <v>104</v>
      </c>
      <c r="R229" s="1" t="s">
        <v>104</v>
      </c>
      <c r="S229" s="1" t="s">
        <v>104</v>
      </c>
      <c r="T229" s="1" t="s">
        <v>104</v>
      </c>
      <c r="U229" s="1" t="s">
        <v>104</v>
      </c>
      <c r="V229" s="1" t="s">
        <v>104</v>
      </c>
      <c r="W229" s="1" t="s">
        <v>104</v>
      </c>
      <c r="X229" s="1" t="s">
        <v>2277</v>
      </c>
      <c r="Y229" s="1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>
        <v>1</v>
      </c>
      <c r="AY229" s="8">
        <v>1</v>
      </c>
      <c r="AZ229" s="8"/>
      <c r="BA229" s="8"/>
      <c r="BB229" s="1"/>
      <c r="BL229" s="58"/>
      <c r="BP229" t="str">
        <f t="shared" si="6"/>
        <v>DragonFlying</v>
      </c>
      <c r="BQ229" t="s">
        <v>2</v>
      </c>
      <c r="BR229" s="1" t="s">
        <v>104</v>
      </c>
    </row>
    <row r="230" spans="1:70" x14ac:dyDescent="0.25">
      <c r="A230" s="1" t="s">
        <v>50</v>
      </c>
      <c r="B230" t="s">
        <v>419</v>
      </c>
      <c r="C230" t="s">
        <v>2276</v>
      </c>
      <c r="D230" s="1" t="s">
        <v>12</v>
      </c>
      <c r="E230" s="1" t="s">
        <v>16</v>
      </c>
      <c r="F230" s="1" t="s">
        <v>50</v>
      </c>
      <c r="G230" s="1" t="s">
        <v>50</v>
      </c>
      <c r="H230" s="1" t="s">
        <v>50</v>
      </c>
      <c r="I230" s="1" t="s">
        <v>50</v>
      </c>
      <c r="J230" s="1" t="s">
        <v>50</v>
      </c>
      <c r="K230" s="1" t="s">
        <v>50</v>
      </c>
      <c r="L230" s="1"/>
      <c r="M230" s="1" t="s">
        <v>104</v>
      </c>
      <c r="N230" s="1" t="s">
        <v>50</v>
      </c>
      <c r="O230" s="1" t="s">
        <v>50</v>
      </c>
      <c r="P230" s="13" t="s">
        <v>811</v>
      </c>
      <c r="Q230" s="1" t="s">
        <v>104</v>
      </c>
      <c r="R230" s="1" t="s">
        <v>104</v>
      </c>
      <c r="S230" s="1" t="s">
        <v>104</v>
      </c>
      <c r="T230" s="1" t="s">
        <v>104</v>
      </c>
      <c r="U230" s="1" t="s">
        <v>104</v>
      </c>
      <c r="V230" s="1" t="s">
        <v>104</v>
      </c>
      <c r="W230" s="1" t="s">
        <v>104</v>
      </c>
      <c r="X230" s="1" t="s">
        <v>2277</v>
      </c>
      <c r="Y230" s="1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>
        <v>1</v>
      </c>
      <c r="AY230" s="8">
        <v>1</v>
      </c>
      <c r="AZ230" s="8"/>
      <c r="BA230" s="8"/>
      <c r="BB230" s="1"/>
      <c r="BL230" s="58"/>
      <c r="BP230" t="str">
        <f t="shared" si="6"/>
        <v>DragonFlying</v>
      </c>
      <c r="BR230" s="1" t="s">
        <v>104</v>
      </c>
    </row>
    <row r="231" spans="1:70" x14ac:dyDescent="0.25">
      <c r="A231" s="1" t="s">
        <v>50</v>
      </c>
      <c r="B231" t="s">
        <v>268</v>
      </c>
      <c r="C231" t="s">
        <v>2278</v>
      </c>
      <c r="D231" s="1" t="s">
        <v>12</v>
      </c>
      <c r="E231" s="1" t="s">
        <v>5</v>
      </c>
      <c r="F231" s="1" t="s">
        <v>50</v>
      </c>
      <c r="G231" s="1" t="s">
        <v>50</v>
      </c>
      <c r="H231" s="1"/>
      <c r="I231" s="1" t="s">
        <v>50</v>
      </c>
      <c r="J231" s="1" t="s">
        <v>50</v>
      </c>
      <c r="K231" s="1" t="s">
        <v>50</v>
      </c>
      <c r="L231" s="1"/>
      <c r="M231" s="1" t="s">
        <v>50</v>
      </c>
      <c r="N231" s="1" t="s">
        <v>50</v>
      </c>
      <c r="O231" s="1" t="s">
        <v>50</v>
      </c>
      <c r="P231" s="13" t="s">
        <v>811</v>
      </c>
      <c r="Q231" s="1" t="s">
        <v>104</v>
      </c>
      <c r="R231" s="1" t="s">
        <v>104</v>
      </c>
      <c r="S231" s="1" t="s">
        <v>104</v>
      </c>
      <c r="T231" s="1" t="s">
        <v>104</v>
      </c>
      <c r="U231" s="1" t="s">
        <v>104</v>
      </c>
      <c r="V231" s="1" t="s">
        <v>104</v>
      </c>
      <c r="W231" s="1" t="s">
        <v>104</v>
      </c>
      <c r="X231" s="1" t="s">
        <v>2277</v>
      </c>
      <c r="Y231" s="1"/>
      <c r="Z231" s="8"/>
      <c r="AA231" s="8"/>
      <c r="AB231" s="8"/>
      <c r="AC231" s="8"/>
      <c r="AD231" s="8">
        <v>1</v>
      </c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>
        <v>1</v>
      </c>
      <c r="AP231" s="8">
        <v>1</v>
      </c>
      <c r="AQ231" s="8">
        <v>1</v>
      </c>
      <c r="AR231" s="8">
        <v>1</v>
      </c>
      <c r="AS231" s="8"/>
      <c r="AT231" s="8"/>
      <c r="AU231" s="8"/>
      <c r="AV231" s="8"/>
      <c r="AW231" s="8"/>
      <c r="AX231" s="8"/>
      <c r="AY231" s="8"/>
      <c r="AZ231" s="8"/>
      <c r="BA231" s="8"/>
      <c r="BB231" s="1"/>
      <c r="BL231" s="58"/>
      <c r="BP231" t="str">
        <f t="shared" si="6"/>
        <v>DragonIce</v>
      </c>
      <c r="BQ231" t="s">
        <v>2</v>
      </c>
      <c r="BR231" s="1" t="s">
        <v>104</v>
      </c>
    </row>
    <row r="232" spans="1:70" x14ac:dyDescent="0.25">
      <c r="A232" s="1" t="s">
        <v>50</v>
      </c>
      <c r="B232" t="s">
        <v>419</v>
      </c>
      <c r="C232" t="s">
        <v>2278</v>
      </c>
      <c r="D232" s="1" t="s">
        <v>12</v>
      </c>
      <c r="E232" s="1" t="s">
        <v>5</v>
      </c>
      <c r="F232" s="1" t="s">
        <v>50</v>
      </c>
      <c r="G232" s="1" t="s">
        <v>50</v>
      </c>
      <c r="H232" s="1" t="s">
        <v>50</v>
      </c>
      <c r="I232" s="1" t="s">
        <v>50</v>
      </c>
      <c r="J232" s="1" t="s">
        <v>50</v>
      </c>
      <c r="K232" s="1" t="s">
        <v>50</v>
      </c>
      <c r="L232" s="1"/>
      <c r="M232" s="1" t="s">
        <v>104</v>
      </c>
      <c r="N232" s="1" t="s">
        <v>50</v>
      </c>
      <c r="O232" s="1" t="s">
        <v>50</v>
      </c>
      <c r="P232" s="13" t="s">
        <v>811</v>
      </c>
      <c r="Q232" s="1" t="s">
        <v>104</v>
      </c>
      <c r="R232" s="1" t="s">
        <v>104</v>
      </c>
      <c r="S232" s="1" t="s">
        <v>104</v>
      </c>
      <c r="T232" s="1" t="s">
        <v>104</v>
      </c>
      <c r="U232" s="1" t="s">
        <v>104</v>
      </c>
      <c r="V232" s="1" t="s">
        <v>104</v>
      </c>
      <c r="W232" s="1" t="s">
        <v>104</v>
      </c>
      <c r="X232" s="1" t="s">
        <v>2277</v>
      </c>
      <c r="Y232" s="1"/>
      <c r="Z232" s="8"/>
      <c r="AA232" s="8"/>
      <c r="AB232" s="8"/>
      <c r="AC232" s="8"/>
      <c r="AD232" s="8">
        <v>1</v>
      </c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>
        <v>1</v>
      </c>
      <c r="AP232" s="8">
        <v>1</v>
      </c>
      <c r="AQ232" s="8">
        <v>1</v>
      </c>
      <c r="AR232" s="8">
        <v>1</v>
      </c>
      <c r="AS232" s="8"/>
      <c r="AT232" s="8"/>
      <c r="AU232" s="8"/>
      <c r="AV232" s="8"/>
      <c r="AW232" s="8"/>
      <c r="AX232" s="8"/>
      <c r="AY232" s="8"/>
      <c r="AZ232" s="8"/>
      <c r="BA232" s="8"/>
      <c r="BB232" s="1"/>
      <c r="BL232" s="58"/>
      <c r="BP232" t="str">
        <f t="shared" si="6"/>
        <v>DragonIce</v>
      </c>
      <c r="BR232" s="1" t="s">
        <v>104</v>
      </c>
    </row>
    <row r="233" spans="1:70" x14ac:dyDescent="0.25">
      <c r="A233">
        <f>A206+1</f>
        <v>206</v>
      </c>
      <c r="B233" t="s">
        <v>300</v>
      </c>
      <c r="D233" s="1" t="s">
        <v>3</v>
      </c>
      <c r="E233" s="1" t="s">
        <v>1</v>
      </c>
      <c r="F233" s="1" t="s">
        <v>50</v>
      </c>
      <c r="G233" s="1" t="s">
        <v>50</v>
      </c>
      <c r="H233" s="1"/>
      <c r="I233" s="1" t="s">
        <v>50</v>
      </c>
      <c r="J233" s="1" t="s">
        <v>50</v>
      </c>
      <c r="K233" s="1" t="s">
        <v>50</v>
      </c>
      <c r="L233" s="1"/>
      <c r="M233" s="1" t="s">
        <v>50</v>
      </c>
      <c r="N233" s="1" t="s">
        <v>50</v>
      </c>
      <c r="O233" s="1" t="s">
        <v>50</v>
      </c>
      <c r="P233" s="1" t="s">
        <v>780</v>
      </c>
      <c r="Q233" s="1" t="s">
        <v>104</v>
      </c>
      <c r="R233" s="1" t="s">
        <v>104</v>
      </c>
      <c r="S233" s="1" t="s">
        <v>104</v>
      </c>
      <c r="T233" s="1" t="s">
        <v>104</v>
      </c>
      <c r="U233" s="1" t="s">
        <v>104</v>
      </c>
      <c r="V233" s="1" t="s">
        <v>104</v>
      </c>
      <c r="W233" s="1" t="s">
        <v>104</v>
      </c>
      <c r="X233" s="1" t="s">
        <v>727</v>
      </c>
      <c r="Y233" s="1"/>
      <c r="Z233" s="8">
        <v>1</v>
      </c>
      <c r="AA233" s="8"/>
      <c r="AB233" s="8"/>
      <c r="AC233" s="8"/>
      <c r="AD233" s="8"/>
      <c r="AE233" s="8">
        <v>1</v>
      </c>
      <c r="AF233" s="8"/>
      <c r="AG233" s="8">
        <v>1</v>
      </c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L233" s="58"/>
      <c r="BP233" t="str">
        <f t="shared" si="6"/>
        <v>ElectricNormal</v>
      </c>
      <c r="BQ233" t="s">
        <v>2</v>
      </c>
      <c r="BR233">
        <v>1</v>
      </c>
    </row>
    <row r="234" spans="1:70" x14ac:dyDescent="0.25">
      <c r="A234">
        <f t="shared" ref="A234:A265" si="8">A233+1</f>
        <v>207</v>
      </c>
      <c r="B234" t="s">
        <v>301</v>
      </c>
      <c r="D234" s="1" t="s">
        <v>3</v>
      </c>
      <c r="E234" s="1" t="s">
        <v>1</v>
      </c>
      <c r="F234" s="1" t="s">
        <v>50</v>
      </c>
      <c r="G234" s="1" t="s">
        <v>50</v>
      </c>
      <c r="H234" s="1" t="s">
        <v>50</v>
      </c>
      <c r="I234" s="1" t="s">
        <v>50</v>
      </c>
      <c r="J234" s="1" t="s">
        <v>50</v>
      </c>
      <c r="K234" s="1" t="s">
        <v>50</v>
      </c>
      <c r="L234" s="1" t="s">
        <v>50</v>
      </c>
      <c r="M234" s="1" t="s">
        <v>104</v>
      </c>
      <c r="N234" s="1" t="s">
        <v>50</v>
      </c>
      <c r="O234" s="1" t="s">
        <v>50</v>
      </c>
      <c r="P234" s="1" t="s">
        <v>780</v>
      </c>
      <c r="Q234" s="1" t="s">
        <v>104</v>
      </c>
      <c r="R234" s="1" t="s">
        <v>104</v>
      </c>
      <c r="S234" s="1" t="s">
        <v>104</v>
      </c>
      <c r="T234" s="1" t="s">
        <v>104</v>
      </c>
      <c r="U234" s="1" t="s">
        <v>104</v>
      </c>
      <c r="V234" s="1" t="s">
        <v>104</v>
      </c>
      <c r="W234" s="1" t="s">
        <v>104</v>
      </c>
      <c r="X234" s="1" t="s">
        <v>727</v>
      </c>
      <c r="Y234" s="1"/>
      <c r="Z234" s="8">
        <v>1</v>
      </c>
      <c r="AA234" s="8"/>
      <c r="AB234" s="8"/>
      <c r="AC234" s="8"/>
      <c r="AD234" s="8"/>
      <c r="AE234" s="8">
        <v>1</v>
      </c>
      <c r="AF234" s="8"/>
      <c r="AG234" s="8">
        <v>1</v>
      </c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L234" s="58"/>
      <c r="BP234" t="str">
        <f t="shared" si="6"/>
        <v>ElectricNormal</v>
      </c>
      <c r="BR234">
        <v>1</v>
      </c>
    </row>
    <row r="235" spans="1:70" x14ac:dyDescent="0.25">
      <c r="A235">
        <f t="shared" si="8"/>
        <v>208</v>
      </c>
      <c r="B235" t="s">
        <v>282</v>
      </c>
      <c r="D235" s="1" t="s">
        <v>17</v>
      </c>
      <c r="E235" s="1" t="s">
        <v>4</v>
      </c>
      <c r="F235" s="1" t="s">
        <v>50</v>
      </c>
      <c r="G235" s="1" t="s">
        <v>50</v>
      </c>
      <c r="H235" s="1"/>
      <c r="I235" s="1" t="s">
        <v>50</v>
      </c>
      <c r="J235" s="1" t="s">
        <v>50</v>
      </c>
      <c r="K235" s="1" t="s">
        <v>50</v>
      </c>
      <c r="L235" s="1"/>
      <c r="M235" s="1" t="s">
        <v>50</v>
      </c>
      <c r="N235" s="1" t="s">
        <v>50</v>
      </c>
      <c r="O235" s="1" t="s">
        <v>50</v>
      </c>
      <c r="P235" s="13" t="s">
        <v>1766</v>
      </c>
      <c r="Q235" s="1" t="s">
        <v>104</v>
      </c>
      <c r="R235" s="1" t="s">
        <v>104</v>
      </c>
      <c r="S235" s="1" t="s">
        <v>104</v>
      </c>
      <c r="T235" s="1" t="s">
        <v>104</v>
      </c>
      <c r="U235" s="1" t="s">
        <v>104</v>
      </c>
      <c r="V235" s="1" t="s">
        <v>104</v>
      </c>
      <c r="W235" s="1" t="s">
        <v>104</v>
      </c>
      <c r="X235" s="1" t="s">
        <v>2356</v>
      </c>
      <c r="Y235" s="1"/>
      <c r="Z235" s="8">
        <v>1</v>
      </c>
      <c r="AA235" s="8">
        <v>1</v>
      </c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>
        <v>1</v>
      </c>
      <c r="BA235" s="8"/>
      <c r="BL235" s="58"/>
      <c r="BP235" t="str">
        <f t="shared" si="6"/>
        <v>BugPsychic</v>
      </c>
      <c r="BQ235" t="s">
        <v>2</v>
      </c>
      <c r="BR235">
        <v>3</v>
      </c>
    </row>
    <row r="236" spans="1:70" x14ac:dyDescent="0.25">
      <c r="A236">
        <f t="shared" si="8"/>
        <v>209</v>
      </c>
      <c r="B236" t="s">
        <v>283</v>
      </c>
      <c r="D236" s="1" t="s">
        <v>17</v>
      </c>
      <c r="E236" s="1" t="s">
        <v>4</v>
      </c>
      <c r="F236" s="1" t="s">
        <v>50</v>
      </c>
      <c r="G236" s="1" t="s">
        <v>50</v>
      </c>
      <c r="H236" s="1"/>
      <c r="I236" s="1" t="s">
        <v>50</v>
      </c>
      <c r="J236" s="1" t="s">
        <v>50</v>
      </c>
      <c r="K236" s="1" t="s">
        <v>50</v>
      </c>
      <c r="L236" s="1"/>
      <c r="M236" s="1" t="s">
        <v>104</v>
      </c>
      <c r="N236" s="1" t="s">
        <v>50</v>
      </c>
      <c r="O236" s="1" t="s">
        <v>50</v>
      </c>
      <c r="P236" s="13" t="s">
        <v>1766</v>
      </c>
      <c r="Q236" s="1" t="s">
        <v>104</v>
      </c>
      <c r="R236" s="1" t="s">
        <v>104</v>
      </c>
      <c r="S236" s="1" t="s">
        <v>104</v>
      </c>
      <c r="T236" s="1" t="s">
        <v>104</v>
      </c>
      <c r="U236" s="1" t="s">
        <v>104</v>
      </c>
      <c r="V236" s="1" t="s">
        <v>104</v>
      </c>
      <c r="W236" s="1" t="s">
        <v>104</v>
      </c>
      <c r="X236" s="1" t="s">
        <v>2356</v>
      </c>
      <c r="Y236" s="1"/>
      <c r="Z236" s="8">
        <v>1</v>
      </c>
      <c r="AA236" s="8">
        <v>1</v>
      </c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>
        <v>1</v>
      </c>
      <c r="BA236" s="8"/>
      <c r="BL236" s="58"/>
      <c r="BP236" t="str">
        <f t="shared" si="6"/>
        <v>BugPsychic</v>
      </c>
      <c r="BQ236" t="s">
        <v>2</v>
      </c>
      <c r="BR236">
        <v>3</v>
      </c>
    </row>
    <row r="237" spans="1:70" x14ac:dyDescent="0.25">
      <c r="A237">
        <f t="shared" si="8"/>
        <v>210</v>
      </c>
      <c r="B237" t="s">
        <v>284</v>
      </c>
      <c r="D237" s="1" t="s">
        <v>17</v>
      </c>
      <c r="E237" s="1" t="s">
        <v>4</v>
      </c>
      <c r="F237" s="1" t="s">
        <v>50</v>
      </c>
      <c r="G237" s="1" t="s">
        <v>50</v>
      </c>
      <c r="H237" s="1" t="s">
        <v>50</v>
      </c>
      <c r="I237" s="1" t="s">
        <v>50</v>
      </c>
      <c r="J237" s="1" t="s">
        <v>50</v>
      </c>
      <c r="K237" s="1" t="s">
        <v>50</v>
      </c>
      <c r="L237" s="1"/>
      <c r="M237" s="1" t="s">
        <v>104</v>
      </c>
      <c r="N237" s="1" t="s">
        <v>50</v>
      </c>
      <c r="O237" s="1" t="s">
        <v>50</v>
      </c>
      <c r="P237" s="13" t="s">
        <v>1766</v>
      </c>
      <c r="Q237" s="1" t="s">
        <v>104</v>
      </c>
      <c r="R237" s="1" t="s">
        <v>104</v>
      </c>
      <c r="S237" s="1" t="s">
        <v>104</v>
      </c>
      <c r="T237" s="1" t="s">
        <v>104</v>
      </c>
      <c r="U237" s="1" t="s">
        <v>104</v>
      </c>
      <c r="V237" s="1" t="s">
        <v>104</v>
      </c>
      <c r="W237" s="1" t="s">
        <v>104</v>
      </c>
      <c r="X237" s="1" t="s">
        <v>2356</v>
      </c>
      <c r="Y237" s="1"/>
      <c r="Z237" s="8">
        <v>1</v>
      </c>
      <c r="AA237" s="8">
        <v>1</v>
      </c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>
        <v>1</v>
      </c>
      <c r="BA237" s="8"/>
      <c r="BK237">
        <v>1</v>
      </c>
      <c r="BL237" s="58"/>
      <c r="BP237" t="str">
        <f t="shared" si="6"/>
        <v>BugPsychic</v>
      </c>
      <c r="BR237">
        <v>3</v>
      </c>
    </row>
    <row r="238" spans="1:70" x14ac:dyDescent="0.25">
      <c r="A238">
        <f t="shared" si="8"/>
        <v>211</v>
      </c>
      <c r="B238" t="s">
        <v>627</v>
      </c>
      <c r="D238" s="1" t="s">
        <v>17</v>
      </c>
      <c r="E238" s="1" t="s">
        <v>5</v>
      </c>
      <c r="F238" s="1" t="s">
        <v>50</v>
      </c>
      <c r="G238" s="1" t="s">
        <v>50</v>
      </c>
      <c r="H238" s="1"/>
      <c r="I238" s="1" t="s">
        <v>50</v>
      </c>
      <c r="J238" s="1" t="s">
        <v>50</v>
      </c>
      <c r="K238" s="1" t="s">
        <v>50</v>
      </c>
      <c r="L238" s="1"/>
      <c r="M238" s="1" t="s">
        <v>50</v>
      </c>
      <c r="N238" s="1" t="s">
        <v>50</v>
      </c>
      <c r="O238" s="1" t="s">
        <v>50</v>
      </c>
      <c r="P238" s="13" t="s">
        <v>788</v>
      </c>
      <c r="Q238" s="1" t="s">
        <v>104</v>
      </c>
      <c r="R238" s="1" t="s">
        <v>104</v>
      </c>
      <c r="S238" s="1" t="s">
        <v>104</v>
      </c>
      <c r="T238" s="1" t="s">
        <v>104</v>
      </c>
      <c r="U238" s="1" t="s">
        <v>104</v>
      </c>
      <c r="V238" s="1" t="s">
        <v>104</v>
      </c>
      <c r="W238" s="1" t="s">
        <v>104</v>
      </c>
      <c r="X238" s="1" t="s">
        <v>2356</v>
      </c>
      <c r="Y238" s="1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>
        <v>1</v>
      </c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L238" s="58"/>
      <c r="BP238" t="str">
        <f t="shared" si="6"/>
        <v>BugIce</v>
      </c>
      <c r="BQ238" t="s">
        <v>2</v>
      </c>
      <c r="BR238">
        <v>3</v>
      </c>
    </row>
    <row r="239" spans="1:70" x14ac:dyDescent="0.25">
      <c r="A239">
        <f t="shared" si="8"/>
        <v>212</v>
      </c>
      <c r="B239" t="s">
        <v>285</v>
      </c>
      <c r="D239" s="1" t="s">
        <v>17</v>
      </c>
      <c r="E239" s="1" t="s">
        <v>5</v>
      </c>
      <c r="F239" s="1" t="s">
        <v>50</v>
      </c>
      <c r="G239" s="1" t="s">
        <v>50</v>
      </c>
      <c r="H239" s="1"/>
      <c r="I239" s="1" t="s">
        <v>50</v>
      </c>
      <c r="J239" s="1" t="s">
        <v>50</v>
      </c>
      <c r="K239" s="1" t="s">
        <v>50</v>
      </c>
      <c r="L239" s="1"/>
      <c r="M239" s="1" t="s">
        <v>104</v>
      </c>
      <c r="N239" s="1" t="s">
        <v>50</v>
      </c>
      <c r="O239" s="1" t="s">
        <v>50</v>
      </c>
      <c r="P239" s="13" t="s">
        <v>788</v>
      </c>
      <c r="Q239" s="1" t="s">
        <v>104</v>
      </c>
      <c r="R239" s="1" t="s">
        <v>104</v>
      </c>
      <c r="S239" s="1" t="s">
        <v>104</v>
      </c>
      <c r="T239" s="1" t="s">
        <v>104</v>
      </c>
      <c r="U239" s="1" t="s">
        <v>104</v>
      </c>
      <c r="V239" s="1" t="s">
        <v>104</v>
      </c>
      <c r="W239" s="1" t="s">
        <v>104</v>
      </c>
      <c r="X239" s="1" t="s">
        <v>2356</v>
      </c>
      <c r="Y239" s="1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>
        <v>1</v>
      </c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L239" s="58"/>
      <c r="BP239" t="str">
        <f t="shared" si="6"/>
        <v>BugIce</v>
      </c>
      <c r="BQ239" t="s">
        <v>2</v>
      </c>
      <c r="BR239">
        <v>3</v>
      </c>
    </row>
    <row r="240" spans="1:70" x14ac:dyDescent="0.25">
      <c r="A240">
        <f t="shared" si="8"/>
        <v>213</v>
      </c>
      <c r="B240" t="s">
        <v>423</v>
      </c>
      <c r="D240" s="1" t="s">
        <v>17</v>
      </c>
      <c r="E240" s="1" t="s">
        <v>5</v>
      </c>
      <c r="F240" s="1" t="s">
        <v>50</v>
      </c>
      <c r="G240" s="1" t="s">
        <v>50</v>
      </c>
      <c r="H240" s="1" t="s">
        <v>50</v>
      </c>
      <c r="I240" s="1" t="s">
        <v>50</v>
      </c>
      <c r="J240" s="1" t="s">
        <v>50</v>
      </c>
      <c r="K240" s="1" t="s">
        <v>50</v>
      </c>
      <c r="L240" s="1"/>
      <c r="M240" s="1" t="s">
        <v>104</v>
      </c>
      <c r="N240" s="1" t="s">
        <v>50</v>
      </c>
      <c r="O240" s="1" t="s">
        <v>50</v>
      </c>
      <c r="P240" s="13" t="s">
        <v>788</v>
      </c>
      <c r="Q240" s="1" t="s">
        <v>104</v>
      </c>
      <c r="R240" s="1" t="s">
        <v>104</v>
      </c>
      <c r="S240" s="1" t="s">
        <v>104</v>
      </c>
      <c r="T240" s="1" t="s">
        <v>104</v>
      </c>
      <c r="U240" s="1" t="s">
        <v>104</v>
      </c>
      <c r="V240" s="1" t="s">
        <v>104</v>
      </c>
      <c r="W240" s="1" t="s">
        <v>104</v>
      </c>
      <c r="X240" s="1" t="s">
        <v>2356</v>
      </c>
      <c r="Y240" s="1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>
        <v>1</v>
      </c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K240">
        <v>1</v>
      </c>
      <c r="BL240" s="58"/>
      <c r="BP240" t="str">
        <f t="shared" si="6"/>
        <v>BugIce</v>
      </c>
      <c r="BR240">
        <v>3</v>
      </c>
    </row>
    <row r="241" spans="1:70" ht="30" x14ac:dyDescent="0.25">
      <c r="A241">
        <f t="shared" si="8"/>
        <v>214</v>
      </c>
      <c r="B241" t="s">
        <v>333</v>
      </c>
      <c r="D241" s="1" t="s">
        <v>4</v>
      </c>
      <c r="E241" s="1" t="s">
        <v>1</v>
      </c>
      <c r="F241" s="1" t="s">
        <v>50</v>
      </c>
      <c r="G241" s="1" t="s">
        <v>50</v>
      </c>
      <c r="H241" s="1"/>
      <c r="I241" s="1" t="s">
        <v>50</v>
      </c>
      <c r="J241" s="1" t="s">
        <v>50</v>
      </c>
      <c r="K241" s="1" t="s">
        <v>50</v>
      </c>
      <c r="L241" s="1" t="s">
        <v>50</v>
      </c>
      <c r="M241" s="1" t="s">
        <v>50</v>
      </c>
      <c r="N241" s="1" t="s">
        <v>50</v>
      </c>
      <c r="O241" s="1" t="s">
        <v>50</v>
      </c>
      <c r="P241" s="14" t="s">
        <v>782</v>
      </c>
      <c r="Q241" s="1" t="s">
        <v>104</v>
      </c>
      <c r="R241" s="1" t="s">
        <v>104</v>
      </c>
      <c r="S241" s="1" t="s">
        <v>104</v>
      </c>
      <c r="T241" s="1" t="s">
        <v>104</v>
      </c>
      <c r="U241" s="1" t="s">
        <v>104</v>
      </c>
      <c r="V241" s="1" t="s">
        <v>104</v>
      </c>
      <c r="W241" s="1" t="s">
        <v>104</v>
      </c>
      <c r="X241" s="1" t="s">
        <v>727</v>
      </c>
      <c r="Y241" s="1"/>
      <c r="Z241" s="8">
        <v>1</v>
      </c>
      <c r="AA241" s="8">
        <v>1</v>
      </c>
      <c r="AB241" s="8">
        <v>1</v>
      </c>
      <c r="AC241" s="8">
        <v>1</v>
      </c>
      <c r="AD241" s="8"/>
      <c r="AE241" s="8"/>
      <c r="AF241" s="8"/>
      <c r="AG241" s="8">
        <v>1</v>
      </c>
      <c r="AH241" s="8"/>
      <c r="AI241" s="8"/>
      <c r="AJ241" s="8"/>
      <c r="AK241" s="8"/>
      <c r="AL241" s="8"/>
      <c r="AM241" s="8"/>
      <c r="AN241" s="8"/>
      <c r="AO241" s="8">
        <v>1</v>
      </c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>
        <v>1</v>
      </c>
      <c r="BA241" s="8"/>
      <c r="BB241" s="1"/>
      <c r="BL241" s="58"/>
      <c r="BP241" t="str">
        <f t="shared" si="6"/>
        <v>PsychicNormal</v>
      </c>
      <c r="BQ241" t="s">
        <v>2</v>
      </c>
      <c r="BR241">
        <v>2</v>
      </c>
    </row>
    <row r="242" spans="1:70" ht="30" x14ac:dyDescent="0.25">
      <c r="A242">
        <f t="shared" si="8"/>
        <v>215</v>
      </c>
      <c r="B242" t="s">
        <v>334</v>
      </c>
      <c r="D242" s="1" t="s">
        <v>4</v>
      </c>
      <c r="E242" s="1" t="s">
        <v>1</v>
      </c>
      <c r="F242" s="1" t="s">
        <v>50</v>
      </c>
      <c r="G242" s="1" t="s">
        <v>50</v>
      </c>
      <c r="H242" s="1" t="s">
        <v>50</v>
      </c>
      <c r="I242" s="1" t="s">
        <v>50</v>
      </c>
      <c r="J242" s="1" t="s">
        <v>50</v>
      </c>
      <c r="K242" s="1" t="s">
        <v>50</v>
      </c>
      <c r="L242" s="1"/>
      <c r="M242" s="1" t="s">
        <v>104</v>
      </c>
      <c r="N242" s="1" t="s">
        <v>50</v>
      </c>
      <c r="O242" s="1" t="s">
        <v>50</v>
      </c>
      <c r="P242" s="14" t="s">
        <v>782</v>
      </c>
      <c r="Q242" s="1" t="s">
        <v>104</v>
      </c>
      <c r="R242" s="1" t="s">
        <v>104</v>
      </c>
      <c r="S242" s="1" t="s">
        <v>104</v>
      </c>
      <c r="T242" s="1" t="s">
        <v>104</v>
      </c>
      <c r="U242" s="1" t="s">
        <v>104</v>
      </c>
      <c r="V242" s="1" t="s">
        <v>104</v>
      </c>
      <c r="W242" s="1" t="s">
        <v>104</v>
      </c>
      <c r="X242" s="1" t="s">
        <v>727</v>
      </c>
      <c r="Y242" s="1"/>
      <c r="Z242" s="8">
        <v>1</v>
      </c>
      <c r="AA242" s="8">
        <v>1</v>
      </c>
      <c r="AB242" s="8">
        <v>1</v>
      </c>
      <c r="AC242" s="8">
        <v>1</v>
      </c>
      <c r="AD242" s="8"/>
      <c r="AE242" s="8"/>
      <c r="AF242" s="8"/>
      <c r="AG242" s="8">
        <v>1</v>
      </c>
      <c r="AH242" s="8"/>
      <c r="AI242" s="8"/>
      <c r="AJ242" s="8"/>
      <c r="AK242" s="8"/>
      <c r="AL242" s="8"/>
      <c r="AM242" s="8"/>
      <c r="AN242" s="8"/>
      <c r="AO242" s="8">
        <v>1</v>
      </c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>
        <v>1</v>
      </c>
      <c r="BA242" s="8"/>
      <c r="BB242" s="1"/>
      <c r="BL242" s="58"/>
      <c r="BP242" t="str">
        <f t="shared" si="6"/>
        <v>PsychicNormal</v>
      </c>
      <c r="BR242">
        <v>4</v>
      </c>
    </row>
    <row r="243" spans="1:70" x14ac:dyDescent="0.25">
      <c r="A243">
        <f t="shared" si="8"/>
        <v>216</v>
      </c>
      <c r="B243" t="s">
        <v>337</v>
      </c>
      <c r="D243" s="1" t="s">
        <v>1</v>
      </c>
      <c r="E243" s="1" t="s">
        <v>4</v>
      </c>
      <c r="F243" s="1" t="s">
        <v>50</v>
      </c>
      <c r="G243" s="1" t="s">
        <v>50</v>
      </c>
      <c r="H243" s="1"/>
      <c r="I243" s="1" t="s">
        <v>50</v>
      </c>
      <c r="J243" s="1" t="s">
        <v>50</v>
      </c>
      <c r="K243" s="1" t="s">
        <v>50</v>
      </c>
      <c r="L243" s="1" t="s">
        <v>50</v>
      </c>
      <c r="M243" s="1" t="s">
        <v>50</v>
      </c>
      <c r="N243" s="1" t="s">
        <v>50</v>
      </c>
      <c r="O243" s="1" t="s">
        <v>50</v>
      </c>
      <c r="P243" s="1" t="s">
        <v>783</v>
      </c>
      <c r="Q243" s="1" t="s">
        <v>104</v>
      </c>
      <c r="R243" s="1" t="s">
        <v>104</v>
      </c>
      <c r="S243" s="1" t="s">
        <v>104</v>
      </c>
      <c r="T243" s="1" t="s">
        <v>104</v>
      </c>
      <c r="U243" s="1" t="s">
        <v>104</v>
      </c>
      <c r="V243" s="1" t="s">
        <v>104</v>
      </c>
      <c r="W243" s="1" t="s">
        <v>104</v>
      </c>
      <c r="X243" s="1" t="s">
        <v>727</v>
      </c>
      <c r="Y243" s="1"/>
      <c r="Z243" s="8">
        <v>1</v>
      </c>
      <c r="AA243" s="8">
        <v>1</v>
      </c>
      <c r="AB243" s="8">
        <v>1</v>
      </c>
      <c r="AC243" s="8"/>
      <c r="AD243" s="8">
        <v>1</v>
      </c>
      <c r="AE243" s="8"/>
      <c r="AF243" s="8">
        <v>1</v>
      </c>
      <c r="AG243" s="8">
        <v>1</v>
      </c>
      <c r="AH243" s="8"/>
      <c r="AI243" s="8"/>
      <c r="AJ243" s="8"/>
      <c r="AK243" s="8"/>
      <c r="AL243" s="8"/>
      <c r="AM243" s="8"/>
      <c r="AN243" s="8"/>
      <c r="AO243" s="8">
        <v>1</v>
      </c>
      <c r="AP243" s="8"/>
      <c r="AQ243" s="8"/>
      <c r="AR243" s="8"/>
      <c r="AS243" s="8">
        <v>1</v>
      </c>
      <c r="AT243" s="8">
        <v>1</v>
      </c>
      <c r="AU243" s="8"/>
      <c r="AV243" s="8"/>
      <c r="AW243" s="8"/>
      <c r="AX243" s="8"/>
      <c r="AY243" s="8">
        <v>1</v>
      </c>
      <c r="AZ243" s="8">
        <v>1</v>
      </c>
      <c r="BA243" s="8"/>
      <c r="BB243" s="1"/>
      <c r="BL243" s="58"/>
      <c r="BP243" t="str">
        <f t="shared" si="6"/>
        <v>NormalPsychic</v>
      </c>
      <c r="BQ243" t="s">
        <v>2</v>
      </c>
      <c r="BR243">
        <v>1</v>
      </c>
    </row>
    <row r="244" spans="1:70" x14ac:dyDescent="0.25">
      <c r="A244">
        <f t="shared" si="8"/>
        <v>217</v>
      </c>
      <c r="B244" t="s">
        <v>338</v>
      </c>
      <c r="D244" s="1" t="s">
        <v>1</v>
      </c>
      <c r="E244" s="1" t="s">
        <v>4</v>
      </c>
      <c r="F244" s="1" t="s">
        <v>50</v>
      </c>
      <c r="G244" s="1" t="s">
        <v>50</v>
      </c>
      <c r="H244" s="1" t="s">
        <v>50</v>
      </c>
      <c r="I244" s="1" t="s">
        <v>50</v>
      </c>
      <c r="J244" s="1" t="s">
        <v>50</v>
      </c>
      <c r="K244" s="1" t="s">
        <v>50</v>
      </c>
      <c r="L244" s="1" t="s">
        <v>50</v>
      </c>
      <c r="M244" s="1" t="s">
        <v>104</v>
      </c>
      <c r="N244" s="1" t="s">
        <v>50</v>
      </c>
      <c r="O244" s="1" t="s">
        <v>50</v>
      </c>
      <c r="P244" s="1" t="s">
        <v>783</v>
      </c>
      <c r="Q244" s="1" t="s">
        <v>104</v>
      </c>
      <c r="R244" s="1" t="s">
        <v>104</v>
      </c>
      <c r="S244" s="1" t="s">
        <v>104</v>
      </c>
      <c r="T244" s="1" t="s">
        <v>104</v>
      </c>
      <c r="U244" s="1" t="s">
        <v>104</v>
      </c>
      <c r="V244" s="1" t="s">
        <v>104</v>
      </c>
      <c r="W244" s="1" t="s">
        <v>104</v>
      </c>
      <c r="X244" s="1" t="s">
        <v>727</v>
      </c>
      <c r="Y244" s="1"/>
      <c r="Z244" s="8">
        <v>1</v>
      </c>
      <c r="AA244" s="8">
        <v>1</v>
      </c>
      <c r="AB244" s="8">
        <v>1</v>
      </c>
      <c r="AC244" s="8"/>
      <c r="AD244" s="8">
        <v>1</v>
      </c>
      <c r="AE244" s="8"/>
      <c r="AF244" s="8">
        <v>1</v>
      </c>
      <c r="AG244" s="8">
        <v>1</v>
      </c>
      <c r="AH244" s="8"/>
      <c r="AI244" s="8"/>
      <c r="AJ244" s="8"/>
      <c r="AK244" s="8"/>
      <c r="AL244" s="8"/>
      <c r="AM244" s="8"/>
      <c r="AN244" s="8"/>
      <c r="AO244" s="8">
        <v>1</v>
      </c>
      <c r="AP244" s="8"/>
      <c r="AQ244" s="8"/>
      <c r="AR244" s="8"/>
      <c r="AS244" s="8">
        <v>1</v>
      </c>
      <c r="AT244" s="8">
        <v>1</v>
      </c>
      <c r="AU244" s="8"/>
      <c r="AV244" s="8"/>
      <c r="AW244" s="8"/>
      <c r="AX244" s="8"/>
      <c r="AY244" s="8">
        <v>1</v>
      </c>
      <c r="AZ244" s="8">
        <v>1</v>
      </c>
      <c r="BA244" s="8"/>
      <c r="BB244" s="1"/>
      <c r="BJ244">
        <v>1</v>
      </c>
      <c r="BL244" s="58">
        <v>1</v>
      </c>
      <c r="BP244" t="str">
        <f t="shared" si="6"/>
        <v>NormalPsychic</v>
      </c>
      <c r="BR244">
        <v>1</v>
      </c>
    </row>
    <row r="245" spans="1:70" ht="30" x14ac:dyDescent="0.25">
      <c r="A245">
        <f t="shared" si="8"/>
        <v>218</v>
      </c>
      <c r="B245" t="s">
        <v>361</v>
      </c>
      <c r="D245" s="1" t="s">
        <v>41</v>
      </c>
      <c r="E245" s="1" t="s">
        <v>16</v>
      </c>
      <c r="F245" s="1" t="s">
        <v>50</v>
      </c>
      <c r="G245" s="1" t="s">
        <v>50</v>
      </c>
      <c r="H245" s="1"/>
      <c r="I245" s="1" t="s">
        <v>50</v>
      </c>
      <c r="J245" s="1" t="s">
        <v>50</v>
      </c>
      <c r="K245" s="1" t="s">
        <v>50</v>
      </c>
      <c r="L245" s="1" t="s">
        <v>50</v>
      </c>
      <c r="M245" s="1" t="s">
        <v>50</v>
      </c>
      <c r="N245" s="1" t="s">
        <v>50</v>
      </c>
      <c r="O245" s="1" t="s">
        <v>50</v>
      </c>
      <c r="P245" s="14" t="s">
        <v>784</v>
      </c>
      <c r="Q245" s="1" t="s">
        <v>104</v>
      </c>
      <c r="R245" s="1" t="s">
        <v>104</v>
      </c>
      <c r="S245" s="1" t="s">
        <v>104</v>
      </c>
      <c r="T245" s="1" t="s">
        <v>104</v>
      </c>
      <c r="U245" s="1" t="s">
        <v>104</v>
      </c>
      <c r="V245" s="1" t="s">
        <v>104</v>
      </c>
      <c r="W245" s="1" t="s">
        <v>104</v>
      </c>
      <c r="X245" s="1" t="s">
        <v>727</v>
      </c>
      <c r="Y245" s="1"/>
      <c r="Z245" s="8">
        <v>1</v>
      </c>
      <c r="AA245" s="8">
        <v>1</v>
      </c>
      <c r="AB245" s="8"/>
      <c r="AC245" s="8"/>
      <c r="AD245" s="8"/>
      <c r="AE245" s="8"/>
      <c r="AF245" s="8"/>
      <c r="AG245" s="8">
        <v>1</v>
      </c>
      <c r="AH245" s="8"/>
      <c r="AI245" s="8"/>
      <c r="AJ245" s="8"/>
      <c r="AK245" s="8"/>
      <c r="AL245" s="8"/>
      <c r="AM245" s="8"/>
      <c r="AN245" s="8"/>
      <c r="AO245" s="8">
        <v>1</v>
      </c>
      <c r="AP245" s="8"/>
      <c r="AQ245" s="8"/>
      <c r="AR245" s="8"/>
      <c r="AS245" s="8">
        <v>1</v>
      </c>
      <c r="AT245" s="8"/>
      <c r="AU245" s="8"/>
      <c r="AV245" s="8"/>
      <c r="AW245" s="8"/>
      <c r="AX245" s="8">
        <v>1</v>
      </c>
      <c r="AY245" s="8"/>
      <c r="AZ245" s="8"/>
      <c r="BA245" s="8"/>
      <c r="BB245" s="1"/>
      <c r="BL245" s="58"/>
      <c r="BP245" t="str">
        <f t="shared" si="6"/>
        <v>SoundFlying</v>
      </c>
      <c r="BQ245" t="s">
        <v>2</v>
      </c>
      <c r="BR245">
        <v>4</v>
      </c>
    </row>
    <row r="246" spans="1:70" ht="30" x14ac:dyDescent="0.25">
      <c r="A246">
        <f t="shared" si="8"/>
        <v>219</v>
      </c>
      <c r="B246" t="s">
        <v>362</v>
      </c>
      <c r="D246" s="1" t="s">
        <v>41</v>
      </c>
      <c r="E246" s="1" t="s">
        <v>16</v>
      </c>
      <c r="F246" s="1" t="s">
        <v>50</v>
      </c>
      <c r="G246" s="1" t="s">
        <v>50</v>
      </c>
      <c r="H246" s="1"/>
      <c r="I246" s="1" t="s">
        <v>50</v>
      </c>
      <c r="J246" s="1" t="s">
        <v>50</v>
      </c>
      <c r="K246" s="1" t="s">
        <v>50</v>
      </c>
      <c r="L246" s="1" t="s">
        <v>50</v>
      </c>
      <c r="M246" s="1" t="s">
        <v>104</v>
      </c>
      <c r="N246" s="1" t="s">
        <v>50</v>
      </c>
      <c r="O246" s="1" t="s">
        <v>50</v>
      </c>
      <c r="P246" s="14" t="s">
        <v>784</v>
      </c>
      <c r="Q246" s="1" t="s">
        <v>104</v>
      </c>
      <c r="R246" s="1" t="s">
        <v>104</v>
      </c>
      <c r="S246" s="1" t="s">
        <v>104</v>
      </c>
      <c r="T246" s="1" t="s">
        <v>104</v>
      </c>
      <c r="U246" s="1" t="s">
        <v>104</v>
      </c>
      <c r="V246" s="1" t="s">
        <v>104</v>
      </c>
      <c r="W246" s="1" t="s">
        <v>104</v>
      </c>
      <c r="X246" s="1" t="s">
        <v>727</v>
      </c>
      <c r="Y246" s="1"/>
      <c r="Z246" s="8">
        <v>1</v>
      </c>
      <c r="AA246" s="8">
        <v>1</v>
      </c>
      <c r="AB246" s="8"/>
      <c r="AC246" s="8"/>
      <c r="AD246" s="8"/>
      <c r="AE246" s="8"/>
      <c r="AF246" s="8"/>
      <c r="AG246" s="8">
        <v>1</v>
      </c>
      <c r="AH246" s="8"/>
      <c r="AI246" s="8"/>
      <c r="AJ246" s="8"/>
      <c r="AK246" s="8"/>
      <c r="AL246" s="8"/>
      <c r="AM246" s="8"/>
      <c r="AN246" s="8"/>
      <c r="AO246" s="8">
        <v>1</v>
      </c>
      <c r="AP246" s="8"/>
      <c r="AQ246" s="8"/>
      <c r="AR246" s="8"/>
      <c r="AS246" s="8">
        <v>1</v>
      </c>
      <c r="AT246" s="8"/>
      <c r="AU246" s="8"/>
      <c r="AV246" s="8"/>
      <c r="AW246" s="8"/>
      <c r="AX246" s="8">
        <v>1</v>
      </c>
      <c r="AY246" s="8"/>
      <c r="AZ246" s="8"/>
      <c r="BA246" s="8"/>
      <c r="BB246" s="1"/>
      <c r="BL246" s="58"/>
      <c r="BP246" t="str">
        <f t="shared" si="6"/>
        <v>SoundFlying</v>
      </c>
      <c r="BQ246" t="s">
        <v>2</v>
      </c>
      <c r="BR246">
        <v>4</v>
      </c>
    </row>
    <row r="247" spans="1:70" ht="30" x14ac:dyDescent="0.25">
      <c r="A247">
        <f t="shared" si="8"/>
        <v>220</v>
      </c>
      <c r="B247" t="s">
        <v>363</v>
      </c>
      <c r="D247" s="1" t="s">
        <v>41</v>
      </c>
      <c r="E247" s="1" t="s">
        <v>16</v>
      </c>
      <c r="F247" s="1" t="s">
        <v>50</v>
      </c>
      <c r="G247" s="1" t="s">
        <v>50</v>
      </c>
      <c r="H247" s="1" t="s">
        <v>50</v>
      </c>
      <c r="I247" s="1" t="s">
        <v>50</v>
      </c>
      <c r="J247" s="1" t="s">
        <v>50</v>
      </c>
      <c r="K247" s="1" t="s">
        <v>50</v>
      </c>
      <c r="L247" s="1" t="s">
        <v>50</v>
      </c>
      <c r="M247" s="1" t="s">
        <v>104</v>
      </c>
      <c r="N247" s="1" t="s">
        <v>50</v>
      </c>
      <c r="O247" s="1" t="s">
        <v>50</v>
      </c>
      <c r="P247" s="14" t="s">
        <v>784</v>
      </c>
      <c r="Q247" s="1" t="s">
        <v>50</v>
      </c>
      <c r="R247" s="1" t="s">
        <v>50</v>
      </c>
      <c r="S247" s="1" t="s">
        <v>50</v>
      </c>
      <c r="T247" s="1" t="s">
        <v>50</v>
      </c>
      <c r="U247" s="1" t="s">
        <v>50</v>
      </c>
      <c r="V247" s="1" t="s">
        <v>50</v>
      </c>
      <c r="W247" s="1" t="s">
        <v>50</v>
      </c>
      <c r="X247" s="1" t="s">
        <v>727</v>
      </c>
      <c r="Y247" s="1"/>
      <c r="Z247" s="8">
        <v>1</v>
      </c>
      <c r="AA247" s="8">
        <v>1</v>
      </c>
      <c r="AB247" s="8"/>
      <c r="AC247" s="8"/>
      <c r="AD247" s="8"/>
      <c r="AE247" s="8"/>
      <c r="AF247" s="8"/>
      <c r="AG247" s="8">
        <v>1</v>
      </c>
      <c r="AH247" s="8"/>
      <c r="AI247" s="8"/>
      <c r="AJ247" s="8"/>
      <c r="AK247" s="8"/>
      <c r="AL247" s="8"/>
      <c r="AM247" s="8"/>
      <c r="AN247" s="8"/>
      <c r="AO247" s="8">
        <v>1</v>
      </c>
      <c r="AP247" s="8"/>
      <c r="AQ247" s="8"/>
      <c r="AR247" s="8"/>
      <c r="AS247" s="8">
        <v>1</v>
      </c>
      <c r="AT247" s="8"/>
      <c r="AU247" s="8"/>
      <c r="AV247" s="8"/>
      <c r="AW247" s="8"/>
      <c r="AX247" s="8">
        <v>1</v>
      </c>
      <c r="AY247" s="8"/>
      <c r="AZ247" s="8"/>
      <c r="BA247" s="8"/>
      <c r="BB247" s="1"/>
      <c r="BJ247">
        <v>8</v>
      </c>
      <c r="BK247">
        <v>1</v>
      </c>
      <c r="BL247" s="58"/>
      <c r="BP247" t="str">
        <f t="shared" si="6"/>
        <v>SoundFlying</v>
      </c>
      <c r="BR247">
        <v>4</v>
      </c>
    </row>
    <row r="248" spans="1:70" ht="30" x14ac:dyDescent="0.25">
      <c r="A248">
        <f t="shared" si="8"/>
        <v>221</v>
      </c>
      <c r="B248" t="s">
        <v>306</v>
      </c>
      <c r="D248" s="1" t="s">
        <v>17</v>
      </c>
      <c r="E248" s="1" t="s">
        <v>41</v>
      </c>
      <c r="F248" s="1" t="s">
        <v>50</v>
      </c>
      <c r="G248" s="1" t="s">
        <v>50</v>
      </c>
      <c r="H248" s="1"/>
      <c r="I248" s="1" t="s">
        <v>50</v>
      </c>
      <c r="J248" s="1" t="s">
        <v>50</v>
      </c>
      <c r="K248" s="1" t="s">
        <v>50</v>
      </c>
      <c r="L248" s="1" t="s">
        <v>50</v>
      </c>
      <c r="M248" s="1" t="s">
        <v>50</v>
      </c>
      <c r="N248" s="1" t="s">
        <v>50</v>
      </c>
      <c r="O248" s="1" t="s">
        <v>50</v>
      </c>
      <c r="P248" s="14" t="s">
        <v>786</v>
      </c>
      <c r="Q248" s="1" t="s">
        <v>104</v>
      </c>
      <c r="R248" s="1" t="s">
        <v>104</v>
      </c>
      <c r="S248" s="1" t="s">
        <v>104</v>
      </c>
      <c r="T248" s="1" t="s">
        <v>104</v>
      </c>
      <c r="U248" s="1" t="s">
        <v>104</v>
      </c>
      <c r="V248" s="1" t="s">
        <v>104</v>
      </c>
      <c r="W248" s="1" t="s">
        <v>104</v>
      </c>
      <c r="X248" s="1" t="s">
        <v>727</v>
      </c>
      <c r="Y248" s="1"/>
      <c r="Z248" s="8">
        <v>1</v>
      </c>
      <c r="AA248" s="8">
        <v>1</v>
      </c>
      <c r="AB248" s="8">
        <v>1</v>
      </c>
      <c r="AC248" s="8">
        <v>1</v>
      </c>
      <c r="AD248" s="8"/>
      <c r="AE248" s="8"/>
      <c r="AF248" s="8"/>
      <c r="AG248" s="8">
        <v>1</v>
      </c>
      <c r="AH248" s="8"/>
      <c r="AI248" s="8"/>
      <c r="AJ248" s="8"/>
      <c r="AK248" s="8"/>
      <c r="AL248" s="8"/>
      <c r="AM248" s="8"/>
      <c r="AN248" s="8"/>
      <c r="AO248" s="8">
        <v>1</v>
      </c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>
        <v>1</v>
      </c>
      <c r="BA248" s="8"/>
      <c r="BB248" s="1"/>
      <c r="BL248" s="58"/>
      <c r="BP248" t="str">
        <f t="shared" si="6"/>
        <v>BugSound</v>
      </c>
      <c r="BQ248" t="s">
        <v>2</v>
      </c>
      <c r="BR248">
        <v>4</v>
      </c>
    </row>
    <row r="249" spans="1:70" ht="30" x14ac:dyDescent="0.25">
      <c r="A249">
        <f t="shared" si="8"/>
        <v>222</v>
      </c>
      <c r="B249" t="s">
        <v>307</v>
      </c>
      <c r="D249" s="1" t="s">
        <v>17</v>
      </c>
      <c r="E249" s="1" t="s">
        <v>41</v>
      </c>
      <c r="F249" s="1" t="s">
        <v>50</v>
      </c>
      <c r="G249" s="1" t="s">
        <v>50</v>
      </c>
      <c r="H249" s="1" t="s">
        <v>50</v>
      </c>
      <c r="I249" s="1" t="s">
        <v>50</v>
      </c>
      <c r="J249" s="1" t="s">
        <v>50</v>
      </c>
      <c r="K249" s="1" t="s">
        <v>50</v>
      </c>
      <c r="L249" s="1" t="s">
        <v>50</v>
      </c>
      <c r="M249" s="1" t="s">
        <v>104</v>
      </c>
      <c r="N249" s="1" t="s">
        <v>50</v>
      </c>
      <c r="O249" s="1" t="s">
        <v>50</v>
      </c>
      <c r="P249" s="14" t="s">
        <v>785</v>
      </c>
      <c r="Q249" s="1" t="s">
        <v>104</v>
      </c>
      <c r="R249" s="1" t="s">
        <v>104</v>
      </c>
      <c r="S249" s="1" t="s">
        <v>104</v>
      </c>
      <c r="T249" s="1" t="s">
        <v>104</v>
      </c>
      <c r="U249" s="1" t="s">
        <v>104</v>
      </c>
      <c r="V249" s="1" t="s">
        <v>104</v>
      </c>
      <c r="W249" s="1" t="s">
        <v>104</v>
      </c>
      <c r="X249" s="1" t="s">
        <v>727</v>
      </c>
      <c r="Y249" s="1"/>
      <c r="Z249" s="8">
        <v>1</v>
      </c>
      <c r="AA249" s="8">
        <v>1</v>
      </c>
      <c r="AB249" s="8">
        <v>1</v>
      </c>
      <c r="AC249" s="8">
        <v>1</v>
      </c>
      <c r="AD249" s="8"/>
      <c r="AE249" s="8"/>
      <c r="AF249" s="8"/>
      <c r="AG249" s="8">
        <v>1</v>
      </c>
      <c r="AH249" s="8"/>
      <c r="AI249" s="8"/>
      <c r="AJ249" s="8"/>
      <c r="AK249" s="8"/>
      <c r="AL249" s="8"/>
      <c r="AM249" s="8"/>
      <c r="AN249" s="8"/>
      <c r="AO249" s="8">
        <v>1</v>
      </c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>
        <v>1</v>
      </c>
      <c r="BA249" s="8"/>
      <c r="BB249" s="1"/>
      <c r="BJ249">
        <v>2</v>
      </c>
      <c r="BK249">
        <v>3</v>
      </c>
      <c r="BL249" s="58"/>
      <c r="BP249" t="str">
        <f t="shared" si="6"/>
        <v>BugSound</v>
      </c>
      <c r="BR249">
        <v>4</v>
      </c>
    </row>
    <row r="250" spans="1:70" x14ac:dyDescent="0.25">
      <c r="A250">
        <f t="shared" si="8"/>
        <v>223</v>
      </c>
      <c r="B250" t="s">
        <v>327</v>
      </c>
      <c r="D250" s="1" t="s">
        <v>1</v>
      </c>
      <c r="E250" s="1">
        <v>0</v>
      </c>
      <c r="F250" s="1" t="s">
        <v>50</v>
      </c>
      <c r="G250" s="1" t="s">
        <v>50</v>
      </c>
      <c r="H250" s="1"/>
      <c r="I250" s="1" t="s">
        <v>50</v>
      </c>
      <c r="J250" s="1" t="s">
        <v>50</v>
      </c>
      <c r="K250" s="1" t="s">
        <v>50</v>
      </c>
      <c r="L250" s="1"/>
      <c r="M250" s="1" t="s">
        <v>50</v>
      </c>
      <c r="N250" s="1" t="s">
        <v>50</v>
      </c>
      <c r="O250" s="1" t="s">
        <v>50</v>
      </c>
      <c r="P250" s="1" t="s">
        <v>104</v>
      </c>
      <c r="Q250" s="1" t="s">
        <v>104</v>
      </c>
      <c r="R250" s="1" t="s">
        <v>104</v>
      </c>
      <c r="S250" s="1" t="s">
        <v>104</v>
      </c>
      <c r="T250" s="1" t="s">
        <v>104</v>
      </c>
      <c r="U250" s="1" t="s">
        <v>104</v>
      </c>
      <c r="V250" s="1" t="s">
        <v>104</v>
      </c>
      <c r="W250" s="1" t="s">
        <v>104</v>
      </c>
      <c r="X250" s="1" t="s">
        <v>739</v>
      </c>
      <c r="Y250" s="1"/>
      <c r="Z250" s="8">
        <v>1</v>
      </c>
      <c r="AA250" s="8">
        <v>1</v>
      </c>
      <c r="AB250" s="8">
        <v>1</v>
      </c>
      <c r="AC250" s="8"/>
      <c r="AD250" s="8">
        <v>1</v>
      </c>
      <c r="AE250" s="8"/>
      <c r="AF250" s="8"/>
      <c r="AG250" s="8"/>
      <c r="AH250" s="8"/>
      <c r="AI250" s="8">
        <v>1</v>
      </c>
      <c r="AJ250" s="8">
        <v>1</v>
      </c>
      <c r="AK250" s="8"/>
      <c r="AL250" s="8"/>
      <c r="AM250" s="8"/>
      <c r="AN250" s="8"/>
      <c r="AO250" s="8">
        <v>1</v>
      </c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1"/>
      <c r="BL250" s="58"/>
      <c r="BP250" t="str">
        <f t="shared" si="6"/>
        <v>Normal0</v>
      </c>
      <c r="BQ250" t="s">
        <v>2</v>
      </c>
      <c r="BR250">
        <v>1</v>
      </c>
    </row>
    <row r="251" spans="1:70" x14ac:dyDescent="0.25">
      <c r="A251">
        <f t="shared" si="8"/>
        <v>224</v>
      </c>
      <c r="B251" t="s">
        <v>328</v>
      </c>
      <c r="D251" s="1" t="s">
        <v>1</v>
      </c>
      <c r="E251" s="1" t="s">
        <v>17</v>
      </c>
      <c r="F251" s="1" t="s">
        <v>50</v>
      </c>
      <c r="G251" s="1" t="s">
        <v>50</v>
      </c>
      <c r="H251" s="1" t="s">
        <v>50</v>
      </c>
      <c r="I251" s="1" t="s">
        <v>50</v>
      </c>
      <c r="J251" s="1" t="s">
        <v>50</v>
      </c>
      <c r="K251" s="1" t="s">
        <v>50</v>
      </c>
      <c r="L251" s="1"/>
      <c r="M251" s="1" t="s">
        <v>104</v>
      </c>
      <c r="N251" s="1" t="s">
        <v>50</v>
      </c>
      <c r="O251" s="1" t="s">
        <v>50</v>
      </c>
      <c r="P251" s="1" t="s">
        <v>104</v>
      </c>
      <c r="Q251" s="1" t="s">
        <v>104</v>
      </c>
      <c r="R251" s="1" t="s">
        <v>104</v>
      </c>
      <c r="S251" s="1" t="s">
        <v>104</v>
      </c>
      <c r="T251" s="1" t="s">
        <v>104</v>
      </c>
      <c r="U251" s="1" t="s">
        <v>104</v>
      </c>
      <c r="V251" s="1" t="s">
        <v>104</v>
      </c>
      <c r="W251" s="1" t="s">
        <v>104</v>
      </c>
      <c r="X251" s="1" t="s">
        <v>739</v>
      </c>
      <c r="Y251" s="1"/>
      <c r="Z251" s="8">
        <v>1</v>
      </c>
      <c r="AA251" s="8">
        <v>1</v>
      </c>
      <c r="AB251" s="8">
        <v>1</v>
      </c>
      <c r="AC251" s="8"/>
      <c r="AD251" s="8">
        <v>1</v>
      </c>
      <c r="AE251" s="8"/>
      <c r="AF251" s="8"/>
      <c r="AG251" s="8"/>
      <c r="AH251" s="8"/>
      <c r="AI251" s="8">
        <v>1</v>
      </c>
      <c r="AJ251" s="8">
        <v>1</v>
      </c>
      <c r="AK251" s="8"/>
      <c r="AL251" s="8"/>
      <c r="AM251" s="8"/>
      <c r="AN251" s="8"/>
      <c r="AO251" s="8">
        <v>1</v>
      </c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1"/>
      <c r="BJ251">
        <v>1</v>
      </c>
      <c r="BL251" s="58"/>
      <c r="BP251" t="str">
        <f t="shared" si="6"/>
        <v>NormalBug</v>
      </c>
      <c r="BR251">
        <v>1</v>
      </c>
    </row>
    <row r="252" spans="1:70" x14ac:dyDescent="0.25">
      <c r="A252">
        <f t="shared" si="8"/>
        <v>225</v>
      </c>
      <c r="B252" t="s">
        <v>329</v>
      </c>
      <c r="D252" s="1" t="s">
        <v>1</v>
      </c>
      <c r="E252" s="1" t="s">
        <v>17</v>
      </c>
      <c r="F252" s="1" t="s">
        <v>50</v>
      </c>
      <c r="G252" s="1" t="s">
        <v>50</v>
      </c>
      <c r="H252" s="1" t="s">
        <v>50</v>
      </c>
      <c r="I252" s="1" t="s">
        <v>50</v>
      </c>
      <c r="J252" s="1" t="s">
        <v>50</v>
      </c>
      <c r="K252" s="1" t="s">
        <v>50</v>
      </c>
      <c r="L252" s="1"/>
      <c r="M252" s="1" t="s">
        <v>104</v>
      </c>
      <c r="N252" s="1" t="s">
        <v>50</v>
      </c>
      <c r="O252" s="1" t="s">
        <v>50</v>
      </c>
      <c r="P252" s="1" t="s">
        <v>104</v>
      </c>
      <c r="Q252" s="1" t="s">
        <v>50</v>
      </c>
      <c r="R252" s="1" t="s">
        <v>50</v>
      </c>
      <c r="S252" s="1" t="s">
        <v>50</v>
      </c>
      <c r="T252" s="1" t="s">
        <v>50</v>
      </c>
      <c r="U252" s="1" t="s">
        <v>50</v>
      </c>
      <c r="V252" s="1" t="s">
        <v>50</v>
      </c>
      <c r="W252" s="1" t="s">
        <v>50</v>
      </c>
      <c r="X252" s="1" t="s">
        <v>739</v>
      </c>
      <c r="Y252" s="1"/>
      <c r="Z252" s="8">
        <v>1</v>
      </c>
      <c r="AA252" s="8">
        <v>1</v>
      </c>
      <c r="AB252" s="8">
        <v>1</v>
      </c>
      <c r="AC252" s="8"/>
      <c r="AD252" s="8">
        <v>1</v>
      </c>
      <c r="AE252" s="8"/>
      <c r="AF252" s="8"/>
      <c r="AG252" s="8"/>
      <c r="AH252" s="8"/>
      <c r="AI252" s="8">
        <v>1</v>
      </c>
      <c r="AJ252" s="8">
        <v>1</v>
      </c>
      <c r="AK252" s="8"/>
      <c r="AL252" s="8"/>
      <c r="AM252" s="8"/>
      <c r="AN252" s="8"/>
      <c r="AO252" s="8">
        <v>1</v>
      </c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1"/>
      <c r="BJ252">
        <v>2</v>
      </c>
      <c r="BK252">
        <v>2</v>
      </c>
      <c r="BL252" s="58"/>
      <c r="BP252" t="str">
        <f t="shared" si="6"/>
        <v>NormalBug</v>
      </c>
      <c r="BR252">
        <v>2</v>
      </c>
    </row>
    <row r="253" spans="1:70" x14ac:dyDescent="0.25">
      <c r="A253">
        <f t="shared" si="8"/>
        <v>226</v>
      </c>
      <c r="B253" t="s">
        <v>433</v>
      </c>
      <c r="D253" s="1" t="s">
        <v>3</v>
      </c>
      <c r="E253" s="1" t="s">
        <v>0</v>
      </c>
      <c r="F253" s="1" t="s">
        <v>50</v>
      </c>
      <c r="G253" s="1" t="s">
        <v>50</v>
      </c>
      <c r="H253" s="1"/>
      <c r="I253" s="1" t="s">
        <v>50</v>
      </c>
      <c r="J253" s="1" t="s">
        <v>50</v>
      </c>
      <c r="K253" s="1" t="s">
        <v>50</v>
      </c>
      <c r="L253" s="1"/>
      <c r="M253" s="1" t="s">
        <v>50</v>
      </c>
      <c r="N253" s="1" t="s">
        <v>50</v>
      </c>
      <c r="O253" s="1" t="s">
        <v>50</v>
      </c>
      <c r="P253" s="13" t="s">
        <v>787</v>
      </c>
      <c r="Q253" s="1" t="s">
        <v>104</v>
      </c>
      <c r="R253" s="1" t="s">
        <v>104</v>
      </c>
      <c r="S253" s="1" t="s">
        <v>104</v>
      </c>
      <c r="T253" s="1" t="s">
        <v>104</v>
      </c>
      <c r="U253" s="1" t="s">
        <v>104</v>
      </c>
      <c r="V253" s="1" t="s">
        <v>104</v>
      </c>
      <c r="W253" s="1" t="s">
        <v>104</v>
      </c>
      <c r="X253" s="1" t="s">
        <v>727</v>
      </c>
      <c r="Y253" s="1"/>
      <c r="Z253" s="8">
        <v>1</v>
      </c>
      <c r="AA253" s="8">
        <v>1</v>
      </c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>
        <v>1</v>
      </c>
      <c r="AT253" s="8"/>
      <c r="AU253" s="8"/>
      <c r="AV253" s="8"/>
      <c r="AW253" s="8"/>
      <c r="AX253" s="8">
        <v>1</v>
      </c>
      <c r="AY253" s="8">
        <v>1</v>
      </c>
      <c r="AZ253" s="8"/>
      <c r="BA253" s="8"/>
      <c r="BB253" s="1"/>
      <c r="BL253" s="58"/>
      <c r="BP253" t="str">
        <f t="shared" si="6"/>
        <v>ElectricDark</v>
      </c>
      <c r="BQ253" t="s">
        <v>2</v>
      </c>
      <c r="BR253">
        <v>8</v>
      </c>
    </row>
    <row r="254" spans="1:70" x14ac:dyDescent="0.25">
      <c r="A254">
        <f t="shared" si="8"/>
        <v>227</v>
      </c>
      <c r="B254" t="s">
        <v>319</v>
      </c>
      <c r="D254" s="1" t="s">
        <v>3</v>
      </c>
      <c r="E254" s="1" t="s">
        <v>0</v>
      </c>
      <c r="F254" s="1" t="s">
        <v>50</v>
      </c>
      <c r="G254" s="1" t="s">
        <v>50</v>
      </c>
      <c r="H254" s="1"/>
      <c r="I254" s="1" t="s">
        <v>50</v>
      </c>
      <c r="J254" s="1" t="s">
        <v>50</v>
      </c>
      <c r="K254" s="1" t="s">
        <v>50</v>
      </c>
      <c r="L254" s="1"/>
      <c r="M254" s="1" t="s">
        <v>104</v>
      </c>
      <c r="N254" s="1" t="s">
        <v>50</v>
      </c>
      <c r="O254" s="1" t="s">
        <v>50</v>
      </c>
      <c r="P254" s="13" t="s">
        <v>787</v>
      </c>
      <c r="Q254" s="1" t="s">
        <v>104</v>
      </c>
      <c r="R254" s="1" t="s">
        <v>104</v>
      </c>
      <c r="S254" s="1" t="s">
        <v>104</v>
      </c>
      <c r="T254" s="1" t="s">
        <v>104</v>
      </c>
      <c r="U254" s="1" t="s">
        <v>104</v>
      </c>
      <c r="V254" s="1" t="s">
        <v>104</v>
      </c>
      <c r="W254" s="1" t="s">
        <v>104</v>
      </c>
      <c r="X254" s="1" t="s">
        <v>727</v>
      </c>
      <c r="Y254" s="1"/>
      <c r="Z254" s="8">
        <v>1</v>
      </c>
      <c r="AA254" s="8">
        <v>1</v>
      </c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>
        <v>1</v>
      </c>
      <c r="AT254" s="8"/>
      <c r="AU254" s="8"/>
      <c r="AV254" s="8"/>
      <c r="AW254" s="8"/>
      <c r="AX254" s="8">
        <v>1</v>
      </c>
      <c r="AY254" s="8">
        <v>1</v>
      </c>
      <c r="AZ254" s="8"/>
      <c r="BA254" s="8"/>
      <c r="BB254" s="1"/>
      <c r="BL254" s="58"/>
      <c r="BP254" t="str">
        <f t="shared" si="6"/>
        <v>ElectricDark</v>
      </c>
      <c r="BQ254" t="s">
        <v>2</v>
      </c>
      <c r="BR254">
        <v>8</v>
      </c>
    </row>
    <row r="255" spans="1:70" x14ac:dyDescent="0.25">
      <c r="A255">
        <f t="shared" si="8"/>
        <v>228</v>
      </c>
      <c r="B255" t="s">
        <v>320</v>
      </c>
      <c r="D255" s="1" t="s">
        <v>3</v>
      </c>
      <c r="E255" s="1" t="s">
        <v>0</v>
      </c>
      <c r="F255" s="1" t="s">
        <v>50</v>
      </c>
      <c r="G255" s="1" t="s">
        <v>50</v>
      </c>
      <c r="H255" s="1" t="s">
        <v>50</v>
      </c>
      <c r="I255" s="1" t="s">
        <v>50</v>
      </c>
      <c r="J255" s="1" t="s">
        <v>50</v>
      </c>
      <c r="K255" s="1" t="s">
        <v>50</v>
      </c>
      <c r="L255" s="1"/>
      <c r="M255" s="1" t="s">
        <v>104</v>
      </c>
      <c r="N255" s="1" t="s">
        <v>50</v>
      </c>
      <c r="O255" s="1" t="s">
        <v>50</v>
      </c>
      <c r="P255" s="13" t="s">
        <v>787</v>
      </c>
      <c r="Q255" s="1" t="s">
        <v>50</v>
      </c>
      <c r="R255" s="1" t="s">
        <v>50</v>
      </c>
      <c r="S255" s="1" t="s">
        <v>50</v>
      </c>
      <c r="T255" s="1" t="s">
        <v>50</v>
      </c>
      <c r="U255" s="1" t="s">
        <v>50</v>
      </c>
      <c r="V255" s="1" t="s">
        <v>50</v>
      </c>
      <c r="W255" s="1" t="s">
        <v>50</v>
      </c>
      <c r="X255" s="1" t="s">
        <v>727</v>
      </c>
      <c r="Y255" s="1"/>
      <c r="Z255" s="8">
        <v>1</v>
      </c>
      <c r="AA255" s="8">
        <v>1</v>
      </c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>
        <v>1</v>
      </c>
      <c r="AT255" s="8"/>
      <c r="AU255" s="8"/>
      <c r="AV255" s="8"/>
      <c r="AW255" s="8"/>
      <c r="AX255" s="8">
        <v>1</v>
      </c>
      <c r="AY255" s="8">
        <v>1</v>
      </c>
      <c r="AZ255" s="8"/>
      <c r="BA255" s="8"/>
      <c r="BB255" s="1"/>
      <c r="BJ255">
        <v>27</v>
      </c>
      <c r="BK255">
        <v>3</v>
      </c>
      <c r="BL255" s="58"/>
      <c r="BP255" t="str">
        <f t="shared" si="6"/>
        <v>ElectricDark</v>
      </c>
      <c r="BR255">
        <v>8</v>
      </c>
    </row>
    <row r="256" spans="1:70" x14ac:dyDescent="0.25">
      <c r="A256">
        <f t="shared" si="8"/>
        <v>229</v>
      </c>
      <c r="B256" t="s">
        <v>424</v>
      </c>
      <c r="D256" s="1" t="s">
        <v>11</v>
      </c>
      <c r="E256" s="1" t="s">
        <v>42</v>
      </c>
      <c r="F256" s="1" t="s">
        <v>50</v>
      </c>
      <c r="G256" s="1" t="s">
        <v>50</v>
      </c>
      <c r="H256" s="1"/>
      <c r="I256" s="1" t="s">
        <v>50</v>
      </c>
      <c r="J256" s="1" t="s">
        <v>50</v>
      </c>
      <c r="K256" s="1" t="s">
        <v>50</v>
      </c>
      <c r="L256" s="1" t="s">
        <v>50</v>
      </c>
      <c r="M256" s="1" t="s">
        <v>50</v>
      </c>
      <c r="N256" s="1" t="s">
        <v>50</v>
      </c>
      <c r="O256" s="1" t="s">
        <v>50</v>
      </c>
      <c r="P256" s="13" t="s">
        <v>809</v>
      </c>
      <c r="Q256" s="1" t="s">
        <v>104</v>
      </c>
      <c r="R256" s="1" t="s">
        <v>104</v>
      </c>
      <c r="S256" s="1" t="s">
        <v>104</v>
      </c>
      <c r="T256" s="1" t="s">
        <v>104</v>
      </c>
      <c r="U256" s="1" t="s">
        <v>104</v>
      </c>
      <c r="V256" s="1" t="s">
        <v>104</v>
      </c>
      <c r="W256" s="1" t="s">
        <v>104</v>
      </c>
      <c r="X256" s="1" t="s">
        <v>727</v>
      </c>
      <c r="Y256" s="1"/>
      <c r="Z256" s="8">
        <v>1</v>
      </c>
      <c r="AA256" s="8">
        <v>1</v>
      </c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>
        <v>1</v>
      </c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K256">
        <v>1</v>
      </c>
      <c r="BL256" s="58"/>
      <c r="BP256" t="str">
        <f t="shared" si="6"/>
        <v>GrassCosmic</v>
      </c>
      <c r="BQ256" t="s">
        <v>2</v>
      </c>
      <c r="BR256">
        <v>1</v>
      </c>
    </row>
    <row r="257" spans="1:70" x14ac:dyDescent="0.25">
      <c r="A257">
        <f t="shared" si="8"/>
        <v>230</v>
      </c>
      <c r="B257" t="s">
        <v>286</v>
      </c>
      <c r="D257" s="1" t="s">
        <v>11</v>
      </c>
      <c r="E257" s="1" t="s">
        <v>42</v>
      </c>
      <c r="F257" s="1" t="s">
        <v>50</v>
      </c>
      <c r="G257" s="1" t="s">
        <v>50</v>
      </c>
      <c r="H257" s="1"/>
      <c r="I257" s="1" t="s">
        <v>50</v>
      </c>
      <c r="J257" s="1" t="s">
        <v>50</v>
      </c>
      <c r="K257" s="1" t="s">
        <v>50</v>
      </c>
      <c r="L257" s="1"/>
      <c r="M257" s="1" t="s">
        <v>104</v>
      </c>
      <c r="N257" s="1" t="s">
        <v>50</v>
      </c>
      <c r="O257" s="1" t="s">
        <v>50</v>
      </c>
      <c r="P257" s="13" t="s">
        <v>809</v>
      </c>
      <c r="Q257" s="1" t="s">
        <v>104</v>
      </c>
      <c r="R257" s="1" t="s">
        <v>104</v>
      </c>
      <c r="S257" s="1" t="s">
        <v>104</v>
      </c>
      <c r="T257" s="1" t="s">
        <v>104</v>
      </c>
      <c r="U257" s="1" t="s">
        <v>104</v>
      </c>
      <c r="V257" s="1" t="s">
        <v>104</v>
      </c>
      <c r="W257" s="1" t="s">
        <v>104</v>
      </c>
      <c r="X257" s="1" t="s">
        <v>727</v>
      </c>
      <c r="Y257" s="1"/>
      <c r="Z257" s="8">
        <v>1</v>
      </c>
      <c r="AA257" s="8">
        <v>1</v>
      </c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>
        <v>1</v>
      </c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L257" s="58"/>
      <c r="BP257" t="str">
        <f t="shared" si="6"/>
        <v>GrassCosmic</v>
      </c>
      <c r="BQ257" t="s">
        <v>2</v>
      </c>
      <c r="BR257">
        <v>1</v>
      </c>
    </row>
    <row r="258" spans="1:70" x14ac:dyDescent="0.25">
      <c r="A258">
        <f t="shared" si="8"/>
        <v>231</v>
      </c>
      <c r="B258" t="s">
        <v>287</v>
      </c>
      <c r="D258" s="1" t="s">
        <v>11</v>
      </c>
      <c r="E258" s="1" t="s">
        <v>42</v>
      </c>
      <c r="F258" s="1" t="s">
        <v>50</v>
      </c>
      <c r="G258" s="1" t="s">
        <v>50</v>
      </c>
      <c r="H258" s="1" t="s">
        <v>50</v>
      </c>
      <c r="I258" s="1" t="s">
        <v>50</v>
      </c>
      <c r="J258" s="1" t="s">
        <v>50</v>
      </c>
      <c r="K258" s="1" t="s">
        <v>50</v>
      </c>
      <c r="L258" s="1"/>
      <c r="M258" s="1" t="s">
        <v>104</v>
      </c>
      <c r="N258" s="1" t="s">
        <v>50</v>
      </c>
      <c r="O258" s="1" t="s">
        <v>50</v>
      </c>
      <c r="P258" s="13" t="s">
        <v>809</v>
      </c>
      <c r="Q258" s="1" t="s">
        <v>104</v>
      </c>
      <c r="R258" s="1" t="s">
        <v>104</v>
      </c>
      <c r="S258" s="1" t="s">
        <v>104</v>
      </c>
      <c r="T258" s="1" t="s">
        <v>104</v>
      </c>
      <c r="U258" s="1" t="s">
        <v>104</v>
      </c>
      <c r="V258" s="1" t="s">
        <v>104</v>
      </c>
      <c r="W258" s="1" t="s">
        <v>104</v>
      </c>
      <c r="X258" s="1" t="s">
        <v>727</v>
      </c>
      <c r="Y258" s="1"/>
      <c r="Z258" s="8">
        <v>1</v>
      </c>
      <c r="AA258" s="8">
        <v>1</v>
      </c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>
        <v>1</v>
      </c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J258">
        <v>4</v>
      </c>
      <c r="BL258" s="58"/>
      <c r="BP258" t="str">
        <f t="shared" ref="BP258:BP321" si="9">D258&amp;E258</f>
        <v>GrassCosmic</v>
      </c>
      <c r="BR258">
        <v>1</v>
      </c>
    </row>
    <row r="259" spans="1:70" x14ac:dyDescent="0.25">
      <c r="A259">
        <f t="shared" si="8"/>
        <v>232</v>
      </c>
      <c r="B259" t="s">
        <v>288</v>
      </c>
      <c r="D259" s="1" t="s">
        <v>11</v>
      </c>
      <c r="E259" s="1" t="s">
        <v>4</v>
      </c>
      <c r="F259" s="1" t="s">
        <v>50</v>
      </c>
      <c r="G259" s="1" t="s">
        <v>50</v>
      </c>
      <c r="H259" s="1" t="s">
        <v>50</v>
      </c>
      <c r="I259" s="1" t="s">
        <v>50</v>
      </c>
      <c r="J259" s="1" t="s">
        <v>50</v>
      </c>
      <c r="K259" s="1" t="s">
        <v>50</v>
      </c>
      <c r="L259" s="1"/>
      <c r="M259" s="1" t="s">
        <v>104</v>
      </c>
      <c r="N259" s="1" t="s">
        <v>50</v>
      </c>
      <c r="O259" s="1" t="s">
        <v>50</v>
      </c>
      <c r="P259" s="13" t="s">
        <v>809</v>
      </c>
      <c r="Q259" s="1" t="s">
        <v>104</v>
      </c>
      <c r="R259" s="1" t="s">
        <v>104</v>
      </c>
      <c r="S259" s="1" t="s">
        <v>104</v>
      </c>
      <c r="T259" s="1" t="s">
        <v>104</v>
      </c>
      <c r="U259" s="1" t="s">
        <v>104</v>
      </c>
      <c r="V259" s="1" t="s">
        <v>104</v>
      </c>
      <c r="W259" s="1" t="s">
        <v>104</v>
      </c>
      <c r="X259" s="1" t="s">
        <v>727</v>
      </c>
      <c r="Y259" s="1"/>
      <c r="Z259" s="8">
        <v>1</v>
      </c>
      <c r="AA259" s="8">
        <v>1</v>
      </c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>
        <v>1</v>
      </c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J259">
        <v>1</v>
      </c>
      <c r="BK259">
        <v>2</v>
      </c>
      <c r="BL259" s="58"/>
      <c r="BP259" t="str">
        <f t="shared" si="9"/>
        <v>GrassPsychic</v>
      </c>
      <c r="BR259">
        <v>2</v>
      </c>
    </row>
    <row r="260" spans="1:70" x14ac:dyDescent="0.25">
      <c r="A260">
        <f t="shared" si="8"/>
        <v>233</v>
      </c>
      <c r="B260" t="s">
        <v>344</v>
      </c>
      <c r="D260" s="1" t="s">
        <v>13</v>
      </c>
      <c r="E260" s="1" t="s">
        <v>11</v>
      </c>
      <c r="F260" s="1" t="s">
        <v>50</v>
      </c>
      <c r="G260" s="1" t="s">
        <v>50</v>
      </c>
      <c r="H260" s="1"/>
      <c r="I260" s="1" t="s">
        <v>50</v>
      </c>
      <c r="J260" s="1" t="s">
        <v>50</v>
      </c>
      <c r="K260" s="1" t="s">
        <v>50</v>
      </c>
      <c r="L260" s="1"/>
      <c r="M260" s="1" t="s">
        <v>50</v>
      </c>
      <c r="N260" s="1" t="s">
        <v>50</v>
      </c>
      <c r="O260" s="1" t="s">
        <v>50</v>
      </c>
      <c r="P260" s="13" t="s">
        <v>1719</v>
      </c>
      <c r="Q260" s="1" t="s">
        <v>104</v>
      </c>
      <c r="R260" s="1" t="s">
        <v>104</v>
      </c>
      <c r="S260" s="1" t="s">
        <v>104</v>
      </c>
      <c r="T260" s="1" t="s">
        <v>104</v>
      </c>
      <c r="U260" s="1" t="s">
        <v>104</v>
      </c>
      <c r="V260" s="1" t="s">
        <v>104</v>
      </c>
      <c r="W260" s="1" t="s">
        <v>104</v>
      </c>
      <c r="X260" s="1" t="s">
        <v>726</v>
      </c>
      <c r="Y260" s="1"/>
      <c r="Z260" s="8">
        <v>1</v>
      </c>
      <c r="AA260" s="8">
        <v>1</v>
      </c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1"/>
      <c r="BL260" s="58"/>
      <c r="BP260" t="str">
        <f t="shared" si="9"/>
        <v>FireGrass</v>
      </c>
      <c r="BQ260" t="s">
        <v>2</v>
      </c>
      <c r="BR260">
        <v>2</v>
      </c>
    </row>
    <row r="261" spans="1:70" x14ac:dyDescent="0.25">
      <c r="A261">
        <f t="shared" si="8"/>
        <v>234</v>
      </c>
      <c r="B261" t="s">
        <v>345</v>
      </c>
      <c r="D261" s="1" t="s">
        <v>13</v>
      </c>
      <c r="E261" s="1" t="s">
        <v>11</v>
      </c>
      <c r="F261" s="1" t="s">
        <v>50</v>
      </c>
      <c r="G261" s="1" t="s">
        <v>50</v>
      </c>
      <c r="H261" s="1" t="s">
        <v>50</v>
      </c>
      <c r="I261" s="1" t="s">
        <v>50</v>
      </c>
      <c r="J261" s="1" t="s">
        <v>50</v>
      </c>
      <c r="K261" s="1" t="s">
        <v>50</v>
      </c>
      <c r="L261" s="1"/>
      <c r="M261" s="1" t="s">
        <v>104</v>
      </c>
      <c r="N261" s="1" t="s">
        <v>50</v>
      </c>
      <c r="O261" s="1" t="s">
        <v>50</v>
      </c>
      <c r="P261" s="13" t="s">
        <v>1719</v>
      </c>
      <c r="Q261" s="1" t="s">
        <v>104</v>
      </c>
      <c r="R261" s="1" t="s">
        <v>104</v>
      </c>
      <c r="S261" s="1" t="s">
        <v>104</v>
      </c>
      <c r="T261" s="1" t="s">
        <v>104</v>
      </c>
      <c r="U261" s="1" t="s">
        <v>104</v>
      </c>
      <c r="V261" s="1" t="s">
        <v>104</v>
      </c>
      <c r="W261" s="1" t="s">
        <v>104</v>
      </c>
      <c r="X261" s="1" t="s">
        <v>726</v>
      </c>
      <c r="Y261" s="1"/>
      <c r="Z261" s="8">
        <v>1</v>
      </c>
      <c r="AA261" s="8">
        <v>1</v>
      </c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1"/>
      <c r="BJ261">
        <v>1</v>
      </c>
      <c r="BL261" s="58"/>
      <c r="BP261" t="str">
        <f t="shared" si="9"/>
        <v>FireGrass</v>
      </c>
      <c r="BR261">
        <v>2</v>
      </c>
    </row>
    <row r="262" spans="1:70" x14ac:dyDescent="0.25">
      <c r="A262">
        <f t="shared" si="8"/>
        <v>235</v>
      </c>
      <c r="B262" t="s">
        <v>304</v>
      </c>
      <c r="D262" s="1" t="s">
        <v>1</v>
      </c>
      <c r="E262" s="1" t="s">
        <v>10</v>
      </c>
      <c r="F262" s="1" t="s">
        <v>50</v>
      </c>
      <c r="G262" s="1" t="s">
        <v>50</v>
      </c>
      <c r="H262" s="1"/>
      <c r="I262" s="1" t="s">
        <v>50</v>
      </c>
      <c r="J262" s="1" t="s">
        <v>50</v>
      </c>
      <c r="K262" s="1" t="s">
        <v>50</v>
      </c>
      <c r="L262" s="1" t="s">
        <v>50</v>
      </c>
      <c r="M262" s="1" t="s">
        <v>50</v>
      </c>
      <c r="N262" s="1" t="s">
        <v>50</v>
      </c>
      <c r="O262" s="1" t="s">
        <v>50</v>
      </c>
      <c r="P262" s="1" t="s">
        <v>811</v>
      </c>
      <c r="Q262" s="1" t="s">
        <v>104</v>
      </c>
      <c r="R262" s="1" t="s">
        <v>104</v>
      </c>
      <c r="S262" s="1" t="s">
        <v>104</v>
      </c>
      <c r="T262" s="1" t="s">
        <v>104</v>
      </c>
      <c r="U262" s="1" t="s">
        <v>104</v>
      </c>
      <c r="V262" s="1" t="s">
        <v>104</v>
      </c>
      <c r="W262" s="1" t="s">
        <v>104</v>
      </c>
      <c r="X262" s="1" t="s">
        <v>727</v>
      </c>
      <c r="Y262" s="1"/>
      <c r="Z262" s="8">
        <v>1</v>
      </c>
      <c r="AA262" s="8">
        <v>1</v>
      </c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>
        <v>1</v>
      </c>
      <c r="AZ262" s="8"/>
      <c r="BA262" s="8"/>
      <c r="BL262" s="58"/>
      <c r="BP262" t="str">
        <f t="shared" si="9"/>
        <v>NormalPoison</v>
      </c>
      <c r="BQ262" t="s">
        <v>2</v>
      </c>
      <c r="BR262">
        <v>4</v>
      </c>
    </row>
    <row r="263" spans="1:70" x14ac:dyDescent="0.25">
      <c r="A263">
        <f t="shared" si="8"/>
        <v>236</v>
      </c>
      <c r="B263" t="s">
        <v>305</v>
      </c>
      <c r="D263" s="1" t="s">
        <v>1</v>
      </c>
      <c r="E263" s="1" t="s">
        <v>10</v>
      </c>
      <c r="F263" s="1" t="s">
        <v>50</v>
      </c>
      <c r="G263" s="1" t="s">
        <v>50</v>
      </c>
      <c r="H263" s="1" t="s">
        <v>50</v>
      </c>
      <c r="I263" s="1" t="s">
        <v>50</v>
      </c>
      <c r="J263" s="1" t="s">
        <v>50</v>
      </c>
      <c r="K263" s="1" t="s">
        <v>50</v>
      </c>
      <c r="L263" s="1" t="s">
        <v>50</v>
      </c>
      <c r="M263" s="1" t="s">
        <v>104</v>
      </c>
      <c r="N263" s="1" t="s">
        <v>50</v>
      </c>
      <c r="O263" s="1" t="s">
        <v>50</v>
      </c>
      <c r="P263" s="1" t="s">
        <v>811</v>
      </c>
      <c r="Q263" s="1" t="s">
        <v>104</v>
      </c>
      <c r="R263" s="1" t="s">
        <v>104</v>
      </c>
      <c r="S263" s="1" t="s">
        <v>104</v>
      </c>
      <c r="T263" s="1" t="s">
        <v>104</v>
      </c>
      <c r="U263" s="1" t="s">
        <v>104</v>
      </c>
      <c r="V263" s="1" t="s">
        <v>104</v>
      </c>
      <c r="W263" s="1" t="s">
        <v>104</v>
      </c>
      <c r="X263" s="1" t="s">
        <v>727</v>
      </c>
      <c r="Y263" s="1"/>
      <c r="Z263" s="8">
        <v>1</v>
      </c>
      <c r="AA263" s="8">
        <v>1</v>
      </c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>
        <v>1</v>
      </c>
      <c r="AZ263" s="8"/>
      <c r="BA263" s="8"/>
      <c r="BL263" s="58">
        <v>1</v>
      </c>
      <c r="BP263" t="str">
        <f t="shared" si="9"/>
        <v>NormalPoison</v>
      </c>
      <c r="BR263">
        <v>4</v>
      </c>
    </row>
    <row r="264" spans="1:70" x14ac:dyDescent="0.25">
      <c r="A264">
        <f t="shared" si="8"/>
        <v>237</v>
      </c>
      <c r="B264" t="s">
        <v>546</v>
      </c>
      <c r="D264" s="1" t="s">
        <v>44</v>
      </c>
      <c r="E264" s="1" t="s">
        <v>7</v>
      </c>
      <c r="F264" s="1" t="s">
        <v>50</v>
      </c>
      <c r="G264" s="1" t="s">
        <v>50</v>
      </c>
      <c r="H264" s="1"/>
      <c r="I264" s="1" t="s">
        <v>50</v>
      </c>
      <c r="J264" s="1" t="s">
        <v>50</v>
      </c>
      <c r="K264" s="1" t="s">
        <v>50</v>
      </c>
      <c r="L264" s="1"/>
      <c r="M264" s="1" t="s">
        <v>50</v>
      </c>
      <c r="N264" s="1" t="s">
        <v>50</v>
      </c>
      <c r="O264" s="1" t="s">
        <v>50</v>
      </c>
      <c r="P264" s="1" t="s">
        <v>104</v>
      </c>
      <c r="Q264" s="1" t="s">
        <v>104</v>
      </c>
      <c r="R264" s="1" t="s">
        <v>104</v>
      </c>
      <c r="S264" s="1" t="s">
        <v>104</v>
      </c>
      <c r="T264" s="1" t="s">
        <v>104</v>
      </c>
      <c r="U264" s="1" t="s">
        <v>104</v>
      </c>
      <c r="V264" s="1" t="s">
        <v>104</v>
      </c>
      <c r="W264" s="1" t="s">
        <v>104</v>
      </c>
      <c r="X264" s="1" t="s">
        <v>729</v>
      </c>
      <c r="Y264" s="1"/>
      <c r="Z264" s="8"/>
      <c r="AA264" s="8"/>
      <c r="AB264" s="8"/>
      <c r="AC264" s="8"/>
      <c r="AD264" s="8"/>
      <c r="AE264" s="8"/>
      <c r="AF264" s="8"/>
      <c r="AG264" s="8"/>
      <c r="AH264" s="8"/>
      <c r="AI264" s="8">
        <v>1</v>
      </c>
      <c r="AJ264" s="8"/>
      <c r="AK264" s="8">
        <v>1</v>
      </c>
      <c r="AL264" s="8">
        <v>1</v>
      </c>
      <c r="AM264" s="8">
        <v>1</v>
      </c>
      <c r="AN264" s="8">
        <v>1</v>
      </c>
      <c r="AO264" s="8"/>
      <c r="AP264" s="8"/>
      <c r="AQ264" s="8"/>
      <c r="AR264" s="8"/>
      <c r="AS264" s="8"/>
      <c r="AT264" s="8"/>
      <c r="AU264" s="8">
        <v>1</v>
      </c>
      <c r="AV264" s="8"/>
      <c r="AW264" s="8"/>
      <c r="AX264" s="8"/>
      <c r="AY264" s="8"/>
      <c r="AZ264" s="8"/>
      <c r="BA264" s="8"/>
      <c r="BB264" s="1"/>
      <c r="BL264" s="58"/>
      <c r="BP264" t="str">
        <f t="shared" si="9"/>
        <v>LightFairy</v>
      </c>
      <c r="BQ264" t="s">
        <v>2</v>
      </c>
      <c r="BR264">
        <v>3</v>
      </c>
    </row>
    <row r="265" spans="1:70" x14ac:dyDescent="0.25">
      <c r="A265">
        <f t="shared" si="8"/>
        <v>238</v>
      </c>
      <c r="B265" t="s">
        <v>547</v>
      </c>
      <c r="D265" s="1" t="s">
        <v>44</v>
      </c>
      <c r="E265" s="1" t="s">
        <v>7</v>
      </c>
      <c r="F265" s="1" t="s">
        <v>50</v>
      </c>
      <c r="G265" s="1" t="s">
        <v>50</v>
      </c>
      <c r="H265" s="1" t="s">
        <v>50</v>
      </c>
      <c r="I265" s="1" t="s">
        <v>50</v>
      </c>
      <c r="J265" s="1" t="s">
        <v>50</v>
      </c>
      <c r="K265" s="1" t="s">
        <v>50</v>
      </c>
      <c r="L265" s="1"/>
      <c r="M265" s="1" t="s">
        <v>104</v>
      </c>
      <c r="N265" s="1" t="s">
        <v>50</v>
      </c>
      <c r="O265" s="1" t="s">
        <v>50</v>
      </c>
      <c r="P265" s="1" t="s">
        <v>104</v>
      </c>
      <c r="Q265" s="1" t="s">
        <v>104</v>
      </c>
      <c r="R265" s="1" t="s">
        <v>104</v>
      </c>
      <c r="S265" s="1" t="s">
        <v>104</v>
      </c>
      <c r="T265" s="1" t="s">
        <v>104</v>
      </c>
      <c r="U265" s="1" t="s">
        <v>104</v>
      </c>
      <c r="V265" s="1" t="s">
        <v>104</v>
      </c>
      <c r="W265" s="1" t="s">
        <v>104</v>
      </c>
      <c r="X265" s="1" t="s">
        <v>729</v>
      </c>
      <c r="Y265" s="1"/>
      <c r="Z265" s="8"/>
      <c r="AA265" s="8"/>
      <c r="AB265" s="8"/>
      <c r="AC265" s="8"/>
      <c r="AD265" s="8"/>
      <c r="AE265" s="8"/>
      <c r="AF265" s="8"/>
      <c r="AG265" s="8"/>
      <c r="AH265" s="8"/>
      <c r="AI265" s="8">
        <v>1</v>
      </c>
      <c r="AJ265" s="8"/>
      <c r="AK265" s="8">
        <v>1</v>
      </c>
      <c r="AL265" s="8">
        <v>1</v>
      </c>
      <c r="AM265" s="8">
        <v>1</v>
      </c>
      <c r="AN265" s="8">
        <v>1</v>
      </c>
      <c r="AO265" s="8"/>
      <c r="AP265" s="8"/>
      <c r="AQ265" s="8"/>
      <c r="AR265" s="8"/>
      <c r="AS265" s="8"/>
      <c r="AT265" s="8"/>
      <c r="AU265" s="8">
        <v>1</v>
      </c>
      <c r="AV265" s="8"/>
      <c r="AW265" s="8"/>
      <c r="AX265" s="8"/>
      <c r="AY265" s="8"/>
      <c r="AZ265" s="8"/>
      <c r="BA265" s="8"/>
      <c r="BB265" s="1"/>
      <c r="BJ265">
        <v>19</v>
      </c>
      <c r="BK265">
        <v>2</v>
      </c>
      <c r="BL265" s="58"/>
      <c r="BP265" t="str">
        <f t="shared" si="9"/>
        <v>LightFairy</v>
      </c>
      <c r="BR265">
        <v>3</v>
      </c>
    </row>
    <row r="266" spans="1:70" x14ac:dyDescent="0.25">
      <c r="A266">
        <f t="shared" ref="A266:A284" si="10">A265+1</f>
        <v>239</v>
      </c>
      <c r="B266" t="s">
        <v>357</v>
      </c>
      <c r="D266" s="1" t="s">
        <v>44</v>
      </c>
      <c r="E266" s="1" t="s">
        <v>15</v>
      </c>
      <c r="F266" s="1" t="s">
        <v>50</v>
      </c>
      <c r="G266" s="1" t="s">
        <v>50</v>
      </c>
      <c r="H266" s="1"/>
      <c r="I266" s="1" t="s">
        <v>50</v>
      </c>
      <c r="J266" s="1" t="s">
        <v>50</v>
      </c>
      <c r="K266" s="1" t="s">
        <v>50</v>
      </c>
      <c r="L266" s="1" t="s">
        <v>50</v>
      </c>
      <c r="M266" s="1" t="s">
        <v>50</v>
      </c>
      <c r="N266" s="1" t="s">
        <v>50</v>
      </c>
      <c r="O266" s="1" t="s">
        <v>50</v>
      </c>
      <c r="P266" s="13" t="s">
        <v>788</v>
      </c>
      <c r="Q266" s="1" t="s">
        <v>104</v>
      </c>
      <c r="R266" s="1" t="s">
        <v>104</v>
      </c>
      <c r="S266" s="1" t="s">
        <v>104</v>
      </c>
      <c r="T266" s="1" t="s">
        <v>104</v>
      </c>
      <c r="U266" s="1" t="s">
        <v>104</v>
      </c>
      <c r="V266" s="1" t="s">
        <v>104</v>
      </c>
      <c r="W266" s="1" t="s">
        <v>104</v>
      </c>
      <c r="X266" s="1" t="s">
        <v>727</v>
      </c>
      <c r="Y266" s="1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>
        <v>1</v>
      </c>
      <c r="AL266" s="8">
        <v>1</v>
      </c>
      <c r="AM266" s="8">
        <v>1</v>
      </c>
      <c r="AN266" s="8">
        <v>1</v>
      </c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1"/>
      <c r="BL266" s="58"/>
      <c r="BP266" t="str">
        <f t="shared" si="9"/>
        <v>LightWater</v>
      </c>
      <c r="BQ266" t="s">
        <v>2</v>
      </c>
      <c r="BR266">
        <v>1</v>
      </c>
    </row>
    <row r="267" spans="1:70" x14ac:dyDescent="0.25">
      <c r="A267">
        <f t="shared" si="10"/>
        <v>240</v>
      </c>
      <c r="B267" t="s">
        <v>450</v>
      </c>
      <c r="D267" s="1" t="s">
        <v>44</v>
      </c>
      <c r="E267" s="1" t="s">
        <v>15</v>
      </c>
      <c r="F267" s="1" t="s">
        <v>50</v>
      </c>
      <c r="G267" s="1" t="s">
        <v>50</v>
      </c>
      <c r="H267" s="1"/>
      <c r="I267" s="1" t="s">
        <v>50</v>
      </c>
      <c r="J267" s="1" t="s">
        <v>50</v>
      </c>
      <c r="K267" s="1" t="s">
        <v>50</v>
      </c>
      <c r="L267" s="1"/>
      <c r="M267" s="1" t="s">
        <v>104</v>
      </c>
      <c r="N267" s="1" t="s">
        <v>50</v>
      </c>
      <c r="O267" s="1" t="s">
        <v>50</v>
      </c>
      <c r="P267" s="13" t="s">
        <v>788</v>
      </c>
      <c r="Q267" s="1" t="s">
        <v>104</v>
      </c>
      <c r="R267" s="1" t="s">
        <v>104</v>
      </c>
      <c r="S267" s="1" t="s">
        <v>104</v>
      </c>
      <c r="T267" s="1" t="s">
        <v>104</v>
      </c>
      <c r="U267" s="1" t="s">
        <v>104</v>
      </c>
      <c r="V267" s="1" t="s">
        <v>104</v>
      </c>
      <c r="W267" s="1" t="s">
        <v>104</v>
      </c>
      <c r="X267" s="1" t="s">
        <v>727</v>
      </c>
      <c r="Y267" s="1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>
        <v>1</v>
      </c>
      <c r="AL267" s="8">
        <v>1</v>
      </c>
      <c r="AM267" s="8">
        <v>1</v>
      </c>
      <c r="AN267" s="8">
        <v>1</v>
      </c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1"/>
      <c r="BL267" s="58"/>
      <c r="BP267" t="str">
        <f t="shared" si="9"/>
        <v>LightWater</v>
      </c>
      <c r="BQ267" t="s">
        <v>2</v>
      </c>
      <c r="BR267">
        <v>1</v>
      </c>
    </row>
    <row r="268" spans="1:70" x14ac:dyDescent="0.25">
      <c r="A268">
        <f t="shared" si="10"/>
        <v>241</v>
      </c>
      <c r="B268" t="s">
        <v>451</v>
      </c>
      <c r="D268" s="1" t="s">
        <v>44</v>
      </c>
      <c r="E268" s="1" t="s">
        <v>15</v>
      </c>
      <c r="F268" s="1" t="s">
        <v>50</v>
      </c>
      <c r="G268" s="1" t="s">
        <v>50</v>
      </c>
      <c r="H268" s="1" t="s">
        <v>50</v>
      </c>
      <c r="I268" s="1" t="s">
        <v>50</v>
      </c>
      <c r="J268" s="1" t="s">
        <v>50</v>
      </c>
      <c r="K268" s="1" t="s">
        <v>50</v>
      </c>
      <c r="L268" s="1"/>
      <c r="M268" s="1" t="s">
        <v>104</v>
      </c>
      <c r="N268" s="1" t="s">
        <v>50</v>
      </c>
      <c r="O268" s="1" t="s">
        <v>50</v>
      </c>
      <c r="P268" s="13" t="s">
        <v>788</v>
      </c>
      <c r="Q268" s="1" t="s">
        <v>50</v>
      </c>
      <c r="R268" s="1" t="s">
        <v>50</v>
      </c>
      <c r="S268" s="1" t="s">
        <v>50</v>
      </c>
      <c r="T268" s="1" t="s">
        <v>50</v>
      </c>
      <c r="U268" s="1" t="s">
        <v>50</v>
      </c>
      <c r="V268" s="1" t="s">
        <v>50</v>
      </c>
      <c r="W268" s="1" t="s">
        <v>50</v>
      </c>
      <c r="X268" s="1" t="s">
        <v>2065</v>
      </c>
      <c r="Y268" s="1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>
        <v>1</v>
      </c>
      <c r="AL268" s="8">
        <v>1</v>
      </c>
      <c r="AM268" s="8">
        <v>1</v>
      </c>
      <c r="AN268" s="8">
        <v>1</v>
      </c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1"/>
      <c r="BJ268">
        <v>16</v>
      </c>
      <c r="BK268">
        <v>10</v>
      </c>
      <c r="BL268" s="58">
        <v>1</v>
      </c>
      <c r="BP268" t="str">
        <f t="shared" si="9"/>
        <v>LightWater</v>
      </c>
      <c r="BR268">
        <v>2</v>
      </c>
    </row>
    <row r="269" spans="1:70" x14ac:dyDescent="0.25">
      <c r="A269">
        <f t="shared" si="10"/>
        <v>242</v>
      </c>
      <c r="B269" t="s">
        <v>517</v>
      </c>
      <c r="D269" s="1" t="s">
        <v>1</v>
      </c>
      <c r="E269" s="1">
        <v>0</v>
      </c>
      <c r="F269" s="1" t="s">
        <v>50</v>
      </c>
      <c r="G269" s="1" t="s">
        <v>50</v>
      </c>
      <c r="H269" s="1"/>
      <c r="I269" s="1" t="s">
        <v>50</v>
      </c>
      <c r="J269" s="1" t="s">
        <v>50</v>
      </c>
      <c r="K269" s="1" t="s">
        <v>50</v>
      </c>
      <c r="L269" s="1" t="s">
        <v>50</v>
      </c>
      <c r="M269" s="1" t="s">
        <v>50</v>
      </c>
      <c r="N269" s="1" t="s">
        <v>50</v>
      </c>
      <c r="O269" s="1" t="s">
        <v>50</v>
      </c>
      <c r="P269" s="13" t="s">
        <v>526</v>
      </c>
      <c r="Q269" s="1" t="s">
        <v>104</v>
      </c>
      <c r="R269" s="1" t="s">
        <v>104</v>
      </c>
      <c r="S269" s="1" t="s">
        <v>104</v>
      </c>
      <c r="T269" s="1" t="s">
        <v>104</v>
      </c>
      <c r="U269" s="1" t="s">
        <v>104</v>
      </c>
      <c r="V269" s="1" t="s">
        <v>104</v>
      </c>
      <c r="W269" s="1" t="s">
        <v>104</v>
      </c>
      <c r="X269" s="1" t="s">
        <v>727</v>
      </c>
      <c r="Y269" s="1"/>
      <c r="Z269" s="8">
        <v>1</v>
      </c>
      <c r="AA269" s="8">
        <v>1</v>
      </c>
      <c r="AB269" s="8"/>
      <c r="AC269" s="8"/>
      <c r="AD269" s="8"/>
      <c r="AE269" s="8"/>
      <c r="AF269" s="8"/>
      <c r="AG269" s="8">
        <v>1</v>
      </c>
      <c r="AH269" s="8"/>
      <c r="AI269" s="8"/>
      <c r="AJ269" s="8"/>
      <c r="AK269" s="8"/>
      <c r="AL269" s="8"/>
      <c r="AM269" s="8"/>
      <c r="AN269" s="8"/>
      <c r="AO269" s="8">
        <v>1</v>
      </c>
      <c r="AP269" s="8"/>
      <c r="AQ269" s="8"/>
      <c r="AR269" s="8"/>
      <c r="AS269" s="8">
        <v>1</v>
      </c>
      <c r="AT269" s="8"/>
      <c r="AU269" s="8"/>
      <c r="AV269" s="8"/>
      <c r="AX269" s="8">
        <v>1</v>
      </c>
      <c r="AY269" s="8"/>
      <c r="AZ269" s="8"/>
      <c r="BA269" s="8"/>
      <c r="BB269" s="1"/>
      <c r="BL269" s="58"/>
      <c r="BP269" t="str">
        <f t="shared" si="9"/>
        <v>Normal0</v>
      </c>
      <c r="BQ269" t="s">
        <v>2</v>
      </c>
      <c r="BR269">
        <v>8</v>
      </c>
    </row>
    <row r="270" spans="1:70" x14ac:dyDescent="0.25">
      <c r="A270">
        <f t="shared" si="10"/>
        <v>243</v>
      </c>
      <c r="B270" t="s">
        <v>518</v>
      </c>
      <c r="D270" s="1" t="s">
        <v>1</v>
      </c>
      <c r="E270" s="1">
        <v>0</v>
      </c>
      <c r="F270" s="1" t="s">
        <v>50</v>
      </c>
      <c r="G270" s="1" t="s">
        <v>50</v>
      </c>
      <c r="H270" s="1" t="s">
        <v>50</v>
      </c>
      <c r="I270" s="1" t="s">
        <v>50</v>
      </c>
      <c r="J270" s="1" t="s">
        <v>50</v>
      </c>
      <c r="K270" s="1" t="s">
        <v>50</v>
      </c>
      <c r="L270" s="1" t="s">
        <v>50</v>
      </c>
      <c r="M270" s="1" t="s">
        <v>104</v>
      </c>
      <c r="N270" s="1" t="s">
        <v>50</v>
      </c>
      <c r="O270" s="1" t="s">
        <v>50</v>
      </c>
      <c r="P270" s="13" t="s">
        <v>526</v>
      </c>
      <c r="Q270" s="1" t="s">
        <v>104</v>
      </c>
      <c r="R270" s="1" t="s">
        <v>104</v>
      </c>
      <c r="S270" s="1" t="s">
        <v>104</v>
      </c>
      <c r="T270" s="1" t="s">
        <v>104</v>
      </c>
      <c r="U270" s="1" t="s">
        <v>104</v>
      </c>
      <c r="V270" s="1" t="s">
        <v>104</v>
      </c>
      <c r="W270" s="1" t="s">
        <v>104</v>
      </c>
      <c r="X270" s="1" t="s">
        <v>727</v>
      </c>
      <c r="Y270" s="1"/>
      <c r="Z270" s="8">
        <v>1</v>
      </c>
      <c r="AA270" s="8">
        <v>1</v>
      </c>
      <c r="AB270" s="8"/>
      <c r="AC270" s="8"/>
      <c r="AD270" s="8"/>
      <c r="AE270" s="8"/>
      <c r="AF270" s="8"/>
      <c r="AG270" s="8">
        <v>1</v>
      </c>
      <c r="AH270" s="8"/>
      <c r="AI270" s="8"/>
      <c r="AJ270" s="8"/>
      <c r="AK270" s="8"/>
      <c r="AL270" s="8"/>
      <c r="AM270" s="8"/>
      <c r="AN270" s="8"/>
      <c r="AO270" s="8">
        <v>1</v>
      </c>
      <c r="AP270" s="8"/>
      <c r="AQ270" s="8"/>
      <c r="AR270" s="8"/>
      <c r="AS270" s="8">
        <v>1</v>
      </c>
      <c r="AT270" s="8"/>
      <c r="AU270" s="8"/>
      <c r="AV270" s="8"/>
      <c r="AX270" s="8">
        <v>1</v>
      </c>
      <c r="AY270" s="8"/>
      <c r="AZ270" s="8"/>
      <c r="BA270" s="8"/>
      <c r="BB270" s="1"/>
      <c r="BJ270">
        <v>2</v>
      </c>
      <c r="BL270" s="58"/>
      <c r="BP270" t="str">
        <f t="shared" si="9"/>
        <v>Normal0</v>
      </c>
      <c r="BR270">
        <v>8</v>
      </c>
    </row>
    <row r="271" spans="1:70" x14ac:dyDescent="0.25">
      <c r="A271">
        <f t="shared" si="10"/>
        <v>244</v>
      </c>
      <c r="B271" t="s">
        <v>541</v>
      </c>
      <c r="D271" s="1" t="s">
        <v>17</v>
      </c>
      <c r="E271" s="1" t="s">
        <v>11</v>
      </c>
      <c r="F271" s="1" t="s">
        <v>50</v>
      </c>
      <c r="G271" s="1" t="s">
        <v>50</v>
      </c>
      <c r="H271" s="1"/>
      <c r="I271" s="1" t="s">
        <v>50</v>
      </c>
      <c r="J271" s="1" t="s">
        <v>50</v>
      </c>
      <c r="K271" s="1" t="s">
        <v>50</v>
      </c>
      <c r="L271" s="1" t="s">
        <v>50</v>
      </c>
      <c r="M271" s="1" t="s">
        <v>50</v>
      </c>
      <c r="N271" s="1" t="s">
        <v>50</v>
      </c>
      <c r="O271" s="1" t="s">
        <v>50</v>
      </c>
      <c r="P271" s="13" t="s">
        <v>104</v>
      </c>
      <c r="Q271" s="1" t="s">
        <v>104</v>
      </c>
      <c r="R271" s="1" t="s">
        <v>104</v>
      </c>
      <c r="S271" s="1" t="s">
        <v>104</v>
      </c>
      <c r="T271" s="1" t="s">
        <v>104</v>
      </c>
      <c r="U271" s="1" t="s">
        <v>104</v>
      </c>
      <c r="V271" s="1" t="s">
        <v>104</v>
      </c>
      <c r="W271" s="1" t="s">
        <v>104</v>
      </c>
      <c r="X271" s="1" t="s">
        <v>733</v>
      </c>
      <c r="Y271" s="1"/>
      <c r="Z271" s="8">
        <v>1</v>
      </c>
      <c r="AA271" s="8">
        <v>1</v>
      </c>
      <c r="AB271" s="8">
        <v>1</v>
      </c>
      <c r="AC271" s="8">
        <v>1</v>
      </c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>
        <v>1</v>
      </c>
      <c r="BA271" s="8"/>
      <c r="BB271" s="1"/>
      <c r="BL271" s="58"/>
      <c r="BP271" t="str">
        <f t="shared" si="9"/>
        <v>BugGrass</v>
      </c>
      <c r="BQ271" t="s">
        <v>2</v>
      </c>
      <c r="BR271">
        <v>1</v>
      </c>
    </row>
    <row r="272" spans="1:70" x14ac:dyDescent="0.25">
      <c r="A272">
        <f t="shared" si="10"/>
        <v>245</v>
      </c>
      <c r="B272" t="s">
        <v>542</v>
      </c>
      <c r="D272" s="1" t="s">
        <v>17</v>
      </c>
      <c r="E272" s="1" t="s">
        <v>11</v>
      </c>
      <c r="F272" s="1" t="s">
        <v>50</v>
      </c>
      <c r="G272" s="1" t="s">
        <v>50</v>
      </c>
      <c r="H272" s="1" t="s">
        <v>50</v>
      </c>
      <c r="I272" s="1" t="s">
        <v>50</v>
      </c>
      <c r="J272" s="1" t="s">
        <v>50</v>
      </c>
      <c r="K272" s="1" t="s">
        <v>50</v>
      </c>
      <c r="L272" s="1" t="s">
        <v>50</v>
      </c>
      <c r="M272" s="1" t="s">
        <v>104</v>
      </c>
      <c r="N272" s="1" t="s">
        <v>50</v>
      </c>
      <c r="O272" s="1" t="s">
        <v>50</v>
      </c>
      <c r="P272" s="13" t="s">
        <v>104</v>
      </c>
      <c r="Q272" s="1" t="s">
        <v>104</v>
      </c>
      <c r="R272" s="1" t="s">
        <v>104</v>
      </c>
      <c r="S272" s="1" t="s">
        <v>104</v>
      </c>
      <c r="T272" s="1" t="s">
        <v>104</v>
      </c>
      <c r="U272" s="1" t="s">
        <v>104</v>
      </c>
      <c r="V272" s="1" t="s">
        <v>104</v>
      </c>
      <c r="W272" s="1" t="s">
        <v>104</v>
      </c>
      <c r="X272" s="1" t="s">
        <v>733</v>
      </c>
      <c r="Y272" s="1"/>
      <c r="Z272" s="8">
        <v>1</v>
      </c>
      <c r="AA272" s="8">
        <v>1</v>
      </c>
      <c r="AB272" s="8">
        <v>1</v>
      </c>
      <c r="AC272" s="8">
        <v>1</v>
      </c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>
        <v>1</v>
      </c>
      <c r="BA272" s="8"/>
      <c r="BB272" s="1"/>
      <c r="BJ272">
        <v>1</v>
      </c>
      <c r="BL272" s="58"/>
      <c r="BP272" t="str">
        <f t="shared" si="9"/>
        <v>BugGrass</v>
      </c>
      <c r="BR272">
        <v>1</v>
      </c>
    </row>
    <row r="273" spans="1:70" x14ac:dyDescent="0.25">
      <c r="A273">
        <f t="shared" si="10"/>
        <v>246</v>
      </c>
      <c r="B273" t="s">
        <v>461</v>
      </c>
      <c r="D273" s="1" t="s">
        <v>17</v>
      </c>
      <c r="E273" s="1" t="s">
        <v>7</v>
      </c>
      <c r="F273" s="1" t="s">
        <v>50</v>
      </c>
      <c r="G273" s="1" t="s">
        <v>50</v>
      </c>
      <c r="H273" s="1"/>
      <c r="I273" s="1" t="s">
        <v>50</v>
      </c>
      <c r="J273" s="1" t="s">
        <v>50</v>
      </c>
      <c r="K273" s="1" t="s">
        <v>50</v>
      </c>
      <c r="L273" s="1"/>
      <c r="M273" s="1" t="s">
        <v>50</v>
      </c>
      <c r="N273" s="1" t="s">
        <v>50</v>
      </c>
      <c r="O273" s="1" t="s">
        <v>50</v>
      </c>
      <c r="P273" s="13" t="s">
        <v>807</v>
      </c>
      <c r="Q273" s="1" t="s">
        <v>104</v>
      </c>
      <c r="R273" s="1" t="s">
        <v>104</v>
      </c>
      <c r="S273" s="1" t="s">
        <v>104</v>
      </c>
      <c r="T273" s="1" t="s">
        <v>104</v>
      </c>
      <c r="U273" s="1" t="s">
        <v>104</v>
      </c>
      <c r="V273" s="1" t="s">
        <v>104</v>
      </c>
      <c r="W273" s="1" t="s">
        <v>104</v>
      </c>
      <c r="X273" s="1" t="s">
        <v>727</v>
      </c>
      <c r="Y273" s="1"/>
      <c r="Z273" s="8">
        <v>1</v>
      </c>
      <c r="AA273" s="8">
        <v>1</v>
      </c>
      <c r="AB273" s="8">
        <v>1</v>
      </c>
      <c r="AC273" s="8">
        <v>1</v>
      </c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>
        <v>1</v>
      </c>
      <c r="AP273" s="8">
        <v>1</v>
      </c>
      <c r="AQ273" s="8"/>
      <c r="AR273" s="8"/>
      <c r="AS273" s="8"/>
      <c r="AT273" s="8"/>
      <c r="AU273" s="8"/>
      <c r="AV273" s="8"/>
      <c r="AW273" s="8"/>
      <c r="AX273" s="8"/>
      <c r="AY273" s="8"/>
      <c r="AZ273" s="8">
        <v>1</v>
      </c>
      <c r="BA273" s="8"/>
      <c r="BB273" s="1"/>
      <c r="BL273" s="58"/>
      <c r="BP273" t="str">
        <f t="shared" si="9"/>
        <v>BugFairy</v>
      </c>
      <c r="BQ273" t="s">
        <v>2</v>
      </c>
      <c r="BR273">
        <v>1</v>
      </c>
    </row>
    <row r="274" spans="1:70" x14ac:dyDescent="0.25">
      <c r="A274">
        <f t="shared" si="10"/>
        <v>247</v>
      </c>
      <c r="B274" t="s">
        <v>462</v>
      </c>
      <c r="D274" s="1" t="s">
        <v>17</v>
      </c>
      <c r="E274" s="1" t="s">
        <v>7</v>
      </c>
      <c r="F274" s="1" t="s">
        <v>50</v>
      </c>
      <c r="G274" s="1" t="s">
        <v>50</v>
      </c>
      <c r="H274" s="1"/>
      <c r="I274" s="1" t="s">
        <v>50</v>
      </c>
      <c r="J274" s="1" t="s">
        <v>50</v>
      </c>
      <c r="K274" s="1" t="s">
        <v>50</v>
      </c>
      <c r="L274" s="1"/>
      <c r="M274" s="1" t="s">
        <v>104</v>
      </c>
      <c r="N274" s="1" t="s">
        <v>50</v>
      </c>
      <c r="O274" s="1" t="s">
        <v>50</v>
      </c>
      <c r="P274" s="13" t="s">
        <v>807</v>
      </c>
      <c r="Q274" s="1" t="s">
        <v>104</v>
      </c>
      <c r="R274" s="1" t="s">
        <v>104</v>
      </c>
      <c r="S274" s="1" t="s">
        <v>104</v>
      </c>
      <c r="T274" s="1" t="s">
        <v>104</v>
      </c>
      <c r="U274" s="1" t="s">
        <v>104</v>
      </c>
      <c r="V274" s="1" t="s">
        <v>104</v>
      </c>
      <c r="W274" s="1" t="s">
        <v>104</v>
      </c>
      <c r="X274" s="1" t="s">
        <v>727</v>
      </c>
      <c r="Y274" s="1"/>
      <c r="Z274" s="8">
        <v>1</v>
      </c>
      <c r="AA274" s="8">
        <v>1</v>
      </c>
      <c r="AB274" s="8">
        <v>1</v>
      </c>
      <c r="AC274" s="8">
        <v>1</v>
      </c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>
        <v>1</v>
      </c>
      <c r="AP274" s="8">
        <v>1</v>
      </c>
      <c r="AQ274" s="8"/>
      <c r="AR274" s="8"/>
      <c r="AS274" s="8"/>
      <c r="AT274" s="8"/>
      <c r="AU274" s="8"/>
      <c r="AV274" s="8"/>
      <c r="AW274" s="8"/>
      <c r="AX274" s="8"/>
      <c r="AY274" s="8"/>
      <c r="AZ274" s="8">
        <v>1</v>
      </c>
      <c r="BA274" s="8"/>
      <c r="BB274" s="1"/>
      <c r="BL274" s="58"/>
      <c r="BP274" t="str">
        <f t="shared" si="9"/>
        <v>BugFairy</v>
      </c>
      <c r="BQ274" t="s">
        <v>2</v>
      </c>
      <c r="BR274">
        <v>1</v>
      </c>
    </row>
    <row r="275" spans="1:70" x14ac:dyDescent="0.25">
      <c r="A275">
        <f t="shared" si="10"/>
        <v>248</v>
      </c>
      <c r="B275" t="s">
        <v>463</v>
      </c>
      <c r="D275" s="1" t="s">
        <v>17</v>
      </c>
      <c r="E275" s="1" t="s">
        <v>7</v>
      </c>
      <c r="F275" s="1" t="s">
        <v>50</v>
      </c>
      <c r="G275" s="1" t="s">
        <v>50</v>
      </c>
      <c r="H275" s="1" t="s">
        <v>50</v>
      </c>
      <c r="I275" s="1" t="s">
        <v>50</v>
      </c>
      <c r="J275" s="1" t="s">
        <v>50</v>
      </c>
      <c r="K275" s="1" t="s">
        <v>50</v>
      </c>
      <c r="L275" s="1" t="s">
        <v>50</v>
      </c>
      <c r="M275" s="1" t="s">
        <v>104</v>
      </c>
      <c r="N275" s="1" t="s">
        <v>50</v>
      </c>
      <c r="O275" s="1" t="s">
        <v>50</v>
      </c>
      <c r="P275" s="13" t="s">
        <v>807</v>
      </c>
      <c r="Q275" s="1" t="s">
        <v>50</v>
      </c>
      <c r="R275" s="1" t="s">
        <v>50</v>
      </c>
      <c r="S275" s="1" t="s">
        <v>50</v>
      </c>
      <c r="T275" s="1" t="s">
        <v>50</v>
      </c>
      <c r="U275" s="1" t="s">
        <v>50</v>
      </c>
      <c r="V275" s="1" t="s">
        <v>50</v>
      </c>
      <c r="W275" s="1" t="s">
        <v>50</v>
      </c>
      <c r="X275" s="1" t="s">
        <v>2564</v>
      </c>
      <c r="Y275" s="1"/>
      <c r="Z275" s="8">
        <v>1</v>
      </c>
      <c r="AA275" s="8">
        <v>1</v>
      </c>
      <c r="AB275" s="8">
        <v>1</v>
      </c>
      <c r="AC275" s="8">
        <v>1</v>
      </c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>
        <v>1</v>
      </c>
      <c r="AP275" s="8">
        <v>1</v>
      </c>
      <c r="AQ275" s="8"/>
      <c r="AR275" s="8"/>
      <c r="AS275" s="8"/>
      <c r="AT275" s="8"/>
      <c r="AU275" s="8"/>
      <c r="AV275" s="8"/>
      <c r="AW275" s="8"/>
      <c r="AX275" s="8"/>
      <c r="AY275" s="8"/>
      <c r="AZ275" s="8">
        <v>1</v>
      </c>
      <c r="BA275" s="8"/>
      <c r="BB275" s="1"/>
      <c r="BJ275">
        <v>1</v>
      </c>
      <c r="BL275" s="58"/>
      <c r="BP275" t="str">
        <f t="shared" si="9"/>
        <v>BugFairy</v>
      </c>
      <c r="BR275">
        <v>1</v>
      </c>
    </row>
    <row r="276" spans="1:70" x14ac:dyDescent="0.25">
      <c r="A276">
        <f t="shared" si="10"/>
        <v>249</v>
      </c>
      <c r="B276" t="s">
        <v>371</v>
      </c>
      <c r="D276" s="1" t="s">
        <v>41</v>
      </c>
      <c r="E276" s="1" t="s">
        <v>18</v>
      </c>
      <c r="F276" s="1" t="s">
        <v>50</v>
      </c>
      <c r="G276" s="1" t="s">
        <v>50</v>
      </c>
      <c r="H276" s="1"/>
      <c r="I276" s="1" t="s">
        <v>50</v>
      </c>
      <c r="J276" s="1" t="s">
        <v>50</v>
      </c>
      <c r="K276" s="1" t="s">
        <v>50</v>
      </c>
      <c r="L276" s="1" t="s">
        <v>50</v>
      </c>
      <c r="M276" s="1" t="s">
        <v>50</v>
      </c>
      <c r="N276" s="1" t="s">
        <v>50</v>
      </c>
      <c r="O276" s="1" t="s">
        <v>50</v>
      </c>
      <c r="P276" s="1" t="s">
        <v>808</v>
      </c>
      <c r="Q276" s="1" t="s">
        <v>104</v>
      </c>
      <c r="R276" s="1" t="s">
        <v>104</v>
      </c>
      <c r="S276" s="1" t="s">
        <v>104</v>
      </c>
      <c r="T276" s="1" t="s">
        <v>104</v>
      </c>
      <c r="U276" s="1" t="s">
        <v>104</v>
      </c>
      <c r="V276" s="1" t="s">
        <v>104</v>
      </c>
      <c r="W276" s="1" t="s">
        <v>104</v>
      </c>
      <c r="X276" s="1" t="s">
        <v>727</v>
      </c>
      <c r="Y276" s="1"/>
      <c r="Z276" s="8"/>
      <c r="AA276" s="8">
        <v>1</v>
      </c>
      <c r="AB276" s="8">
        <v>1</v>
      </c>
      <c r="AC276" s="8">
        <v>1</v>
      </c>
      <c r="AD276" s="8">
        <v>1</v>
      </c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>
        <v>1</v>
      </c>
      <c r="BA276" s="8"/>
      <c r="BB276" s="1"/>
      <c r="BL276" s="58"/>
      <c r="BP276" t="str">
        <f t="shared" si="9"/>
        <v>SoundFighting</v>
      </c>
      <c r="BQ276" t="s">
        <v>2</v>
      </c>
      <c r="BR276">
        <v>1</v>
      </c>
    </row>
    <row r="277" spans="1:70" x14ac:dyDescent="0.25">
      <c r="A277">
        <f t="shared" si="10"/>
        <v>250</v>
      </c>
      <c r="B277" t="s">
        <v>372</v>
      </c>
      <c r="D277" s="1" t="s">
        <v>41</v>
      </c>
      <c r="E277" s="1" t="s">
        <v>18</v>
      </c>
      <c r="F277" s="1" t="s">
        <v>50</v>
      </c>
      <c r="G277" s="1" t="s">
        <v>50</v>
      </c>
      <c r="H277" s="1" t="s">
        <v>50</v>
      </c>
      <c r="I277" s="1" t="s">
        <v>50</v>
      </c>
      <c r="J277" s="1" t="s">
        <v>50</v>
      </c>
      <c r="K277" s="1" t="s">
        <v>50</v>
      </c>
      <c r="L277" s="1"/>
      <c r="M277" s="1" t="s">
        <v>104</v>
      </c>
      <c r="N277" s="1" t="s">
        <v>50</v>
      </c>
      <c r="O277" s="1" t="s">
        <v>50</v>
      </c>
      <c r="P277" s="1" t="s">
        <v>808</v>
      </c>
      <c r="Q277" s="1" t="s">
        <v>104</v>
      </c>
      <c r="R277" s="1" t="s">
        <v>104</v>
      </c>
      <c r="S277" s="1" t="s">
        <v>104</v>
      </c>
      <c r="T277" s="1" t="s">
        <v>104</v>
      </c>
      <c r="U277" s="1" t="s">
        <v>104</v>
      </c>
      <c r="V277" s="1" t="s">
        <v>104</v>
      </c>
      <c r="W277" s="1" t="s">
        <v>104</v>
      </c>
      <c r="X277" s="1" t="s">
        <v>727</v>
      </c>
      <c r="Y277" s="1"/>
      <c r="Z277" s="8"/>
      <c r="AA277" s="8">
        <v>1</v>
      </c>
      <c r="AB277" s="8">
        <v>1</v>
      </c>
      <c r="AC277" s="8">
        <v>1</v>
      </c>
      <c r="AD277" s="8">
        <v>1</v>
      </c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>
        <v>1</v>
      </c>
      <c r="BA277" s="8"/>
      <c r="BB277" s="1"/>
      <c r="BL277" s="58"/>
      <c r="BP277" t="str">
        <f t="shared" si="9"/>
        <v>SoundFighting</v>
      </c>
      <c r="BQ277" t="s">
        <v>2</v>
      </c>
      <c r="BR277">
        <v>1</v>
      </c>
    </row>
    <row r="278" spans="1:70" x14ac:dyDescent="0.25">
      <c r="A278">
        <f t="shared" si="10"/>
        <v>251</v>
      </c>
      <c r="B278" t="s">
        <v>531</v>
      </c>
      <c r="D278" s="1" t="s">
        <v>8</v>
      </c>
      <c r="E278" s="1" t="s">
        <v>17</v>
      </c>
      <c r="F278" s="1" t="s">
        <v>50</v>
      </c>
      <c r="G278" s="1" t="s">
        <v>50</v>
      </c>
      <c r="H278" s="1"/>
      <c r="I278" s="1" t="s">
        <v>50</v>
      </c>
      <c r="J278" s="1" t="s">
        <v>50</v>
      </c>
      <c r="K278" s="1" t="s">
        <v>50</v>
      </c>
      <c r="L278" s="1"/>
      <c r="M278" s="1" t="s">
        <v>50</v>
      </c>
      <c r="N278" s="1" t="s">
        <v>50</v>
      </c>
      <c r="O278" s="1" t="s">
        <v>50</v>
      </c>
      <c r="P278" s="13" t="s">
        <v>534</v>
      </c>
      <c r="Q278" s="1" t="s">
        <v>104</v>
      </c>
      <c r="R278" s="1" t="s">
        <v>104</v>
      </c>
      <c r="S278" s="1" t="s">
        <v>104</v>
      </c>
      <c r="T278" s="1" t="s">
        <v>104</v>
      </c>
      <c r="U278" s="1" t="s">
        <v>104</v>
      </c>
      <c r="V278" s="1" t="s">
        <v>104</v>
      </c>
      <c r="W278" s="1" t="s">
        <v>104</v>
      </c>
      <c r="X278" s="1" t="s">
        <v>727</v>
      </c>
      <c r="Y278" s="1"/>
      <c r="Z278" s="8"/>
      <c r="AA278" s="8"/>
      <c r="AB278" s="8"/>
      <c r="AC278" s="8"/>
      <c r="AD278" s="8">
        <v>1</v>
      </c>
      <c r="AE278" s="8">
        <v>1</v>
      </c>
      <c r="AF278" s="8">
        <v>1</v>
      </c>
      <c r="AG278" s="8"/>
      <c r="AH278" s="8">
        <v>1</v>
      </c>
      <c r="AI278" s="8"/>
      <c r="AJ278" s="8">
        <v>1</v>
      </c>
      <c r="AK278" s="8"/>
      <c r="AL278" s="8"/>
      <c r="AM278" s="8"/>
      <c r="AN278" s="8"/>
      <c r="AO278" s="8"/>
      <c r="AP278" s="8"/>
      <c r="AQ278" s="8"/>
      <c r="AR278" s="8"/>
      <c r="AS278" s="8">
        <v>1</v>
      </c>
      <c r="AT278" s="8"/>
      <c r="AU278" s="8"/>
      <c r="AV278" s="8">
        <v>1</v>
      </c>
      <c r="AW278" s="8"/>
      <c r="AX278" s="8">
        <v>1</v>
      </c>
      <c r="AY278" s="8">
        <v>1</v>
      </c>
      <c r="AZ278" s="8"/>
      <c r="BA278" s="8"/>
      <c r="BB278" s="1"/>
      <c r="BL278" s="58"/>
      <c r="BP278" t="str">
        <f t="shared" si="9"/>
        <v>GroundBug</v>
      </c>
      <c r="BQ278" t="s">
        <v>2</v>
      </c>
      <c r="BR278">
        <v>5</v>
      </c>
    </row>
    <row r="279" spans="1:70" x14ac:dyDescent="0.25">
      <c r="A279">
        <f t="shared" si="10"/>
        <v>252</v>
      </c>
      <c r="B279" t="s">
        <v>532</v>
      </c>
      <c r="D279" s="1" t="s">
        <v>8</v>
      </c>
      <c r="E279" s="1" t="s">
        <v>17</v>
      </c>
      <c r="F279" s="1" t="s">
        <v>50</v>
      </c>
      <c r="G279" s="1" t="s">
        <v>50</v>
      </c>
      <c r="H279" s="1"/>
      <c r="I279" s="1" t="s">
        <v>50</v>
      </c>
      <c r="J279" s="1" t="s">
        <v>50</v>
      </c>
      <c r="K279" s="1" t="s">
        <v>50</v>
      </c>
      <c r="L279" s="1"/>
      <c r="M279" s="1" t="s">
        <v>104</v>
      </c>
      <c r="N279" s="1" t="s">
        <v>50</v>
      </c>
      <c r="O279" s="1" t="s">
        <v>50</v>
      </c>
      <c r="P279" s="13" t="s">
        <v>534</v>
      </c>
      <c r="Q279" s="1" t="s">
        <v>104</v>
      </c>
      <c r="R279" s="1" t="s">
        <v>104</v>
      </c>
      <c r="S279" s="1" t="s">
        <v>104</v>
      </c>
      <c r="T279" s="1" t="s">
        <v>104</v>
      </c>
      <c r="U279" s="1" t="s">
        <v>104</v>
      </c>
      <c r="V279" s="1" t="s">
        <v>104</v>
      </c>
      <c r="W279" s="1" t="s">
        <v>104</v>
      </c>
      <c r="X279" s="1" t="s">
        <v>727</v>
      </c>
      <c r="Y279" s="1"/>
      <c r="Z279" s="8"/>
      <c r="AA279" s="8"/>
      <c r="AB279" s="8"/>
      <c r="AC279" s="8"/>
      <c r="AD279" s="8">
        <v>1</v>
      </c>
      <c r="AE279" s="8">
        <v>1</v>
      </c>
      <c r="AF279" s="8">
        <v>1</v>
      </c>
      <c r="AG279" s="8"/>
      <c r="AH279" s="8">
        <v>1</v>
      </c>
      <c r="AI279" s="8"/>
      <c r="AJ279" s="8">
        <v>1</v>
      </c>
      <c r="AK279" s="8"/>
      <c r="AL279" s="8"/>
      <c r="AM279" s="8"/>
      <c r="AN279" s="8"/>
      <c r="AO279" s="8"/>
      <c r="AP279" s="8"/>
      <c r="AQ279" s="8"/>
      <c r="AR279" s="8"/>
      <c r="AS279" s="8">
        <v>1</v>
      </c>
      <c r="AT279" s="8"/>
      <c r="AU279" s="8"/>
      <c r="AV279" s="8">
        <v>1</v>
      </c>
      <c r="AW279" s="8"/>
      <c r="AX279" s="8">
        <v>1</v>
      </c>
      <c r="AY279" s="8">
        <v>1</v>
      </c>
      <c r="AZ279" s="8"/>
      <c r="BA279" s="8"/>
      <c r="BB279" s="1"/>
      <c r="BL279" s="58"/>
      <c r="BP279" t="str">
        <f t="shared" si="9"/>
        <v>GroundBug</v>
      </c>
      <c r="BQ279" t="s">
        <v>2</v>
      </c>
      <c r="BR279">
        <v>5</v>
      </c>
    </row>
    <row r="280" spans="1:70" x14ac:dyDescent="0.25">
      <c r="A280">
        <f t="shared" si="10"/>
        <v>253</v>
      </c>
      <c r="B280" t="s">
        <v>533</v>
      </c>
      <c r="D280" s="1" t="s">
        <v>8</v>
      </c>
      <c r="E280" s="1" t="s">
        <v>17</v>
      </c>
      <c r="F280" s="1" t="s">
        <v>50</v>
      </c>
      <c r="G280" s="1" t="s">
        <v>50</v>
      </c>
      <c r="H280" s="1" t="s">
        <v>50</v>
      </c>
      <c r="I280" s="1" t="s">
        <v>50</v>
      </c>
      <c r="J280" s="1" t="s">
        <v>50</v>
      </c>
      <c r="K280" s="1" t="s">
        <v>50</v>
      </c>
      <c r="L280" s="1"/>
      <c r="M280" s="1" t="s">
        <v>104</v>
      </c>
      <c r="N280" s="1" t="s">
        <v>50</v>
      </c>
      <c r="O280" s="1" t="s">
        <v>50</v>
      </c>
      <c r="P280" s="13" t="s">
        <v>534</v>
      </c>
      <c r="Q280" s="1" t="s">
        <v>104</v>
      </c>
      <c r="R280" s="1" t="s">
        <v>104</v>
      </c>
      <c r="S280" s="1" t="s">
        <v>104</v>
      </c>
      <c r="T280" s="1" t="s">
        <v>104</v>
      </c>
      <c r="U280" s="1" t="s">
        <v>104</v>
      </c>
      <c r="V280" s="1" t="s">
        <v>104</v>
      </c>
      <c r="W280" s="1" t="s">
        <v>104</v>
      </c>
      <c r="X280" s="1" t="s">
        <v>727</v>
      </c>
      <c r="Y280" s="1"/>
      <c r="Z280" s="8"/>
      <c r="AA280" s="8"/>
      <c r="AB280" s="8"/>
      <c r="AC280" s="8"/>
      <c r="AD280" s="8">
        <v>1</v>
      </c>
      <c r="AE280" s="8">
        <v>1</v>
      </c>
      <c r="AF280" s="8">
        <v>1</v>
      </c>
      <c r="AG280" s="8"/>
      <c r="AH280" s="8">
        <v>1</v>
      </c>
      <c r="AI280" s="8"/>
      <c r="AJ280" s="8">
        <v>1</v>
      </c>
      <c r="AK280" s="8"/>
      <c r="AL280" s="8"/>
      <c r="AM280" s="8"/>
      <c r="AN280" s="8"/>
      <c r="AO280" s="8"/>
      <c r="AP280" s="8"/>
      <c r="AQ280" s="8"/>
      <c r="AR280" s="8"/>
      <c r="AS280" s="8">
        <v>1</v>
      </c>
      <c r="AT280" s="8"/>
      <c r="AU280" s="8"/>
      <c r="AV280" s="8">
        <v>1</v>
      </c>
      <c r="AW280" s="8"/>
      <c r="AX280" s="8">
        <v>1</v>
      </c>
      <c r="AY280" s="8">
        <v>1</v>
      </c>
      <c r="AZ280" s="8"/>
      <c r="BA280" s="8"/>
      <c r="BB280" s="1"/>
      <c r="BJ280">
        <v>2</v>
      </c>
      <c r="BK280">
        <v>1</v>
      </c>
      <c r="BL280" s="58"/>
      <c r="BP280" t="str">
        <f t="shared" si="9"/>
        <v>GroundBug</v>
      </c>
      <c r="BR280">
        <v>5</v>
      </c>
    </row>
    <row r="281" spans="1:70" x14ac:dyDescent="0.25">
      <c r="A281">
        <f t="shared" si="10"/>
        <v>254</v>
      </c>
      <c r="B281" t="s">
        <v>255</v>
      </c>
      <c r="D281" s="1" t="s">
        <v>1</v>
      </c>
      <c r="E281" s="1">
        <v>0</v>
      </c>
      <c r="F281" s="1" t="s">
        <v>50</v>
      </c>
      <c r="G281" s="1" t="s">
        <v>50</v>
      </c>
      <c r="H281" s="1"/>
      <c r="I281" s="1" t="s">
        <v>50</v>
      </c>
      <c r="J281" s="1" t="s">
        <v>50</v>
      </c>
      <c r="K281" s="1" t="s">
        <v>50</v>
      </c>
      <c r="L281" s="1" t="s">
        <v>50</v>
      </c>
      <c r="M281" s="1" t="s">
        <v>50</v>
      </c>
      <c r="N281" s="1" t="s">
        <v>50</v>
      </c>
      <c r="O281" s="1" t="s">
        <v>50</v>
      </c>
      <c r="P281" s="13" t="s">
        <v>1726</v>
      </c>
      <c r="Q281" s="1" t="s">
        <v>104</v>
      </c>
      <c r="R281" s="1" t="s">
        <v>104</v>
      </c>
      <c r="S281" s="1" t="s">
        <v>104</v>
      </c>
      <c r="T281" s="1" t="s">
        <v>104</v>
      </c>
      <c r="U281" s="1" t="s">
        <v>104</v>
      </c>
      <c r="V281" s="1" t="s">
        <v>104</v>
      </c>
      <c r="W281" s="1" t="s">
        <v>104</v>
      </c>
      <c r="X281" s="1" t="s">
        <v>727</v>
      </c>
      <c r="Y281" s="1"/>
      <c r="Z281" s="8">
        <v>1</v>
      </c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>
        <v>1</v>
      </c>
      <c r="AT281" s="8"/>
      <c r="AU281" s="8"/>
      <c r="AV281" s="8"/>
      <c r="AW281" s="8"/>
      <c r="AX281" s="8"/>
      <c r="AY281" s="8"/>
      <c r="AZ281" s="8"/>
      <c r="BA281" s="8"/>
      <c r="BB281" s="1"/>
      <c r="BJ281">
        <v>5</v>
      </c>
      <c r="BL281" s="58"/>
      <c r="BP281" t="str">
        <f t="shared" si="9"/>
        <v>Normal0</v>
      </c>
      <c r="BQ281" t="s">
        <v>2</v>
      </c>
      <c r="BR281">
        <v>1</v>
      </c>
    </row>
    <row r="282" spans="1:70" x14ac:dyDescent="0.25">
      <c r="A282">
        <f t="shared" si="10"/>
        <v>255</v>
      </c>
      <c r="B282" t="s">
        <v>568</v>
      </c>
      <c r="D282" s="1" t="s">
        <v>42</v>
      </c>
      <c r="E282" s="1">
        <v>0</v>
      </c>
      <c r="F282" s="1" t="s">
        <v>50</v>
      </c>
      <c r="G282" s="1" t="s">
        <v>50</v>
      </c>
      <c r="H282" s="1" t="s">
        <v>50</v>
      </c>
      <c r="I282" s="1" t="s">
        <v>50</v>
      </c>
      <c r="J282" s="1" t="s">
        <v>50</v>
      </c>
      <c r="K282" s="1" t="s">
        <v>50</v>
      </c>
      <c r="L282" s="1"/>
      <c r="M282" s="1" t="s">
        <v>104</v>
      </c>
      <c r="N282" s="1" t="s">
        <v>50</v>
      </c>
      <c r="O282" s="1" t="s">
        <v>50</v>
      </c>
      <c r="P282" s="1" t="s">
        <v>104</v>
      </c>
      <c r="Q282" s="1" t="s">
        <v>104</v>
      </c>
      <c r="R282" s="1" t="s">
        <v>104</v>
      </c>
      <c r="S282" s="1" t="s">
        <v>104</v>
      </c>
      <c r="T282" s="1" t="s">
        <v>104</v>
      </c>
      <c r="U282" s="1" t="s">
        <v>104</v>
      </c>
      <c r="V282" s="1" t="s">
        <v>104</v>
      </c>
      <c r="W282" s="1" t="s">
        <v>104</v>
      </c>
      <c r="X282" s="1" t="s">
        <v>729</v>
      </c>
      <c r="Y282" s="1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>
        <v>1</v>
      </c>
      <c r="AV282" s="8"/>
      <c r="AW282" s="8"/>
      <c r="AX282" s="8"/>
      <c r="AY282" s="8"/>
      <c r="AZ282" s="8"/>
      <c r="BA282" s="8"/>
      <c r="BB282" s="1"/>
      <c r="BJ282">
        <v>21</v>
      </c>
      <c r="BK282">
        <v>7</v>
      </c>
      <c r="BL282" s="58"/>
      <c r="BP282" t="str">
        <f t="shared" si="9"/>
        <v>Cosmic0</v>
      </c>
      <c r="BR282">
        <v>1</v>
      </c>
    </row>
    <row r="283" spans="1:70" x14ac:dyDescent="0.25">
      <c r="A283">
        <f t="shared" si="10"/>
        <v>256</v>
      </c>
      <c r="B283" t="s">
        <v>570</v>
      </c>
      <c r="D283" s="1" t="s">
        <v>44</v>
      </c>
      <c r="E283" s="1">
        <v>0</v>
      </c>
      <c r="F283" s="1" t="s">
        <v>50</v>
      </c>
      <c r="G283" s="1" t="s">
        <v>50</v>
      </c>
      <c r="H283" s="1" t="s">
        <v>50</v>
      </c>
      <c r="I283" s="1" t="s">
        <v>50</v>
      </c>
      <c r="J283" s="1" t="s">
        <v>50</v>
      </c>
      <c r="K283" s="1" t="s">
        <v>50</v>
      </c>
      <c r="L283" s="1"/>
      <c r="M283" s="1" t="s">
        <v>104</v>
      </c>
      <c r="N283" s="1" t="s">
        <v>50</v>
      </c>
      <c r="O283" s="1" t="s">
        <v>50</v>
      </c>
      <c r="P283" s="1" t="s">
        <v>104</v>
      </c>
      <c r="Q283" s="1" t="s">
        <v>104</v>
      </c>
      <c r="R283" s="1" t="s">
        <v>104</v>
      </c>
      <c r="S283" s="1" t="s">
        <v>104</v>
      </c>
      <c r="T283" s="1" t="s">
        <v>104</v>
      </c>
      <c r="U283" s="1" t="s">
        <v>104</v>
      </c>
      <c r="V283" s="1" t="s">
        <v>104</v>
      </c>
      <c r="W283" s="1" t="s">
        <v>104</v>
      </c>
      <c r="X283" s="1" t="s">
        <v>729</v>
      </c>
      <c r="Y283" s="1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>
        <v>1</v>
      </c>
      <c r="AY283" s="8">
        <v>1</v>
      </c>
      <c r="AZ283" s="8"/>
      <c r="BA283" s="8"/>
      <c r="BB283" s="1"/>
      <c r="BJ283">
        <v>20</v>
      </c>
      <c r="BK283">
        <v>8</v>
      </c>
      <c r="BL283" s="58"/>
      <c r="BP283" t="str">
        <f t="shared" si="9"/>
        <v>Light0</v>
      </c>
      <c r="BR283">
        <v>1</v>
      </c>
    </row>
    <row r="284" spans="1:70" x14ac:dyDescent="0.25">
      <c r="A284">
        <f t="shared" si="10"/>
        <v>257</v>
      </c>
      <c r="B284" t="s">
        <v>569</v>
      </c>
      <c r="D284" s="1" t="s">
        <v>41</v>
      </c>
      <c r="E284" s="1">
        <v>0</v>
      </c>
      <c r="F284" s="1" t="s">
        <v>50</v>
      </c>
      <c r="G284" s="1" t="s">
        <v>50</v>
      </c>
      <c r="H284" s="1" t="s">
        <v>50</v>
      </c>
      <c r="I284" s="1" t="s">
        <v>50</v>
      </c>
      <c r="J284" s="1" t="s">
        <v>50</v>
      </c>
      <c r="K284" s="1" t="s">
        <v>50</v>
      </c>
      <c r="L284" s="1"/>
      <c r="M284" s="1" t="s">
        <v>104</v>
      </c>
      <c r="N284" s="1" t="s">
        <v>50</v>
      </c>
      <c r="O284" s="1" t="s">
        <v>50</v>
      </c>
      <c r="P284" s="1" t="s">
        <v>104</v>
      </c>
      <c r="Q284" s="1" t="s">
        <v>104</v>
      </c>
      <c r="R284" s="1" t="s">
        <v>104</v>
      </c>
      <c r="S284" s="1" t="s">
        <v>104</v>
      </c>
      <c r="T284" s="1" t="s">
        <v>104</v>
      </c>
      <c r="U284" s="1" t="s">
        <v>104</v>
      </c>
      <c r="V284" s="1" t="s">
        <v>104</v>
      </c>
      <c r="W284" s="1" t="s">
        <v>104</v>
      </c>
      <c r="X284" s="1" t="s">
        <v>729</v>
      </c>
      <c r="Y284" s="1"/>
      <c r="Z284" s="8"/>
      <c r="AA284" s="8"/>
      <c r="AB284" s="8"/>
      <c r="AC284" s="8"/>
      <c r="AD284" s="8"/>
      <c r="AE284" s="8"/>
      <c r="AF284" s="8"/>
      <c r="AG284" s="8"/>
      <c r="AH284" s="8">
        <v>1</v>
      </c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>
        <v>1</v>
      </c>
      <c r="AT284" s="8"/>
      <c r="AU284" s="8"/>
      <c r="AV284" s="8"/>
      <c r="AW284" s="8"/>
      <c r="AX284" s="8"/>
      <c r="AY284" s="8"/>
      <c r="AZ284" s="8"/>
      <c r="BA284" s="8"/>
      <c r="BB284" s="1"/>
      <c r="BJ284">
        <v>23</v>
      </c>
      <c r="BK284">
        <v>6</v>
      </c>
      <c r="BL284" s="58"/>
      <c r="BP284" t="str">
        <f t="shared" si="9"/>
        <v>Sound0</v>
      </c>
      <c r="BR284">
        <v>1</v>
      </c>
    </row>
    <row r="285" spans="1:70" x14ac:dyDescent="0.25">
      <c r="A285" s="1" t="s">
        <v>50</v>
      </c>
      <c r="B285" t="s">
        <v>317</v>
      </c>
      <c r="C285" t="s">
        <v>100</v>
      </c>
      <c r="D285" s="1" t="s">
        <v>12</v>
      </c>
      <c r="E285" s="1" t="s">
        <v>14</v>
      </c>
      <c r="F285" s="1" t="s">
        <v>50</v>
      </c>
      <c r="G285" s="1" t="s">
        <v>50</v>
      </c>
      <c r="H285" s="1" t="s">
        <v>50</v>
      </c>
      <c r="I285" s="1" t="s">
        <v>50</v>
      </c>
      <c r="J285" s="1" t="s">
        <v>50</v>
      </c>
      <c r="K285" s="1" t="s">
        <v>50</v>
      </c>
      <c r="L285" s="1"/>
      <c r="M285" s="1" t="s">
        <v>50</v>
      </c>
      <c r="N285" s="1" t="s">
        <v>50</v>
      </c>
      <c r="O285" s="1" t="s">
        <v>50</v>
      </c>
      <c r="P285" s="13" t="s">
        <v>1727</v>
      </c>
      <c r="Q285" s="1" t="s">
        <v>104</v>
      </c>
      <c r="R285" s="1" t="s">
        <v>104</v>
      </c>
      <c r="S285" s="1" t="s">
        <v>104</v>
      </c>
      <c r="T285" s="1" t="s">
        <v>104</v>
      </c>
      <c r="U285" s="1" t="s">
        <v>104</v>
      </c>
      <c r="V285" s="1" t="s">
        <v>104</v>
      </c>
      <c r="W285" s="1" t="s">
        <v>104</v>
      </c>
      <c r="X285" s="1" t="s">
        <v>739</v>
      </c>
      <c r="Y285" s="1"/>
      <c r="Z285" s="8"/>
      <c r="AA285" s="8"/>
      <c r="AB285" s="8">
        <v>1</v>
      </c>
      <c r="AC285" s="8"/>
      <c r="AD285" s="8"/>
      <c r="AE285" s="8"/>
      <c r="AF285" s="8"/>
      <c r="AG285" s="8"/>
      <c r="AH285" s="8"/>
      <c r="AI285" s="8">
        <v>1</v>
      </c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>
        <v>1</v>
      </c>
      <c r="AU285" s="8"/>
      <c r="AV285" s="8"/>
      <c r="AW285" s="8"/>
      <c r="AX285" s="8"/>
      <c r="AY285" s="8"/>
      <c r="AZ285" s="8">
        <v>1</v>
      </c>
      <c r="BA285" s="8"/>
      <c r="BB285" s="1"/>
      <c r="BJ285">
        <v>1</v>
      </c>
      <c r="BL285" s="58"/>
      <c r="BP285" t="str">
        <f t="shared" si="9"/>
        <v>DragonGhost</v>
      </c>
      <c r="BR285" s="1" t="s">
        <v>104</v>
      </c>
    </row>
    <row r="286" spans="1:70" x14ac:dyDescent="0.25">
      <c r="A286">
        <f>A284+1</f>
        <v>258</v>
      </c>
      <c r="B286" t="s">
        <v>317</v>
      </c>
      <c r="C286" t="s">
        <v>1687</v>
      </c>
      <c r="D286" s="1" t="s">
        <v>12</v>
      </c>
      <c r="E286" s="1" t="s">
        <v>14</v>
      </c>
      <c r="F286" s="1" t="s">
        <v>50</v>
      </c>
      <c r="G286" s="1" t="s">
        <v>50</v>
      </c>
      <c r="H286" s="1" t="s">
        <v>50</v>
      </c>
      <c r="I286" s="1" t="s">
        <v>50</v>
      </c>
      <c r="J286" s="1" t="s">
        <v>50</v>
      </c>
      <c r="K286" s="1" t="s">
        <v>50</v>
      </c>
      <c r="L286" s="1"/>
      <c r="M286" s="1" t="s">
        <v>50</v>
      </c>
      <c r="N286" s="1" t="s">
        <v>50</v>
      </c>
      <c r="O286" s="1" t="s">
        <v>50</v>
      </c>
      <c r="P286" s="13" t="s">
        <v>1727</v>
      </c>
      <c r="Q286" s="1" t="s">
        <v>104</v>
      </c>
      <c r="R286" s="1" t="s">
        <v>104</v>
      </c>
      <c r="S286" s="1" t="s">
        <v>104</v>
      </c>
      <c r="T286" s="1" t="s">
        <v>104</v>
      </c>
      <c r="U286" s="1" t="s">
        <v>104</v>
      </c>
      <c r="V286" s="1" t="s">
        <v>104</v>
      </c>
      <c r="W286" s="1" t="s">
        <v>104</v>
      </c>
      <c r="X286" s="1" t="s">
        <v>739</v>
      </c>
      <c r="Y286" s="1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>
        <v>1</v>
      </c>
      <c r="AM286" s="8">
        <v>1</v>
      </c>
      <c r="AN286" s="8">
        <v>1</v>
      </c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1"/>
      <c r="BJ286">
        <v>1</v>
      </c>
      <c r="BL286" s="58"/>
      <c r="BP286" t="str">
        <f t="shared" si="9"/>
        <v>DragonGhost</v>
      </c>
      <c r="BR286">
        <v>5</v>
      </c>
    </row>
    <row r="287" spans="1:70" x14ac:dyDescent="0.25">
      <c r="A287">
        <f t="shared" ref="A287:A298" si="11">A286+1</f>
        <v>259</v>
      </c>
      <c r="B287" t="s">
        <v>355</v>
      </c>
      <c r="D287" s="1" t="s">
        <v>44</v>
      </c>
      <c r="E287" s="1" t="s">
        <v>0</v>
      </c>
      <c r="F287" s="1" t="s">
        <v>50</v>
      </c>
      <c r="G287" s="1" t="s">
        <v>50</v>
      </c>
      <c r="H287" s="1"/>
      <c r="I287" s="1" t="s">
        <v>50</v>
      </c>
      <c r="J287" s="1" t="s">
        <v>50</v>
      </c>
      <c r="K287" s="1" t="s">
        <v>50</v>
      </c>
      <c r="L287" s="1" t="s">
        <v>50</v>
      </c>
      <c r="M287" s="1" t="s">
        <v>50</v>
      </c>
      <c r="N287" s="1" t="s">
        <v>50</v>
      </c>
      <c r="O287" s="1" t="s">
        <v>50</v>
      </c>
      <c r="P287" s="1" t="s">
        <v>818</v>
      </c>
      <c r="Q287" s="1" t="s">
        <v>104</v>
      </c>
      <c r="R287" s="1" t="s">
        <v>104</v>
      </c>
      <c r="S287" s="1" t="s">
        <v>104</v>
      </c>
      <c r="T287" s="1" t="s">
        <v>104</v>
      </c>
      <c r="U287" s="1" t="s">
        <v>104</v>
      </c>
      <c r="V287" s="1" t="s">
        <v>104</v>
      </c>
      <c r="W287" s="1" t="s">
        <v>104</v>
      </c>
      <c r="X287" s="1" t="s">
        <v>731</v>
      </c>
      <c r="Y287" s="1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>
        <v>1</v>
      </c>
      <c r="AL287" s="8">
        <v>1</v>
      </c>
      <c r="AM287" s="8">
        <v>1</v>
      </c>
      <c r="AN287" s="8">
        <v>1</v>
      </c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1"/>
      <c r="BL287" s="58"/>
      <c r="BP287" t="str">
        <f t="shared" si="9"/>
        <v>LightDark</v>
      </c>
      <c r="BQ287" t="s">
        <v>2</v>
      </c>
      <c r="BR287">
        <v>2</v>
      </c>
    </row>
    <row r="288" spans="1:70" x14ac:dyDescent="0.25">
      <c r="A288">
        <f t="shared" si="11"/>
        <v>260</v>
      </c>
      <c r="B288" t="s">
        <v>356</v>
      </c>
      <c r="D288" s="1" t="s">
        <v>44</v>
      </c>
      <c r="E288" s="1" t="s">
        <v>0</v>
      </c>
      <c r="F288" s="1" t="s">
        <v>50</v>
      </c>
      <c r="G288" s="1" t="s">
        <v>50</v>
      </c>
      <c r="H288" s="1" t="s">
        <v>50</v>
      </c>
      <c r="I288" s="1" t="s">
        <v>50</v>
      </c>
      <c r="J288" s="1" t="s">
        <v>50</v>
      </c>
      <c r="K288" s="1" t="s">
        <v>50</v>
      </c>
      <c r="L288" s="1"/>
      <c r="M288" s="1" t="s">
        <v>104</v>
      </c>
      <c r="N288" s="1" t="s">
        <v>50</v>
      </c>
      <c r="O288" s="1" t="s">
        <v>50</v>
      </c>
      <c r="P288" s="1" t="s">
        <v>818</v>
      </c>
      <c r="Q288" s="1" t="s">
        <v>104</v>
      </c>
      <c r="R288" s="1" t="s">
        <v>104</v>
      </c>
      <c r="S288" s="1" t="s">
        <v>104</v>
      </c>
      <c r="T288" s="1" t="s">
        <v>104</v>
      </c>
      <c r="U288" s="1" t="s">
        <v>104</v>
      </c>
      <c r="V288" s="1" t="s">
        <v>104</v>
      </c>
      <c r="W288" s="1" t="s">
        <v>104</v>
      </c>
      <c r="X288" s="1" t="s">
        <v>731</v>
      </c>
      <c r="Y288" s="1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>
        <v>1</v>
      </c>
      <c r="AL288" s="8">
        <v>1</v>
      </c>
      <c r="AM288" s="8">
        <v>1</v>
      </c>
      <c r="AN288" s="8">
        <v>1</v>
      </c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1"/>
      <c r="BJ288">
        <v>2</v>
      </c>
      <c r="BL288" s="58"/>
      <c r="BP288" t="str">
        <f t="shared" si="9"/>
        <v>LightDark</v>
      </c>
      <c r="BR288">
        <v>2</v>
      </c>
    </row>
    <row r="289" spans="1:70" x14ac:dyDescent="0.25">
      <c r="A289">
        <f t="shared" si="11"/>
        <v>261</v>
      </c>
      <c r="B289" t="s">
        <v>366</v>
      </c>
      <c r="D289" s="1" t="s">
        <v>41</v>
      </c>
      <c r="E289" s="1" t="s">
        <v>12</v>
      </c>
      <c r="F289" s="1" t="s">
        <v>50</v>
      </c>
      <c r="G289" s="1" t="s">
        <v>50</v>
      </c>
      <c r="H289" s="1"/>
      <c r="I289" s="1" t="s">
        <v>50</v>
      </c>
      <c r="J289" s="1" t="s">
        <v>50</v>
      </c>
      <c r="K289" s="1" t="s">
        <v>50</v>
      </c>
      <c r="L289" s="1" t="s">
        <v>50</v>
      </c>
      <c r="M289" s="1" t="s">
        <v>50</v>
      </c>
      <c r="N289" s="1" t="s">
        <v>50</v>
      </c>
      <c r="O289" s="1" t="s">
        <v>50</v>
      </c>
      <c r="P289" s="1" t="s">
        <v>810</v>
      </c>
      <c r="Q289" s="1" t="s">
        <v>104</v>
      </c>
      <c r="R289" s="1" t="s">
        <v>104</v>
      </c>
      <c r="S289" s="1" t="s">
        <v>104</v>
      </c>
      <c r="T289" s="1" t="s">
        <v>104</v>
      </c>
      <c r="U289" s="1" t="s">
        <v>104</v>
      </c>
      <c r="V289" s="1" t="s">
        <v>104</v>
      </c>
      <c r="W289" s="1" t="s">
        <v>104</v>
      </c>
      <c r="X289" s="1" t="s">
        <v>727</v>
      </c>
      <c r="Y289" s="1"/>
      <c r="Z289" s="8"/>
      <c r="AA289" s="8"/>
      <c r="AB289" s="8"/>
      <c r="AC289" s="8">
        <v>1</v>
      </c>
      <c r="AD289" s="8">
        <v>1</v>
      </c>
      <c r="AE289" s="8"/>
      <c r="AF289" s="8">
        <v>1</v>
      </c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>
        <v>1</v>
      </c>
      <c r="AR289" s="8">
        <v>1</v>
      </c>
      <c r="AS289" s="8">
        <v>1</v>
      </c>
      <c r="AT289" s="8"/>
      <c r="AU289" s="8"/>
      <c r="AV289" s="8"/>
      <c r="AW289" s="8">
        <v>1</v>
      </c>
      <c r="AX289" s="8">
        <v>1</v>
      </c>
      <c r="AY289" s="8"/>
      <c r="AZ289" s="8"/>
      <c r="BA289" s="8"/>
      <c r="BB289" s="1"/>
      <c r="BL289" s="58"/>
      <c r="BP289" t="str">
        <f t="shared" si="9"/>
        <v>SoundDragon</v>
      </c>
      <c r="BQ289" t="s">
        <v>2</v>
      </c>
      <c r="BR289">
        <v>6</v>
      </c>
    </row>
    <row r="290" spans="1:70" x14ac:dyDescent="0.25">
      <c r="A290">
        <f t="shared" si="11"/>
        <v>262</v>
      </c>
      <c r="B290" t="s">
        <v>367</v>
      </c>
      <c r="D290" s="1" t="s">
        <v>41</v>
      </c>
      <c r="E290" s="1" t="s">
        <v>12</v>
      </c>
      <c r="F290" s="1" t="s">
        <v>50</v>
      </c>
      <c r="G290" s="1" t="s">
        <v>50</v>
      </c>
      <c r="H290" s="1" t="s">
        <v>50</v>
      </c>
      <c r="I290" s="1" t="s">
        <v>50</v>
      </c>
      <c r="J290" s="1" t="s">
        <v>50</v>
      </c>
      <c r="K290" s="1" t="s">
        <v>50</v>
      </c>
      <c r="L290" s="1" t="s">
        <v>50</v>
      </c>
      <c r="M290" s="1" t="s">
        <v>104</v>
      </c>
      <c r="N290" s="1" t="s">
        <v>50</v>
      </c>
      <c r="O290" s="1" t="s">
        <v>50</v>
      </c>
      <c r="P290" s="1" t="s">
        <v>810</v>
      </c>
      <c r="Q290" s="1" t="s">
        <v>104</v>
      </c>
      <c r="R290" s="1" t="s">
        <v>104</v>
      </c>
      <c r="S290" s="1" t="s">
        <v>104</v>
      </c>
      <c r="T290" s="1" t="s">
        <v>104</v>
      </c>
      <c r="U290" s="1" t="s">
        <v>104</v>
      </c>
      <c r="V290" s="1" t="s">
        <v>104</v>
      </c>
      <c r="W290" s="1" t="s">
        <v>104</v>
      </c>
      <c r="X290" s="1" t="s">
        <v>727</v>
      </c>
      <c r="Y290" s="1"/>
      <c r="Z290" s="8"/>
      <c r="AA290" s="8"/>
      <c r="AB290" s="8"/>
      <c r="AC290" s="8">
        <v>1</v>
      </c>
      <c r="AD290" s="8">
        <v>1</v>
      </c>
      <c r="AE290" s="8"/>
      <c r="AF290" s="8">
        <v>1</v>
      </c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>
        <v>1</v>
      </c>
      <c r="AR290" s="8">
        <v>1</v>
      </c>
      <c r="AS290" s="8">
        <v>1</v>
      </c>
      <c r="AT290" s="8"/>
      <c r="AU290" s="8"/>
      <c r="AV290" s="8"/>
      <c r="AW290" s="8">
        <v>1</v>
      </c>
      <c r="AX290" s="8">
        <v>1</v>
      </c>
      <c r="AY290" s="8"/>
      <c r="AZ290" s="8"/>
      <c r="BA290" s="8"/>
      <c r="BB290" s="1"/>
      <c r="BJ290">
        <v>7</v>
      </c>
      <c r="BK290">
        <v>10</v>
      </c>
      <c r="BL290" s="58">
        <v>1</v>
      </c>
      <c r="BP290" t="str">
        <f t="shared" si="9"/>
        <v>SoundDragon</v>
      </c>
      <c r="BR290">
        <v>6</v>
      </c>
    </row>
    <row r="291" spans="1:70" x14ac:dyDescent="0.25">
      <c r="A291">
        <f t="shared" si="11"/>
        <v>263</v>
      </c>
      <c r="B291" t="s">
        <v>298</v>
      </c>
      <c r="D291" s="1" t="s">
        <v>17</v>
      </c>
      <c r="E291" s="1" t="s">
        <v>14</v>
      </c>
      <c r="F291" s="1" t="s">
        <v>50</v>
      </c>
      <c r="G291" s="1" t="s">
        <v>50</v>
      </c>
      <c r="H291" s="1"/>
      <c r="I291" s="1" t="s">
        <v>50</v>
      </c>
      <c r="J291" s="1" t="s">
        <v>50</v>
      </c>
      <c r="K291" s="1" t="s">
        <v>50</v>
      </c>
      <c r="L291" s="1" t="s">
        <v>50</v>
      </c>
      <c r="M291" s="1" t="s">
        <v>50</v>
      </c>
      <c r="N291" s="1" t="s">
        <v>50</v>
      </c>
      <c r="O291" s="1" t="s">
        <v>50</v>
      </c>
      <c r="P291" s="1" t="s">
        <v>810</v>
      </c>
      <c r="Q291" s="1" t="s">
        <v>104</v>
      </c>
      <c r="R291" s="1" t="s">
        <v>104</v>
      </c>
      <c r="S291" s="1" t="s">
        <v>104</v>
      </c>
      <c r="T291" s="1" t="s">
        <v>104</v>
      </c>
      <c r="U291" s="1" t="s">
        <v>104</v>
      </c>
      <c r="V291" s="1" t="s">
        <v>104</v>
      </c>
      <c r="W291" s="1" t="s">
        <v>104</v>
      </c>
      <c r="X291" s="1" t="s">
        <v>727</v>
      </c>
      <c r="Y291" s="1"/>
      <c r="Z291" s="8"/>
      <c r="AA291" s="8"/>
      <c r="AB291" s="8">
        <v>1</v>
      </c>
      <c r="AC291" s="8">
        <v>1</v>
      </c>
      <c r="AD291" s="8"/>
      <c r="AE291" s="8"/>
      <c r="AF291" s="8"/>
      <c r="AG291" s="8"/>
      <c r="AH291" s="8">
        <v>1</v>
      </c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>
        <v>1</v>
      </c>
      <c r="AX291" s="8"/>
      <c r="AY291" s="8"/>
      <c r="AZ291" s="8">
        <v>1</v>
      </c>
      <c r="BA291" s="8"/>
      <c r="BL291" s="58"/>
      <c r="BP291" t="str">
        <f t="shared" si="9"/>
        <v>BugGhost</v>
      </c>
      <c r="BQ291" t="s">
        <v>2</v>
      </c>
      <c r="BR291">
        <v>1</v>
      </c>
    </row>
    <row r="292" spans="1:70" x14ac:dyDescent="0.25">
      <c r="A292">
        <f t="shared" si="11"/>
        <v>264</v>
      </c>
      <c r="B292" t="s">
        <v>299</v>
      </c>
      <c r="D292" s="1" t="s">
        <v>17</v>
      </c>
      <c r="E292" s="1" t="s">
        <v>14</v>
      </c>
      <c r="F292" s="1" t="s">
        <v>50</v>
      </c>
      <c r="G292" s="1" t="s">
        <v>50</v>
      </c>
      <c r="H292" s="1" t="s">
        <v>50</v>
      </c>
      <c r="I292" s="1" t="s">
        <v>50</v>
      </c>
      <c r="J292" s="1" t="s">
        <v>50</v>
      </c>
      <c r="K292" s="1" t="s">
        <v>50</v>
      </c>
      <c r="L292" s="1"/>
      <c r="M292" s="1" t="s">
        <v>104</v>
      </c>
      <c r="N292" s="1" t="s">
        <v>50</v>
      </c>
      <c r="O292" s="1" t="s">
        <v>50</v>
      </c>
      <c r="P292" s="1" t="s">
        <v>810</v>
      </c>
      <c r="Q292" s="1" t="s">
        <v>104</v>
      </c>
      <c r="R292" s="1" t="s">
        <v>104</v>
      </c>
      <c r="S292" s="1" t="s">
        <v>104</v>
      </c>
      <c r="T292" s="1" t="s">
        <v>104</v>
      </c>
      <c r="U292" s="1" t="s">
        <v>104</v>
      </c>
      <c r="V292" s="1" t="s">
        <v>104</v>
      </c>
      <c r="W292" s="1" t="s">
        <v>104</v>
      </c>
      <c r="X292" s="1" t="s">
        <v>727</v>
      </c>
      <c r="Y292" s="1"/>
      <c r="Z292" s="8"/>
      <c r="AA292" s="8"/>
      <c r="AB292" s="8">
        <v>1</v>
      </c>
      <c r="AC292" s="8">
        <v>1</v>
      </c>
      <c r="AD292" s="8"/>
      <c r="AE292" s="8"/>
      <c r="AF292" s="8"/>
      <c r="AG292" s="8"/>
      <c r="AH292" s="8">
        <v>1</v>
      </c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>
        <v>1</v>
      </c>
      <c r="AX292" s="8"/>
      <c r="AY292" s="8"/>
      <c r="AZ292" s="8">
        <v>1</v>
      </c>
      <c r="BA292" s="8"/>
      <c r="BJ292">
        <v>1</v>
      </c>
      <c r="BK292">
        <v>6</v>
      </c>
      <c r="BL292" s="58"/>
      <c r="BP292" t="str">
        <f t="shared" si="9"/>
        <v>BugGhost</v>
      </c>
      <c r="BR292">
        <v>1</v>
      </c>
    </row>
    <row r="293" spans="1:70" x14ac:dyDescent="0.25">
      <c r="A293">
        <f t="shared" si="11"/>
        <v>265</v>
      </c>
      <c r="B293" t="s">
        <v>422</v>
      </c>
      <c r="D293" s="1" t="s">
        <v>8</v>
      </c>
      <c r="E293" s="1" t="s">
        <v>7</v>
      </c>
      <c r="F293" s="1" t="s">
        <v>50</v>
      </c>
      <c r="G293" s="1" t="s">
        <v>50</v>
      </c>
      <c r="H293" s="1"/>
      <c r="I293" s="1" t="s">
        <v>50</v>
      </c>
      <c r="J293" s="1" t="s">
        <v>50</v>
      </c>
      <c r="K293" s="1" t="s">
        <v>50</v>
      </c>
      <c r="L293" s="1" t="s">
        <v>1767</v>
      </c>
      <c r="M293" s="1" t="s">
        <v>50</v>
      </c>
      <c r="N293" s="1" t="s">
        <v>50</v>
      </c>
      <c r="O293" s="1" t="s">
        <v>50</v>
      </c>
      <c r="P293" s="1" t="s">
        <v>1793</v>
      </c>
      <c r="Q293" s="1" t="s">
        <v>104</v>
      </c>
      <c r="R293" s="1" t="s">
        <v>104</v>
      </c>
      <c r="S293" s="1" t="s">
        <v>104</v>
      </c>
      <c r="T293" s="1" t="s">
        <v>104</v>
      </c>
      <c r="U293" s="1" t="s">
        <v>104</v>
      </c>
      <c r="V293" s="1" t="s">
        <v>104</v>
      </c>
      <c r="W293" s="1" t="s">
        <v>104</v>
      </c>
      <c r="X293" s="1" t="s">
        <v>2121</v>
      </c>
      <c r="Y293" s="1"/>
      <c r="Z293" s="8"/>
      <c r="AA293" s="8"/>
      <c r="AB293" s="8">
        <v>1</v>
      </c>
      <c r="AC293" s="8">
        <v>1</v>
      </c>
      <c r="AD293" s="8">
        <v>1</v>
      </c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>
        <v>1</v>
      </c>
      <c r="AZ293" s="8">
        <v>1</v>
      </c>
      <c r="BA293" s="8"/>
      <c r="BB293" s="1"/>
      <c r="BL293" s="58"/>
      <c r="BP293" t="str">
        <f t="shared" si="9"/>
        <v>GroundFairy</v>
      </c>
      <c r="BQ293" t="s">
        <v>2</v>
      </c>
      <c r="BR293">
        <v>8</v>
      </c>
    </row>
    <row r="294" spans="1:70" x14ac:dyDescent="0.25">
      <c r="A294">
        <f t="shared" si="11"/>
        <v>266</v>
      </c>
      <c r="B294" t="s">
        <v>275</v>
      </c>
      <c r="D294" s="1" t="s">
        <v>8</v>
      </c>
      <c r="E294" s="1" t="s">
        <v>7</v>
      </c>
      <c r="F294" s="1" t="s">
        <v>50</v>
      </c>
      <c r="G294" s="1" t="s">
        <v>50</v>
      </c>
      <c r="H294" s="1"/>
      <c r="I294" s="1" t="s">
        <v>50</v>
      </c>
      <c r="J294" s="1" t="s">
        <v>50</v>
      </c>
      <c r="K294" s="1" t="s">
        <v>50</v>
      </c>
      <c r="L294" s="1"/>
      <c r="M294" s="1" t="s">
        <v>104</v>
      </c>
      <c r="N294" s="1" t="s">
        <v>50</v>
      </c>
      <c r="O294" s="1" t="s">
        <v>50</v>
      </c>
      <c r="P294" s="1" t="s">
        <v>1793</v>
      </c>
      <c r="Q294" s="1" t="s">
        <v>104</v>
      </c>
      <c r="R294" s="1" t="s">
        <v>104</v>
      </c>
      <c r="S294" s="1" t="s">
        <v>104</v>
      </c>
      <c r="T294" s="1" t="s">
        <v>104</v>
      </c>
      <c r="U294" s="1" t="s">
        <v>104</v>
      </c>
      <c r="V294" s="1" t="s">
        <v>104</v>
      </c>
      <c r="W294" s="1" t="s">
        <v>104</v>
      </c>
      <c r="X294" s="1" t="s">
        <v>2121</v>
      </c>
      <c r="Y294" s="1"/>
      <c r="Z294" s="8"/>
      <c r="AA294" s="8"/>
      <c r="AB294" s="8">
        <v>1</v>
      </c>
      <c r="AC294" s="8">
        <v>1</v>
      </c>
      <c r="AD294" s="8">
        <v>1</v>
      </c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>
        <v>1</v>
      </c>
      <c r="AZ294" s="8">
        <v>1</v>
      </c>
      <c r="BA294" s="8"/>
      <c r="BB294" s="1"/>
      <c r="BL294" s="58"/>
      <c r="BP294" t="str">
        <f t="shared" si="9"/>
        <v>GroundFairy</v>
      </c>
      <c r="BQ294" t="s">
        <v>2</v>
      </c>
      <c r="BR294">
        <v>8</v>
      </c>
    </row>
    <row r="295" spans="1:70" x14ac:dyDescent="0.25">
      <c r="A295">
        <f t="shared" si="11"/>
        <v>267</v>
      </c>
      <c r="B295" t="s">
        <v>276</v>
      </c>
      <c r="D295" s="1" t="s">
        <v>8</v>
      </c>
      <c r="E295" s="1" t="s">
        <v>7</v>
      </c>
      <c r="F295" s="1" t="s">
        <v>50</v>
      </c>
      <c r="G295" s="1" t="s">
        <v>50</v>
      </c>
      <c r="H295" s="1" t="s">
        <v>50</v>
      </c>
      <c r="I295" s="1" t="s">
        <v>50</v>
      </c>
      <c r="J295" s="1" t="s">
        <v>50</v>
      </c>
      <c r="K295" s="1" t="s">
        <v>50</v>
      </c>
      <c r="L295" s="1"/>
      <c r="M295" s="1" t="s">
        <v>104</v>
      </c>
      <c r="N295" s="1" t="s">
        <v>50</v>
      </c>
      <c r="O295" s="1" t="s">
        <v>50</v>
      </c>
      <c r="P295" s="1" t="s">
        <v>1793</v>
      </c>
      <c r="Q295" s="1" t="s">
        <v>104</v>
      </c>
      <c r="R295" s="1" t="s">
        <v>104</v>
      </c>
      <c r="S295" s="1" t="s">
        <v>104</v>
      </c>
      <c r="T295" s="1" t="s">
        <v>104</v>
      </c>
      <c r="U295" s="1" t="s">
        <v>104</v>
      </c>
      <c r="V295" s="1" t="s">
        <v>104</v>
      </c>
      <c r="W295" s="1" t="s">
        <v>104</v>
      </c>
      <c r="X295" s="1" t="s">
        <v>2121</v>
      </c>
      <c r="Y295" s="1"/>
      <c r="Z295" s="8"/>
      <c r="AA295" s="8"/>
      <c r="AB295" s="8">
        <v>1</v>
      </c>
      <c r="AC295" s="8">
        <v>1</v>
      </c>
      <c r="AD295" s="8">
        <v>1</v>
      </c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>
        <v>1</v>
      </c>
      <c r="AZ295" s="8">
        <v>1</v>
      </c>
      <c r="BA295" s="8"/>
      <c r="BB295" s="1"/>
      <c r="BJ295">
        <v>3</v>
      </c>
      <c r="BK295">
        <v>1</v>
      </c>
      <c r="BL295" s="58"/>
      <c r="BP295" t="str">
        <f t="shared" si="9"/>
        <v>GroundFairy</v>
      </c>
      <c r="BR295">
        <v>8</v>
      </c>
    </row>
    <row r="296" spans="1:70" x14ac:dyDescent="0.25">
      <c r="A296">
        <f t="shared" si="11"/>
        <v>268</v>
      </c>
      <c r="B296" t="s">
        <v>420</v>
      </c>
      <c r="D296" s="1" t="s">
        <v>4</v>
      </c>
      <c r="E296" s="1" t="s">
        <v>7</v>
      </c>
      <c r="F296" s="1" t="s">
        <v>50</v>
      </c>
      <c r="G296" s="1" t="s">
        <v>50</v>
      </c>
      <c r="H296" s="1"/>
      <c r="I296" s="1" t="s">
        <v>50</v>
      </c>
      <c r="J296" s="1" t="s">
        <v>50</v>
      </c>
      <c r="K296" s="1" t="s">
        <v>50</v>
      </c>
      <c r="L296" s="1"/>
      <c r="M296" s="1" t="s">
        <v>50</v>
      </c>
      <c r="N296" s="1" t="s">
        <v>50</v>
      </c>
      <c r="O296" s="1" t="s">
        <v>50</v>
      </c>
      <c r="P296" s="1" t="s">
        <v>104</v>
      </c>
      <c r="Q296" s="1" t="s">
        <v>104</v>
      </c>
      <c r="R296" s="1" t="s">
        <v>104</v>
      </c>
      <c r="S296" s="1" t="s">
        <v>104</v>
      </c>
      <c r="T296" s="1" t="s">
        <v>104</v>
      </c>
      <c r="U296" s="1" t="s">
        <v>104</v>
      </c>
      <c r="V296" s="1" t="s">
        <v>104</v>
      </c>
      <c r="W296" s="1" t="s">
        <v>104</v>
      </c>
      <c r="X296" s="1" t="s">
        <v>733</v>
      </c>
      <c r="Y296" s="1"/>
      <c r="Z296" s="8">
        <v>1</v>
      </c>
      <c r="AA296" s="8">
        <v>1</v>
      </c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>
        <v>1</v>
      </c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1"/>
      <c r="BL296" s="58"/>
      <c r="BP296" t="str">
        <f t="shared" si="9"/>
        <v>PsychicFairy</v>
      </c>
      <c r="BQ296" t="s">
        <v>2</v>
      </c>
      <c r="BR296">
        <v>5</v>
      </c>
    </row>
    <row r="297" spans="1:70" x14ac:dyDescent="0.25">
      <c r="A297">
        <f t="shared" si="11"/>
        <v>269</v>
      </c>
      <c r="B297" t="s">
        <v>269</v>
      </c>
      <c r="D297" s="1" t="s">
        <v>4</v>
      </c>
      <c r="E297" s="1" t="s">
        <v>7</v>
      </c>
      <c r="F297" s="1" t="s">
        <v>50</v>
      </c>
      <c r="G297" s="1" t="s">
        <v>50</v>
      </c>
      <c r="H297" s="1"/>
      <c r="I297" s="1" t="s">
        <v>50</v>
      </c>
      <c r="J297" s="1" t="s">
        <v>50</v>
      </c>
      <c r="K297" s="1" t="s">
        <v>50</v>
      </c>
      <c r="L297" s="1"/>
      <c r="M297" s="1" t="s">
        <v>104</v>
      </c>
      <c r="N297" s="1" t="s">
        <v>50</v>
      </c>
      <c r="O297" s="1" t="s">
        <v>50</v>
      </c>
      <c r="P297" s="1" t="s">
        <v>104</v>
      </c>
      <c r="Q297" s="1" t="s">
        <v>104</v>
      </c>
      <c r="R297" s="1" t="s">
        <v>104</v>
      </c>
      <c r="S297" s="1" t="s">
        <v>104</v>
      </c>
      <c r="T297" s="1" t="s">
        <v>104</v>
      </c>
      <c r="U297" s="1" t="s">
        <v>104</v>
      </c>
      <c r="V297" s="1" t="s">
        <v>104</v>
      </c>
      <c r="W297" s="1" t="s">
        <v>104</v>
      </c>
      <c r="X297" s="1" t="s">
        <v>733</v>
      </c>
      <c r="Y297" s="1"/>
      <c r="Z297" s="8">
        <v>1</v>
      </c>
      <c r="AA297" s="8">
        <v>1</v>
      </c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>
        <v>1</v>
      </c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1"/>
      <c r="BL297" s="58"/>
      <c r="BP297" t="str">
        <f t="shared" si="9"/>
        <v>PsychicFairy</v>
      </c>
      <c r="BQ297" t="s">
        <v>2</v>
      </c>
      <c r="BR297">
        <v>5</v>
      </c>
    </row>
    <row r="298" spans="1:70" x14ac:dyDescent="0.25">
      <c r="A298">
        <f t="shared" si="11"/>
        <v>270</v>
      </c>
      <c r="B298" t="s">
        <v>270</v>
      </c>
      <c r="C298" t="s">
        <v>110</v>
      </c>
      <c r="D298" s="1" t="s">
        <v>4</v>
      </c>
      <c r="E298" s="1" t="s">
        <v>7</v>
      </c>
      <c r="F298" s="1" t="s">
        <v>50</v>
      </c>
      <c r="G298" s="1" t="s">
        <v>50</v>
      </c>
      <c r="H298" s="1" t="s">
        <v>50</v>
      </c>
      <c r="I298" s="1" t="s">
        <v>50</v>
      </c>
      <c r="J298" s="1" t="s">
        <v>50</v>
      </c>
      <c r="K298" s="1" t="s">
        <v>50</v>
      </c>
      <c r="L298" s="1"/>
      <c r="M298" s="1" t="s">
        <v>104</v>
      </c>
      <c r="N298" s="1" t="s">
        <v>50</v>
      </c>
      <c r="O298" s="1" t="s">
        <v>50</v>
      </c>
      <c r="P298" s="1" t="s">
        <v>104</v>
      </c>
      <c r="Q298" s="1" t="s">
        <v>104</v>
      </c>
      <c r="R298" s="1" t="s">
        <v>104</v>
      </c>
      <c r="S298" s="1" t="s">
        <v>104</v>
      </c>
      <c r="T298" s="1" t="s">
        <v>104</v>
      </c>
      <c r="U298" s="1" t="s">
        <v>104</v>
      </c>
      <c r="V298" s="1" t="s">
        <v>104</v>
      </c>
      <c r="W298" s="1" t="s">
        <v>104</v>
      </c>
      <c r="X298" s="1" t="s">
        <v>733</v>
      </c>
      <c r="Y298" s="1"/>
      <c r="Z298" s="8">
        <v>1</v>
      </c>
      <c r="AA298" s="8">
        <v>1</v>
      </c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>
        <v>1</v>
      </c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1"/>
      <c r="BJ298">
        <v>5</v>
      </c>
      <c r="BK298">
        <v>1</v>
      </c>
      <c r="BL298" s="58"/>
      <c r="BP298" t="str">
        <f t="shared" si="9"/>
        <v>PsychicFairy</v>
      </c>
      <c r="BR298" s="1" t="s">
        <v>104</v>
      </c>
    </row>
    <row r="299" spans="1:70" x14ac:dyDescent="0.25">
      <c r="A299" s="1" t="s">
        <v>50</v>
      </c>
      <c r="B299" t="s">
        <v>270</v>
      </c>
      <c r="C299" t="s">
        <v>800</v>
      </c>
      <c r="D299" s="1" t="s">
        <v>4</v>
      </c>
      <c r="E299" s="1" t="s">
        <v>7</v>
      </c>
      <c r="F299" s="1" t="s">
        <v>50</v>
      </c>
      <c r="G299" s="1" t="s">
        <v>50</v>
      </c>
      <c r="H299" s="1" t="s">
        <v>50</v>
      </c>
      <c r="I299" s="1" t="s">
        <v>50</v>
      </c>
      <c r="J299" s="1" t="s">
        <v>50</v>
      </c>
      <c r="K299" s="1" t="s">
        <v>50</v>
      </c>
      <c r="L299" s="1"/>
      <c r="M299" s="1" t="s">
        <v>104</v>
      </c>
      <c r="N299" s="1" t="s">
        <v>50</v>
      </c>
      <c r="O299" s="1" t="s">
        <v>50</v>
      </c>
      <c r="P299" s="1" t="s">
        <v>104</v>
      </c>
      <c r="Q299" s="1" t="s">
        <v>104</v>
      </c>
      <c r="R299" s="1" t="s">
        <v>104</v>
      </c>
      <c r="S299" s="1" t="s">
        <v>104</v>
      </c>
      <c r="T299" s="1" t="s">
        <v>104</v>
      </c>
      <c r="U299" s="1" t="s">
        <v>104</v>
      </c>
      <c r="V299" s="1" t="s">
        <v>104</v>
      </c>
      <c r="W299" s="1" t="s">
        <v>104</v>
      </c>
      <c r="X299" s="1" t="s">
        <v>733</v>
      </c>
      <c r="Y299" s="1"/>
      <c r="Z299" s="8">
        <v>1</v>
      </c>
      <c r="AA299" s="8">
        <v>1</v>
      </c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>
        <v>1</v>
      </c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1"/>
      <c r="BJ299">
        <f>BJ298</f>
        <v>5</v>
      </c>
      <c r="BK299">
        <v>1</v>
      </c>
      <c r="BL299" s="58"/>
      <c r="BP299" t="str">
        <f t="shared" si="9"/>
        <v>PsychicFairy</v>
      </c>
      <c r="BR299" s="1" t="s">
        <v>104</v>
      </c>
    </row>
    <row r="300" spans="1:70" x14ac:dyDescent="0.25">
      <c r="A300">
        <f>A298+1</f>
        <v>271</v>
      </c>
      <c r="B300" t="s">
        <v>428</v>
      </c>
      <c r="D300" s="1" t="s">
        <v>13</v>
      </c>
      <c r="E300" s="1" t="s">
        <v>11</v>
      </c>
      <c r="F300" s="1" t="s">
        <v>50</v>
      </c>
      <c r="G300" s="1" t="s">
        <v>50</v>
      </c>
      <c r="H300" s="1"/>
      <c r="I300" s="1" t="s">
        <v>50</v>
      </c>
      <c r="J300" s="1" t="s">
        <v>50</v>
      </c>
      <c r="K300" s="1" t="s">
        <v>50</v>
      </c>
      <c r="L300" s="1"/>
      <c r="M300" s="1" t="s">
        <v>50</v>
      </c>
      <c r="N300" s="1" t="s">
        <v>50</v>
      </c>
      <c r="O300" s="1" t="s">
        <v>50</v>
      </c>
      <c r="P300" s="13" t="s">
        <v>812</v>
      </c>
      <c r="Q300" s="1" t="s">
        <v>104</v>
      </c>
      <c r="R300" s="1" t="s">
        <v>104</v>
      </c>
      <c r="S300" s="1" t="s">
        <v>104</v>
      </c>
      <c r="T300" s="1" t="s">
        <v>104</v>
      </c>
      <c r="U300" s="1" t="s">
        <v>104</v>
      </c>
      <c r="V300" s="1" t="s">
        <v>104</v>
      </c>
      <c r="W300" s="1" t="s">
        <v>104</v>
      </c>
      <c r="X300" s="1" t="s">
        <v>727</v>
      </c>
      <c r="Y300" s="1"/>
      <c r="Z300" s="8"/>
      <c r="AA300" s="8">
        <v>1</v>
      </c>
      <c r="AB300" s="8">
        <v>1</v>
      </c>
      <c r="AC300" s="8">
        <v>1</v>
      </c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>
        <v>1</v>
      </c>
      <c r="BA300" s="8"/>
      <c r="BL300" s="58"/>
      <c r="BP300" t="str">
        <f t="shared" si="9"/>
        <v>FireGrass</v>
      </c>
      <c r="BQ300" t="s">
        <v>2</v>
      </c>
      <c r="BR300">
        <v>3</v>
      </c>
    </row>
    <row r="301" spans="1:70" x14ac:dyDescent="0.25">
      <c r="A301">
        <f t="shared" ref="A301:A344" si="12">A300+1</f>
        <v>272</v>
      </c>
      <c r="B301" t="s">
        <v>296</v>
      </c>
      <c r="D301" s="1" t="s">
        <v>13</v>
      </c>
      <c r="E301" s="1" t="s">
        <v>11</v>
      </c>
      <c r="F301" s="1" t="s">
        <v>50</v>
      </c>
      <c r="G301" s="1" t="s">
        <v>50</v>
      </c>
      <c r="H301" s="1"/>
      <c r="I301" s="1" t="s">
        <v>50</v>
      </c>
      <c r="J301" s="1" t="s">
        <v>50</v>
      </c>
      <c r="K301" s="1" t="s">
        <v>50</v>
      </c>
      <c r="L301" s="1" t="s">
        <v>50</v>
      </c>
      <c r="M301" s="1" t="s">
        <v>104</v>
      </c>
      <c r="N301" s="1" t="s">
        <v>50</v>
      </c>
      <c r="O301" s="1" t="s">
        <v>50</v>
      </c>
      <c r="P301" s="13" t="s">
        <v>812</v>
      </c>
      <c r="Q301" s="1" t="s">
        <v>104</v>
      </c>
      <c r="R301" s="1" t="s">
        <v>104</v>
      </c>
      <c r="S301" s="1" t="s">
        <v>104</v>
      </c>
      <c r="T301" s="1" t="s">
        <v>104</v>
      </c>
      <c r="U301" s="1" t="s">
        <v>104</v>
      </c>
      <c r="V301" s="1" t="s">
        <v>104</v>
      </c>
      <c r="W301" s="1" t="s">
        <v>104</v>
      </c>
      <c r="X301" s="1" t="s">
        <v>727</v>
      </c>
      <c r="Y301" s="1"/>
      <c r="Z301" s="8"/>
      <c r="AA301" s="8">
        <v>1</v>
      </c>
      <c r="AB301" s="8">
        <v>1</v>
      </c>
      <c r="AC301" s="8">
        <v>1</v>
      </c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>
        <v>1</v>
      </c>
      <c r="BA301" s="8"/>
      <c r="BL301" s="58"/>
      <c r="BP301" t="str">
        <f t="shared" si="9"/>
        <v>FireGrass</v>
      </c>
      <c r="BQ301" t="s">
        <v>2</v>
      </c>
      <c r="BR301">
        <v>3</v>
      </c>
    </row>
    <row r="302" spans="1:70" x14ac:dyDescent="0.25">
      <c r="A302">
        <f t="shared" si="12"/>
        <v>273</v>
      </c>
      <c r="B302" t="s">
        <v>297</v>
      </c>
      <c r="D302" s="1" t="s">
        <v>13</v>
      </c>
      <c r="E302" s="1" t="s">
        <v>11</v>
      </c>
      <c r="F302" s="1" t="s">
        <v>50</v>
      </c>
      <c r="G302" s="1" t="s">
        <v>50</v>
      </c>
      <c r="H302" s="1" t="s">
        <v>50</v>
      </c>
      <c r="I302" s="1" t="s">
        <v>50</v>
      </c>
      <c r="J302" s="1" t="s">
        <v>50</v>
      </c>
      <c r="K302" s="1" t="s">
        <v>50</v>
      </c>
      <c r="L302" s="1"/>
      <c r="M302" s="1" t="s">
        <v>104</v>
      </c>
      <c r="N302" s="1" t="s">
        <v>50</v>
      </c>
      <c r="O302" s="1" t="s">
        <v>50</v>
      </c>
      <c r="P302" s="13" t="s">
        <v>812</v>
      </c>
      <c r="Q302" s="1" t="s">
        <v>104</v>
      </c>
      <c r="R302" s="1" t="s">
        <v>104</v>
      </c>
      <c r="S302" s="1" t="s">
        <v>104</v>
      </c>
      <c r="T302" s="1" t="s">
        <v>104</v>
      </c>
      <c r="U302" s="1" t="s">
        <v>104</v>
      </c>
      <c r="V302" s="1" t="s">
        <v>104</v>
      </c>
      <c r="W302" s="1" t="s">
        <v>104</v>
      </c>
      <c r="X302" s="1" t="s">
        <v>748</v>
      </c>
      <c r="Y302" s="1"/>
      <c r="Z302" s="8"/>
      <c r="AA302" s="8">
        <v>1</v>
      </c>
      <c r="AB302" s="8">
        <v>1</v>
      </c>
      <c r="AC302" s="8">
        <v>1</v>
      </c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>
        <v>1</v>
      </c>
      <c r="BA302" s="8"/>
      <c r="BJ302">
        <v>5</v>
      </c>
      <c r="BK302">
        <v>4</v>
      </c>
      <c r="BL302" s="58">
        <v>1</v>
      </c>
      <c r="BP302" t="str">
        <f t="shared" si="9"/>
        <v>FireGrass</v>
      </c>
      <c r="BR302">
        <v>3</v>
      </c>
    </row>
    <row r="303" spans="1:70" x14ac:dyDescent="0.25">
      <c r="A303">
        <f t="shared" si="12"/>
        <v>274</v>
      </c>
      <c r="B303" t="s">
        <v>271</v>
      </c>
      <c r="D303" s="1" t="s">
        <v>5</v>
      </c>
      <c r="E303" s="1" t="s">
        <v>41</v>
      </c>
      <c r="F303" s="1" t="s">
        <v>50</v>
      </c>
      <c r="G303" s="1" t="s">
        <v>50</v>
      </c>
      <c r="H303" s="1"/>
      <c r="I303" s="1" t="s">
        <v>50</v>
      </c>
      <c r="J303" s="1" t="s">
        <v>50</v>
      </c>
      <c r="K303" s="1" t="s">
        <v>50</v>
      </c>
      <c r="L303" s="1" t="s">
        <v>50</v>
      </c>
      <c r="M303" s="1" t="s">
        <v>50</v>
      </c>
      <c r="N303" s="1" t="s">
        <v>50</v>
      </c>
      <c r="O303" s="1" t="s">
        <v>50</v>
      </c>
      <c r="P303" s="1" t="s">
        <v>106</v>
      </c>
      <c r="Q303" s="1" t="s">
        <v>104</v>
      </c>
      <c r="R303" s="1" t="s">
        <v>104</v>
      </c>
      <c r="S303" s="1" t="s">
        <v>104</v>
      </c>
      <c r="T303" s="1" t="s">
        <v>104</v>
      </c>
      <c r="U303" s="1" t="s">
        <v>104</v>
      </c>
      <c r="V303" s="1" t="s">
        <v>104</v>
      </c>
      <c r="W303" s="1" t="s">
        <v>104</v>
      </c>
      <c r="X303" s="1" t="s">
        <v>727</v>
      </c>
      <c r="Y303" s="1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>
        <v>1</v>
      </c>
      <c r="AO303" s="8">
        <v>1</v>
      </c>
      <c r="AP303" s="8">
        <v>1</v>
      </c>
      <c r="AQ303" s="8">
        <v>1</v>
      </c>
      <c r="AR303" s="8">
        <v>1</v>
      </c>
      <c r="AS303" s="8"/>
      <c r="AT303" s="8"/>
      <c r="AU303" s="8"/>
      <c r="AV303" s="8"/>
      <c r="AW303" s="8"/>
      <c r="AX303" s="8"/>
      <c r="AY303" s="8"/>
      <c r="AZ303" s="8"/>
      <c r="BA303" s="8"/>
      <c r="BB303" s="1"/>
      <c r="BL303" s="58"/>
      <c r="BP303" t="str">
        <f t="shared" si="9"/>
        <v>IceSound</v>
      </c>
      <c r="BQ303" t="s">
        <v>2</v>
      </c>
      <c r="BR303">
        <v>2</v>
      </c>
    </row>
    <row r="304" spans="1:70" x14ac:dyDescent="0.25">
      <c r="A304">
        <f t="shared" si="12"/>
        <v>275</v>
      </c>
      <c r="B304" t="s">
        <v>272</v>
      </c>
      <c r="D304" s="1" t="s">
        <v>5</v>
      </c>
      <c r="E304" s="1" t="s">
        <v>41</v>
      </c>
      <c r="F304" s="1" t="s">
        <v>50</v>
      </c>
      <c r="G304" s="1" t="s">
        <v>50</v>
      </c>
      <c r="H304" s="1"/>
      <c r="I304" s="1" t="s">
        <v>50</v>
      </c>
      <c r="J304" s="1" t="s">
        <v>50</v>
      </c>
      <c r="K304" s="1" t="s">
        <v>50</v>
      </c>
      <c r="L304" s="1"/>
      <c r="M304" s="1" t="s">
        <v>104</v>
      </c>
      <c r="N304" s="1" t="s">
        <v>50</v>
      </c>
      <c r="O304" s="1" t="s">
        <v>50</v>
      </c>
      <c r="P304" s="1" t="s">
        <v>106</v>
      </c>
      <c r="Q304" s="1" t="s">
        <v>104</v>
      </c>
      <c r="R304" s="1" t="s">
        <v>104</v>
      </c>
      <c r="S304" s="1" t="s">
        <v>104</v>
      </c>
      <c r="T304" s="1" t="s">
        <v>104</v>
      </c>
      <c r="U304" s="1" t="s">
        <v>104</v>
      </c>
      <c r="V304" s="1" t="s">
        <v>104</v>
      </c>
      <c r="W304" s="1" t="s">
        <v>104</v>
      </c>
      <c r="X304" s="1" t="s">
        <v>727</v>
      </c>
      <c r="Y304" s="1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>
        <v>1</v>
      </c>
      <c r="AO304" s="8">
        <v>1</v>
      </c>
      <c r="AP304" s="8">
        <v>1</v>
      </c>
      <c r="AQ304" s="8">
        <v>1</v>
      </c>
      <c r="AR304" s="8">
        <v>1</v>
      </c>
      <c r="AS304" s="8"/>
      <c r="AT304" s="8"/>
      <c r="AU304" s="8"/>
      <c r="AV304" s="8"/>
      <c r="AW304" s="8"/>
      <c r="AX304" s="8"/>
      <c r="AY304" s="8"/>
      <c r="AZ304" s="8"/>
      <c r="BA304" s="8"/>
      <c r="BB304" s="1"/>
      <c r="BL304" s="58"/>
      <c r="BP304" t="str">
        <f t="shared" si="9"/>
        <v>IceSound</v>
      </c>
      <c r="BQ304" t="s">
        <v>2</v>
      </c>
      <c r="BR304">
        <v>2</v>
      </c>
    </row>
    <row r="305" spans="1:70" x14ac:dyDescent="0.25">
      <c r="A305">
        <f t="shared" si="12"/>
        <v>276</v>
      </c>
      <c r="B305" t="s">
        <v>273</v>
      </c>
      <c r="D305" s="1" t="s">
        <v>5</v>
      </c>
      <c r="E305" s="1" t="s">
        <v>41</v>
      </c>
      <c r="F305" s="1" t="s">
        <v>50</v>
      </c>
      <c r="G305" s="1" t="s">
        <v>50</v>
      </c>
      <c r="H305" s="1" t="s">
        <v>50</v>
      </c>
      <c r="I305" s="1" t="s">
        <v>50</v>
      </c>
      <c r="J305" s="1" t="s">
        <v>50</v>
      </c>
      <c r="K305" s="1" t="s">
        <v>50</v>
      </c>
      <c r="L305" s="1"/>
      <c r="M305" s="1" t="s">
        <v>104</v>
      </c>
      <c r="N305" s="1" t="s">
        <v>50</v>
      </c>
      <c r="O305" s="1" t="s">
        <v>50</v>
      </c>
      <c r="P305" s="1" t="s">
        <v>106</v>
      </c>
      <c r="Q305" s="1" t="s">
        <v>104</v>
      </c>
      <c r="R305" s="1" t="s">
        <v>104</v>
      </c>
      <c r="S305" s="1" t="s">
        <v>104</v>
      </c>
      <c r="T305" s="1" t="s">
        <v>104</v>
      </c>
      <c r="U305" s="1" t="s">
        <v>104</v>
      </c>
      <c r="V305" s="1" t="s">
        <v>104</v>
      </c>
      <c r="W305" s="1" t="s">
        <v>104</v>
      </c>
      <c r="X305" s="1" t="s">
        <v>727</v>
      </c>
      <c r="Y305" s="1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>
        <v>1</v>
      </c>
      <c r="AO305" s="8">
        <v>1</v>
      </c>
      <c r="AP305" s="8">
        <v>1</v>
      </c>
      <c r="AQ305" s="8">
        <v>1</v>
      </c>
      <c r="AR305" s="8">
        <v>1</v>
      </c>
      <c r="AS305" s="8"/>
      <c r="AT305" s="8"/>
      <c r="AU305" s="8"/>
      <c r="AV305" s="8"/>
      <c r="AW305" s="8"/>
      <c r="AX305" s="8"/>
      <c r="AY305" s="8"/>
      <c r="AZ305" s="8"/>
      <c r="BA305" s="8"/>
      <c r="BB305" s="1"/>
      <c r="BJ305">
        <v>3</v>
      </c>
      <c r="BK305">
        <v>1</v>
      </c>
      <c r="BL305" s="58"/>
      <c r="BP305" t="str">
        <f t="shared" si="9"/>
        <v>IceSound</v>
      </c>
      <c r="BR305">
        <v>2</v>
      </c>
    </row>
    <row r="306" spans="1:70" x14ac:dyDescent="0.25">
      <c r="A306">
        <f t="shared" si="12"/>
        <v>277</v>
      </c>
      <c r="B306" t="s">
        <v>421</v>
      </c>
      <c r="D306" s="1" t="s">
        <v>17</v>
      </c>
      <c r="E306" s="1" t="s">
        <v>15</v>
      </c>
      <c r="F306" s="1" t="s">
        <v>50</v>
      </c>
      <c r="G306" s="1" t="s">
        <v>50</v>
      </c>
      <c r="H306" s="1"/>
      <c r="I306" s="1" t="s">
        <v>50</v>
      </c>
      <c r="J306" s="1" t="s">
        <v>50</v>
      </c>
      <c r="K306" s="1" t="s">
        <v>50</v>
      </c>
      <c r="L306" s="1" t="s">
        <v>50</v>
      </c>
      <c r="M306" s="1" t="s">
        <v>50</v>
      </c>
      <c r="N306" s="1" t="s">
        <v>50</v>
      </c>
      <c r="O306" s="1" t="s">
        <v>50</v>
      </c>
      <c r="P306" s="13" t="s">
        <v>819</v>
      </c>
      <c r="Q306" s="1" t="s">
        <v>104</v>
      </c>
      <c r="R306" s="1" t="s">
        <v>104</v>
      </c>
      <c r="S306" s="1" t="s">
        <v>104</v>
      </c>
      <c r="T306" s="1" t="s">
        <v>104</v>
      </c>
      <c r="U306" s="1" t="s">
        <v>104</v>
      </c>
      <c r="V306" s="1" t="s">
        <v>104</v>
      </c>
      <c r="W306" s="1" t="s">
        <v>104</v>
      </c>
      <c r="X306" s="1" t="s">
        <v>727</v>
      </c>
      <c r="Y306" s="1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>
        <v>1</v>
      </c>
      <c r="AK306" s="8"/>
      <c r="AL306" s="8">
        <v>1</v>
      </c>
      <c r="AM306" s="8">
        <v>1</v>
      </c>
      <c r="AN306" s="8">
        <v>1</v>
      </c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1"/>
      <c r="BL306" s="58"/>
      <c r="BP306" t="str">
        <f t="shared" si="9"/>
        <v>BugWater</v>
      </c>
      <c r="BQ306" t="s">
        <v>2</v>
      </c>
      <c r="BR306">
        <v>5</v>
      </c>
    </row>
    <row r="307" spans="1:70" x14ac:dyDescent="0.25">
      <c r="A307">
        <f t="shared" si="12"/>
        <v>278</v>
      </c>
      <c r="B307" t="s">
        <v>274</v>
      </c>
      <c r="D307" s="1" t="s">
        <v>17</v>
      </c>
      <c r="E307" s="1" t="s">
        <v>15</v>
      </c>
      <c r="F307" s="1" t="s">
        <v>50</v>
      </c>
      <c r="G307" s="1" t="s">
        <v>50</v>
      </c>
      <c r="H307" s="1" t="s">
        <v>50</v>
      </c>
      <c r="I307" s="1" t="s">
        <v>50</v>
      </c>
      <c r="J307" s="1" t="s">
        <v>50</v>
      </c>
      <c r="K307" s="1" t="s">
        <v>50</v>
      </c>
      <c r="L307" s="1"/>
      <c r="M307" s="1" t="s">
        <v>104</v>
      </c>
      <c r="N307" s="1" t="s">
        <v>50</v>
      </c>
      <c r="O307" s="1" t="s">
        <v>50</v>
      </c>
      <c r="P307" s="13" t="s">
        <v>819</v>
      </c>
      <c r="Q307" s="1" t="s">
        <v>104</v>
      </c>
      <c r="R307" s="1" t="s">
        <v>104</v>
      </c>
      <c r="S307" s="1" t="s">
        <v>104</v>
      </c>
      <c r="T307" s="1" t="s">
        <v>104</v>
      </c>
      <c r="U307" s="1" t="s">
        <v>104</v>
      </c>
      <c r="V307" s="1" t="s">
        <v>104</v>
      </c>
      <c r="W307" s="1" t="s">
        <v>104</v>
      </c>
      <c r="X307" s="1" t="s">
        <v>727</v>
      </c>
      <c r="Y307" s="1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>
        <v>1</v>
      </c>
      <c r="AK307" s="8"/>
      <c r="AL307" s="8">
        <v>1</v>
      </c>
      <c r="AM307" s="8">
        <v>1</v>
      </c>
      <c r="AN307" s="8">
        <v>1</v>
      </c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1"/>
      <c r="BJ307">
        <v>3</v>
      </c>
      <c r="BL307" s="58"/>
      <c r="BP307" t="str">
        <f t="shared" si="9"/>
        <v>BugWater</v>
      </c>
      <c r="BR307">
        <v>5</v>
      </c>
    </row>
    <row r="308" spans="1:70" x14ac:dyDescent="0.25">
      <c r="A308">
        <f t="shared" si="12"/>
        <v>279</v>
      </c>
      <c r="B308" t="s">
        <v>277</v>
      </c>
      <c r="D308" s="1" t="s">
        <v>14</v>
      </c>
      <c r="E308" s="1" t="s">
        <v>10</v>
      </c>
      <c r="F308" s="1" t="s">
        <v>50</v>
      </c>
      <c r="G308" s="1" t="s">
        <v>50</v>
      </c>
      <c r="H308" s="1"/>
      <c r="I308" s="1" t="s">
        <v>50</v>
      </c>
      <c r="J308" s="1" t="s">
        <v>50</v>
      </c>
      <c r="K308" s="1" t="s">
        <v>50</v>
      </c>
      <c r="L308" s="1" t="s">
        <v>50</v>
      </c>
      <c r="M308" s="1" t="s">
        <v>50</v>
      </c>
      <c r="N308" s="1" t="s">
        <v>50</v>
      </c>
      <c r="O308" s="1" t="s">
        <v>50</v>
      </c>
      <c r="P308" s="13" t="s">
        <v>2235</v>
      </c>
      <c r="Q308" s="1" t="s">
        <v>104</v>
      </c>
      <c r="R308" s="1" t="s">
        <v>104</v>
      </c>
      <c r="S308" s="1" t="s">
        <v>104</v>
      </c>
      <c r="T308" s="1" t="s">
        <v>104</v>
      </c>
      <c r="U308" s="1" t="s">
        <v>104</v>
      </c>
      <c r="V308" s="1" t="s">
        <v>104</v>
      </c>
      <c r="W308" s="1" t="s">
        <v>104</v>
      </c>
      <c r="X308" s="1" t="s">
        <v>2182</v>
      </c>
      <c r="Y308" s="1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>
        <v>1</v>
      </c>
      <c r="AT308" s="8">
        <v>1</v>
      </c>
      <c r="AU308" s="8"/>
      <c r="AV308" s="8"/>
      <c r="AW308" s="8"/>
      <c r="AX308" s="8"/>
      <c r="AY308" s="8"/>
      <c r="AZ308" s="8"/>
      <c r="BA308" s="8"/>
      <c r="BB308" s="1"/>
      <c r="BL308" s="58"/>
      <c r="BP308" t="str">
        <f t="shared" si="9"/>
        <v>GhostPoison</v>
      </c>
      <c r="BQ308" t="s">
        <v>2</v>
      </c>
      <c r="BR308">
        <v>2</v>
      </c>
    </row>
    <row r="309" spans="1:70" x14ac:dyDescent="0.25">
      <c r="A309">
        <f t="shared" si="12"/>
        <v>280</v>
      </c>
      <c r="B309" t="s">
        <v>278</v>
      </c>
      <c r="D309" s="1" t="s">
        <v>14</v>
      </c>
      <c r="E309" s="1" t="s">
        <v>10</v>
      </c>
      <c r="F309" s="1" t="s">
        <v>50</v>
      </c>
      <c r="G309" s="1" t="s">
        <v>50</v>
      </c>
      <c r="H309" s="1" t="s">
        <v>50</v>
      </c>
      <c r="I309" s="1" t="s">
        <v>50</v>
      </c>
      <c r="J309" s="1" t="s">
        <v>50</v>
      </c>
      <c r="K309" s="1" t="s">
        <v>50</v>
      </c>
      <c r="L309" s="1"/>
      <c r="M309" s="1" t="s">
        <v>104</v>
      </c>
      <c r="N309" s="1" t="s">
        <v>50</v>
      </c>
      <c r="O309" s="1" t="s">
        <v>50</v>
      </c>
      <c r="P309" s="13" t="s">
        <v>2235</v>
      </c>
      <c r="Q309" s="1" t="s">
        <v>50</v>
      </c>
      <c r="R309" s="1" t="s">
        <v>50</v>
      </c>
      <c r="S309" s="1" t="s">
        <v>50</v>
      </c>
      <c r="T309" s="1" t="s">
        <v>50</v>
      </c>
      <c r="U309" s="1" t="s">
        <v>50</v>
      </c>
      <c r="V309" s="1" t="s">
        <v>50</v>
      </c>
      <c r="W309" s="1" t="s">
        <v>50</v>
      </c>
      <c r="X309" s="1" t="s">
        <v>2182</v>
      </c>
      <c r="Y309" s="1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>
        <v>1</v>
      </c>
      <c r="AT309" s="8">
        <v>1</v>
      </c>
      <c r="AU309" s="8"/>
      <c r="AV309" s="8"/>
      <c r="AW309" s="8"/>
      <c r="AX309" s="8"/>
      <c r="AY309" s="8"/>
      <c r="AZ309" s="8"/>
      <c r="BA309" s="8"/>
      <c r="BB309" s="1"/>
      <c r="BK309">
        <v>1</v>
      </c>
      <c r="BL309" s="58"/>
      <c r="BP309" t="str">
        <f t="shared" si="9"/>
        <v>GhostPoison</v>
      </c>
      <c r="BR309">
        <v>2</v>
      </c>
    </row>
    <row r="310" spans="1:70" x14ac:dyDescent="0.25">
      <c r="A310">
        <f t="shared" si="12"/>
        <v>281</v>
      </c>
      <c r="B310" t="s">
        <v>279</v>
      </c>
      <c r="D310" s="1" t="s">
        <v>7</v>
      </c>
      <c r="E310" s="1" t="s">
        <v>11</v>
      </c>
      <c r="F310" s="1" t="s">
        <v>50</v>
      </c>
      <c r="G310" s="1" t="s">
        <v>50</v>
      </c>
      <c r="H310" s="1"/>
      <c r="I310" s="1" t="s">
        <v>50</v>
      </c>
      <c r="J310" s="1" t="s">
        <v>50</v>
      </c>
      <c r="K310" s="1" t="s">
        <v>50</v>
      </c>
      <c r="L310" s="1"/>
      <c r="M310" s="1" t="s">
        <v>50</v>
      </c>
      <c r="N310" s="1" t="s">
        <v>50</v>
      </c>
      <c r="O310" s="1" t="s">
        <v>50</v>
      </c>
      <c r="P310" s="1" t="s">
        <v>2379</v>
      </c>
      <c r="Q310" s="1" t="s">
        <v>104</v>
      </c>
      <c r="R310" s="1" t="s">
        <v>104</v>
      </c>
      <c r="S310" s="1" t="s">
        <v>104</v>
      </c>
      <c r="T310" s="1" t="s">
        <v>104</v>
      </c>
      <c r="U310" s="1" t="s">
        <v>104</v>
      </c>
      <c r="V310" s="1" t="s">
        <v>104</v>
      </c>
      <c r="W310" s="1" t="s">
        <v>104</v>
      </c>
      <c r="X310" s="1" t="s">
        <v>2182</v>
      </c>
      <c r="Y310" s="1"/>
      <c r="Z310" s="8">
        <v>1</v>
      </c>
      <c r="AA310" s="8">
        <v>1</v>
      </c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L310" s="58"/>
      <c r="BP310" t="str">
        <f t="shared" si="9"/>
        <v>FairyGrass</v>
      </c>
      <c r="BQ310" t="s">
        <v>2</v>
      </c>
      <c r="BR310">
        <v>2</v>
      </c>
    </row>
    <row r="311" spans="1:70" x14ac:dyDescent="0.25">
      <c r="A311">
        <f t="shared" si="12"/>
        <v>282</v>
      </c>
      <c r="B311" t="s">
        <v>280</v>
      </c>
      <c r="D311" s="1" t="s">
        <v>7</v>
      </c>
      <c r="E311" s="1" t="s">
        <v>11</v>
      </c>
      <c r="F311" s="1" t="s">
        <v>50</v>
      </c>
      <c r="G311" s="1" t="s">
        <v>50</v>
      </c>
      <c r="H311" s="1"/>
      <c r="I311" s="1" t="s">
        <v>50</v>
      </c>
      <c r="J311" s="1" t="s">
        <v>50</v>
      </c>
      <c r="K311" s="1" t="s">
        <v>50</v>
      </c>
      <c r="L311" s="1"/>
      <c r="M311" s="1" t="s">
        <v>104</v>
      </c>
      <c r="N311" s="1" t="s">
        <v>50</v>
      </c>
      <c r="O311" s="1" t="s">
        <v>50</v>
      </c>
      <c r="P311" s="1" t="s">
        <v>2379</v>
      </c>
      <c r="Q311" s="1" t="s">
        <v>104</v>
      </c>
      <c r="R311" s="1" t="s">
        <v>104</v>
      </c>
      <c r="S311" s="1" t="s">
        <v>104</v>
      </c>
      <c r="T311" s="1" t="s">
        <v>104</v>
      </c>
      <c r="U311" s="1" t="s">
        <v>104</v>
      </c>
      <c r="V311" s="1" t="s">
        <v>104</v>
      </c>
      <c r="W311" s="1" t="s">
        <v>104</v>
      </c>
      <c r="X311" s="1" t="s">
        <v>2182</v>
      </c>
      <c r="Y311" s="1"/>
      <c r="Z311" s="8">
        <v>1</v>
      </c>
      <c r="AA311" s="8">
        <v>1</v>
      </c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J311">
        <v>4</v>
      </c>
      <c r="BL311" s="58"/>
      <c r="BP311" t="str">
        <f t="shared" si="9"/>
        <v>FairyGrass</v>
      </c>
      <c r="BQ311" t="s">
        <v>2</v>
      </c>
      <c r="BR311">
        <v>2</v>
      </c>
    </row>
    <row r="312" spans="1:70" x14ac:dyDescent="0.25">
      <c r="A312">
        <f t="shared" si="12"/>
        <v>283</v>
      </c>
      <c r="B312" t="s">
        <v>281</v>
      </c>
      <c r="D312" s="1" t="s">
        <v>7</v>
      </c>
      <c r="E312" s="1" t="s">
        <v>11</v>
      </c>
      <c r="F312" s="1" t="s">
        <v>50</v>
      </c>
      <c r="G312" s="1" t="s">
        <v>50</v>
      </c>
      <c r="H312" s="1" t="s">
        <v>50</v>
      </c>
      <c r="I312" s="1" t="s">
        <v>50</v>
      </c>
      <c r="J312" s="1" t="s">
        <v>50</v>
      </c>
      <c r="K312" s="1" t="s">
        <v>50</v>
      </c>
      <c r="L312" s="1"/>
      <c r="M312" s="1" t="s">
        <v>104</v>
      </c>
      <c r="N312" s="1" t="s">
        <v>50</v>
      </c>
      <c r="O312" s="1" t="s">
        <v>50</v>
      </c>
      <c r="P312" s="1" t="s">
        <v>2379</v>
      </c>
      <c r="Q312" s="1" t="s">
        <v>104</v>
      </c>
      <c r="R312" s="1" t="s">
        <v>104</v>
      </c>
      <c r="S312" s="1" t="s">
        <v>104</v>
      </c>
      <c r="T312" s="1" t="s">
        <v>104</v>
      </c>
      <c r="U312" s="1" t="s">
        <v>104</v>
      </c>
      <c r="V312" s="1" t="s">
        <v>104</v>
      </c>
      <c r="W312" s="1" t="s">
        <v>104</v>
      </c>
      <c r="X312" s="1" t="s">
        <v>2182</v>
      </c>
      <c r="Y312" s="1"/>
      <c r="Z312" s="8">
        <v>1</v>
      </c>
      <c r="AA312" s="8">
        <v>1</v>
      </c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J312">
        <v>23</v>
      </c>
      <c r="BK312">
        <v>6</v>
      </c>
      <c r="BL312" s="58">
        <v>1</v>
      </c>
      <c r="BP312" t="str">
        <f t="shared" si="9"/>
        <v>FairyGrass</v>
      </c>
      <c r="BR312">
        <v>2</v>
      </c>
    </row>
    <row r="313" spans="1:70" x14ac:dyDescent="0.25">
      <c r="A313">
        <f t="shared" si="12"/>
        <v>284</v>
      </c>
      <c r="B313" t="s">
        <v>425</v>
      </c>
      <c r="D313" s="1" t="s">
        <v>6</v>
      </c>
      <c r="E313" s="1" t="s">
        <v>1</v>
      </c>
      <c r="F313" s="1" t="s">
        <v>50</v>
      </c>
      <c r="G313" s="1" t="s">
        <v>50</v>
      </c>
      <c r="H313" s="1"/>
      <c r="I313" s="1" t="s">
        <v>50</v>
      </c>
      <c r="J313" s="1" t="s">
        <v>50</v>
      </c>
      <c r="K313" s="1" t="s">
        <v>50</v>
      </c>
      <c r="L313" s="1"/>
      <c r="M313" s="1" t="s">
        <v>50</v>
      </c>
      <c r="N313" s="1" t="s">
        <v>50</v>
      </c>
      <c r="O313" s="1" t="s">
        <v>50</v>
      </c>
      <c r="P313" s="1" t="s">
        <v>104</v>
      </c>
      <c r="Q313" s="1" t="s">
        <v>104</v>
      </c>
      <c r="R313" s="1" t="s">
        <v>104</v>
      </c>
      <c r="S313" s="1" t="s">
        <v>104</v>
      </c>
      <c r="T313" s="1" t="s">
        <v>104</v>
      </c>
      <c r="U313" s="1" t="s">
        <v>104</v>
      </c>
      <c r="V313" s="1" t="s">
        <v>104</v>
      </c>
      <c r="W313" s="1" t="s">
        <v>104</v>
      </c>
      <c r="X313" s="1" t="s">
        <v>729</v>
      </c>
      <c r="Y313" s="1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>
        <v>1</v>
      </c>
      <c r="AT313" s="8"/>
      <c r="AU313" s="8"/>
      <c r="AV313" s="8"/>
      <c r="AW313" s="8"/>
      <c r="AX313" s="8"/>
      <c r="AY313" s="8"/>
      <c r="AZ313" s="8"/>
      <c r="BA313" s="8"/>
      <c r="BL313" s="58"/>
      <c r="BP313" t="str">
        <f t="shared" si="9"/>
        <v>SteelNormal</v>
      </c>
      <c r="BQ313" t="s">
        <v>2</v>
      </c>
      <c r="BR313">
        <v>2</v>
      </c>
    </row>
    <row r="314" spans="1:70" x14ac:dyDescent="0.25">
      <c r="A314">
        <f t="shared" si="12"/>
        <v>285</v>
      </c>
      <c r="B314" t="s">
        <v>289</v>
      </c>
      <c r="D314" s="1" t="s">
        <v>6</v>
      </c>
      <c r="E314" s="1" t="s">
        <v>1</v>
      </c>
      <c r="F314" s="1" t="s">
        <v>50</v>
      </c>
      <c r="G314" s="1" t="s">
        <v>50</v>
      </c>
      <c r="H314" s="1"/>
      <c r="I314" s="1" t="s">
        <v>50</v>
      </c>
      <c r="J314" s="1" t="s">
        <v>50</v>
      </c>
      <c r="K314" s="1" t="s">
        <v>50</v>
      </c>
      <c r="L314" s="1"/>
      <c r="M314" s="1" t="s">
        <v>104</v>
      </c>
      <c r="N314" s="1" t="s">
        <v>50</v>
      </c>
      <c r="O314" s="1" t="s">
        <v>50</v>
      </c>
      <c r="P314" s="1" t="s">
        <v>104</v>
      </c>
      <c r="Q314" s="1" t="s">
        <v>104</v>
      </c>
      <c r="R314" s="1" t="s">
        <v>104</v>
      </c>
      <c r="S314" s="1" t="s">
        <v>104</v>
      </c>
      <c r="T314" s="1" t="s">
        <v>104</v>
      </c>
      <c r="U314" s="1" t="s">
        <v>104</v>
      </c>
      <c r="V314" s="1" t="s">
        <v>104</v>
      </c>
      <c r="W314" s="1" t="s">
        <v>104</v>
      </c>
      <c r="X314" s="1" t="s">
        <v>729</v>
      </c>
      <c r="Y314" s="1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>
        <v>1</v>
      </c>
      <c r="AT314" s="8"/>
      <c r="AU314" s="8"/>
      <c r="AV314" s="8"/>
      <c r="AW314" s="8"/>
      <c r="AX314" s="8"/>
      <c r="AY314" s="8"/>
      <c r="AZ314" s="8"/>
      <c r="BA314" s="8"/>
      <c r="BL314" s="58"/>
      <c r="BP314" t="str">
        <f t="shared" si="9"/>
        <v>SteelNormal</v>
      </c>
      <c r="BQ314" t="s">
        <v>2</v>
      </c>
      <c r="BR314">
        <v>2</v>
      </c>
    </row>
    <row r="315" spans="1:70" x14ac:dyDescent="0.25">
      <c r="A315">
        <f t="shared" si="12"/>
        <v>286</v>
      </c>
      <c r="B315" t="s">
        <v>290</v>
      </c>
      <c r="D315" s="1" t="s">
        <v>6</v>
      </c>
      <c r="E315" s="1" t="s">
        <v>1</v>
      </c>
      <c r="F315" s="1" t="s">
        <v>50</v>
      </c>
      <c r="G315" s="1" t="s">
        <v>50</v>
      </c>
      <c r="H315" s="1" t="s">
        <v>50</v>
      </c>
      <c r="I315" s="1" t="s">
        <v>50</v>
      </c>
      <c r="J315" s="1" t="s">
        <v>50</v>
      </c>
      <c r="K315" s="1" t="s">
        <v>50</v>
      </c>
      <c r="L315" s="1"/>
      <c r="M315" s="1" t="s">
        <v>104</v>
      </c>
      <c r="N315" s="1" t="s">
        <v>50</v>
      </c>
      <c r="O315" s="1" t="s">
        <v>50</v>
      </c>
      <c r="P315" s="1" t="s">
        <v>104</v>
      </c>
      <c r="Q315" s="1" t="s">
        <v>104</v>
      </c>
      <c r="R315" s="1" t="s">
        <v>104</v>
      </c>
      <c r="S315" s="1" t="s">
        <v>104</v>
      </c>
      <c r="T315" s="1" t="s">
        <v>104</v>
      </c>
      <c r="U315" s="1" t="s">
        <v>104</v>
      </c>
      <c r="V315" s="1" t="s">
        <v>104</v>
      </c>
      <c r="W315" s="1" t="s">
        <v>104</v>
      </c>
      <c r="X315" s="1" t="s">
        <v>729</v>
      </c>
      <c r="Y315" s="1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>
        <v>1</v>
      </c>
      <c r="AT315" s="8"/>
      <c r="AU315" s="8"/>
      <c r="AV315" s="8"/>
      <c r="AW315" s="8"/>
      <c r="AX315" s="8"/>
      <c r="AY315" s="8"/>
      <c r="AZ315" s="8"/>
      <c r="BA315" s="8"/>
      <c r="BJ315">
        <v>8</v>
      </c>
      <c r="BK315">
        <v>2</v>
      </c>
      <c r="BL315" s="58"/>
      <c r="BP315" t="str">
        <f t="shared" si="9"/>
        <v>SteelNormal</v>
      </c>
      <c r="BR315">
        <v>2</v>
      </c>
    </row>
    <row r="316" spans="1:70" x14ac:dyDescent="0.25">
      <c r="A316">
        <f t="shared" si="12"/>
        <v>287</v>
      </c>
      <c r="B316" t="s">
        <v>291</v>
      </c>
      <c r="D316" s="1" t="s">
        <v>0</v>
      </c>
      <c r="E316" s="1" t="s">
        <v>10</v>
      </c>
      <c r="F316" s="1" t="s">
        <v>50</v>
      </c>
      <c r="G316" s="1" t="s">
        <v>50</v>
      </c>
      <c r="H316" s="1"/>
      <c r="I316" s="1" t="s">
        <v>50</v>
      </c>
      <c r="J316" s="1" t="s">
        <v>50</v>
      </c>
      <c r="K316" s="1" t="s">
        <v>50</v>
      </c>
      <c r="L316" s="1"/>
      <c r="M316" s="1" t="s">
        <v>50</v>
      </c>
      <c r="N316" s="1" t="s">
        <v>50</v>
      </c>
      <c r="O316" s="1" t="s">
        <v>50</v>
      </c>
      <c r="P316" s="1" t="s">
        <v>104</v>
      </c>
      <c r="Q316" s="1" t="s">
        <v>104</v>
      </c>
      <c r="R316" s="1" t="s">
        <v>104</v>
      </c>
      <c r="S316" s="1" t="s">
        <v>104</v>
      </c>
      <c r="T316" s="1" t="s">
        <v>104</v>
      </c>
      <c r="U316" s="1" t="s">
        <v>104</v>
      </c>
      <c r="V316" s="1" t="s">
        <v>104</v>
      </c>
      <c r="W316" s="1" t="s">
        <v>104</v>
      </c>
      <c r="X316" s="1" t="s">
        <v>729</v>
      </c>
      <c r="Y316" s="1"/>
      <c r="Z316" s="8"/>
      <c r="AA316" s="8"/>
      <c r="AB316" s="8"/>
      <c r="AC316" s="8"/>
      <c r="AD316" s="8">
        <v>1</v>
      </c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>
        <v>1</v>
      </c>
      <c r="AT316" s="8">
        <v>1</v>
      </c>
      <c r="AU316" s="8"/>
      <c r="AV316" s="8"/>
      <c r="AW316" s="8"/>
      <c r="AX316" s="8"/>
      <c r="AY316" s="8"/>
      <c r="AZ316" s="8"/>
      <c r="BA316" s="8"/>
      <c r="BL316" s="58"/>
      <c r="BP316" t="str">
        <f t="shared" si="9"/>
        <v>DarkPoison</v>
      </c>
      <c r="BQ316" t="s">
        <v>2</v>
      </c>
      <c r="BR316">
        <v>3</v>
      </c>
    </row>
    <row r="317" spans="1:70" x14ac:dyDescent="0.25">
      <c r="A317">
        <f t="shared" si="12"/>
        <v>288</v>
      </c>
      <c r="B317" t="s">
        <v>292</v>
      </c>
      <c r="D317" s="1" t="s">
        <v>0</v>
      </c>
      <c r="E317" s="1" t="s">
        <v>10</v>
      </c>
      <c r="F317" s="1" t="s">
        <v>50</v>
      </c>
      <c r="G317" s="1" t="s">
        <v>50</v>
      </c>
      <c r="H317" s="1"/>
      <c r="I317" s="1" t="s">
        <v>50</v>
      </c>
      <c r="J317" s="1" t="s">
        <v>50</v>
      </c>
      <c r="K317" s="1" t="s">
        <v>50</v>
      </c>
      <c r="L317" s="1"/>
      <c r="M317" s="1" t="s">
        <v>104</v>
      </c>
      <c r="N317" s="1" t="s">
        <v>50</v>
      </c>
      <c r="O317" s="1" t="s">
        <v>50</v>
      </c>
      <c r="P317" s="1" t="s">
        <v>104</v>
      </c>
      <c r="Q317" s="1" t="s">
        <v>104</v>
      </c>
      <c r="R317" s="1" t="s">
        <v>104</v>
      </c>
      <c r="S317" s="1" t="s">
        <v>104</v>
      </c>
      <c r="T317" s="1" t="s">
        <v>104</v>
      </c>
      <c r="U317" s="1" t="s">
        <v>104</v>
      </c>
      <c r="V317" s="1" t="s">
        <v>104</v>
      </c>
      <c r="W317" s="1" t="s">
        <v>104</v>
      </c>
      <c r="X317" s="1" t="s">
        <v>729</v>
      </c>
      <c r="Y317" s="1"/>
      <c r="Z317" s="8"/>
      <c r="AA317" s="8"/>
      <c r="AB317" s="8"/>
      <c r="AC317" s="8"/>
      <c r="AD317" s="8">
        <v>1</v>
      </c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>
        <v>1</v>
      </c>
      <c r="AT317" s="8">
        <v>1</v>
      </c>
      <c r="AU317" s="8"/>
      <c r="AV317" s="8"/>
      <c r="AW317" s="8"/>
      <c r="AX317" s="8"/>
      <c r="AY317" s="8"/>
      <c r="AZ317" s="8"/>
      <c r="BA317" s="8"/>
      <c r="BL317" s="58"/>
      <c r="BP317" t="str">
        <f t="shared" si="9"/>
        <v>DarkPoison</v>
      </c>
      <c r="BQ317" t="s">
        <v>2</v>
      </c>
      <c r="BR317">
        <v>3</v>
      </c>
    </row>
    <row r="318" spans="1:70" x14ac:dyDescent="0.25">
      <c r="A318">
        <f t="shared" si="12"/>
        <v>289</v>
      </c>
      <c r="B318" t="s">
        <v>426</v>
      </c>
      <c r="D318" s="1" t="s">
        <v>0</v>
      </c>
      <c r="E318" s="1" t="s">
        <v>10</v>
      </c>
      <c r="F318" s="1" t="s">
        <v>50</v>
      </c>
      <c r="G318" s="1" t="s">
        <v>50</v>
      </c>
      <c r="H318" s="1" t="s">
        <v>50</v>
      </c>
      <c r="I318" s="1" t="s">
        <v>50</v>
      </c>
      <c r="J318" s="1" t="s">
        <v>50</v>
      </c>
      <c r="K318" s="1" t="s">
        <v>50</v>
      </c>
      <c r="L318" s="1"/>
      <c r="M318" s="1" t="s">
        <v>104</v>
      </c>
      <c r="N318" s="1" t="s">
        <v>50</v>
      </c>
      <c r="O318" s="1" t="s">
        <v>50</v>
      </c>
      <c r="P318" s="1" t="s">
        <v>811</v>
      </c>
      <c r="Q318" s="1" t="s">
        <v>50</v>
      </c>
      <c r="R318" s="1" t="s">
        <v>50</v>
      </c>
      <c r="S318" s="1" t="s">
        <v>50</v>
      </c>
      <c r="T318" s="1" t="s">
        <v>50</v>
      </c>
      <c r="U318" s="1" t="s">
        <v>50</v>
      </c>
      <c r="V318" s="1" t="s">
        <v>50</v>
      </c>
      <c r="W318" s="1" t="s">
        <v>50</v>
      </c>
      <c r="X318" s="1" t="s">
        <v>729</v>
      </c>
      <c r="Y318" s="1"/>
      <c r="Z318" s="8"/>
      <c r="AA318" s="8"/>
      <c r="AB318" s="8"/>
      <c r="AC318" s="8"/>
      <c r="AD318" s="8">
        <v>1</v>
      </c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>
        <v>1</v>
      </c>
      <c r="AT318" s="8">
        <v>1</v>
      </c>
      <c r="AU318" s="8"/>
      <c r="AV318" s="8"/>
      <c r="AW318" s="8"/>
      <c r="AX318" s="8"/>
      <c r="AY318" s="8"/>
      <c r="AZ318" s="8"/>
      <c r="BA318" s="8"/>
      <c r="BJ318">
        <v>22</v>
      </c>
      <c r="BK318">
        <v>12</v>
      </c>
      <c r="BL318" s="58"/>
      <c r="BP318" t="str">
        <f t="shared" si="9"/>
        <v>DarkPoison</v>
      </c>
      <c r="BR318">
        <v>3</v>
      </c>
    </row>
    <row r="319" spans="1:70" x14ac:dyDescent="0.25">
      <c r="A319">
        <f t="shared" si="12"/>
        <v>290</v>
      </c>
      <c r="B319" t="s">
        <v>427</v>
      </c>
      <c r="D319" s="1" t="s">
        <v>0</v>
      </c>
      <c r="E319" s="1" t="s">
        <v>10</v>
      </c>
      <c r="F319" s="1" t="s">
        <v>50</v>
      </c>
      <c r="G319" s="1" t="s">
        <v>50</v>
      </c>
      <c r="H319" s="1" t="s">
        <v>50</v>
      </c>
      <c r="I319" s="1" t="s">
        <v>50</v>
      </c>
      <c r="J319" s="1" t="s">
        <v>50</v>
      </c>
      <c r="K319" s="1" t="s">
        <v>50</v>
      </c>
      <c r="L319" s="1"/>
      <c r="M319" s="1" t="s">
        <v>104</v>
      </c>
      <c r="N319" s="1" t="s">
        <v>50</v>
      </c>
      <c r="O319" s="1" t="s">
        <v>50</v>
      </c>
      <c r="P319" s="1" t="s">
        <v>811</v>
      </c>
      <c r="Q319" s="1" t="s">
        <v>50</v>
      </c>
      <c r="R319" s="1" t="s">
        <v>50</v>
      </c>
      <c r="S319" s="1" t="s">
        <v>50</v>
      </c>
      <c r="T319" s="1" t="s">
        <v>50</v>
      </c>
      <c r="U319" s="1" t="s">
        <v>50</v>
      </c>
      <c r="V319" s="1" t="s">
        <v>50</v>
      </c>
      <c r="W319" s="1" t="s">
        <v>50</v>
      </c>
      <c r="X319" s="1" t="s">
        <v>729</v>
      </c>
      <c r="Y319" s="1"/>
      <c r="Z319" s="8"/>
      <c r="AA319" s="8"/>
      <c r="AB319" s="8"/>
      <c r="AC319" s="8"/>
      <c r="AD319" s="8">
        <v>1</v>
      </c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>
        <v>1</v>
      </c>
      <c r="AT319" s="8">
        <v>1</v>
      </c>
      <c r="AU319" s="8"/>
      <c r="AV319" s="8"/>
      <c r="AW319" s="8"/>
      <c r="AX319" s="8"/>
      <c r="AY319" s="8"/>
      <c r="AZ319" s="8"/>
      <c r="BA319" s="8"/>
      <c r="BJ319">
        <v>26</v>
      </c>
      <c r="BK319">
        <v>9</v>
      </c>
      <c r="BL319" s="58">
        <v>1</v>
      </c>
      <c r="BP319" t="str">
        <f t="shared" si="9"/>
        <v>DarkPoison</v>
      </c>
      <c r="BR319">
        <v>4</v>
      </c>
    </row>
    <row r="320" spans="1:70" x14ac:dyDescent="0.25">
      <c r="A320">
        <f t="shared" si="12"/>
        <v>291</v>
      </c>
      <c r="B320" t="s">
        <v>293</v>
      </c>
      <c r="D320" s="1" t="s">
        <v>13</v>
      </c>
      <c r="E320" s="1" t="s">
        <v>15</v>
      </c>
      <c r="F320" s="1" t="s">
        <v>50</v>
      </c>
      <c r="G320" s="1" t="s">
        <v>50</v>
      </c>
      <c r="H320" s="1"/>
      <c r="I320" s="1" t="s">
        <v>50</v>
      </c>
      <c r="J320" s="1" t="s">
        <v>50</v>
      </c>
      <c r="K320" s="1" t="s">
        <v>50</v>
      </c>
      <c r="L320" s="1"/>
      <c r="M320" s="1" t="s">
        <v>50</v>
      </c>
      <c r="N320" s="1" t="s">
        <v>50</v>
      </c>
      <c r="O320" s="1" t="s">
        <v>50</v>
      </c>
      <c r="P320" s="1" t="s">
        <v>104</v>
      </c>
      <c r="Q320" s="1" t="s">
        <v>104</v>
      </c>
      <c r="R320" s="1" t="s">
        <v>104</v>
      </c>
      <c r="S320" s="1" t="s">
        <v>104</v>
      </c>
      <c r="T320" s="1" t="s">
        <v>104</v>
      </c>
      <c r="U320" s="1" t="s">
        <v>104</v>
      </c>
      <c r="V320" s="1" t="s">
        <v>104</v>
      </c>
      <c r="W320" s="1" t="s">
        <v>104</v>
      </c>
      <c r="X320" s="1" t="s">
        <v>729</v>
      </c>
      <c r="Y320" s="1"/>
      <c r="Z320" s="8"/>
      <c r="AA320" s="8"/>
      <c r="AB320" s="8"/>
      <c r="AC320" s="8"/>
      <c r="AD320" s="8"/>
      <c r="AE320" s="8">
        <v>1</v>
      </c>
      <c r="AF320" s="8"/>
      <c r="AG320" s="8"/>
      <c r="AH320" s="8"/>
      <c r="AI320" s="8"/>
      <c r="AJ320" s="8">
        <v>1</v>
      </c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L320" s="58"/>
      <c r="BP320" t="str">
        <f t="shared" si="9"/>
        <v>FireWater</v>
      </c>
      <c r="BQ320" t="s">
        <v>2</v>
      </c>
      <c r="BR320">
        <v>3</v>
      </c>
    </row>
    <row r="321" spans="1:70" x14ac:dyDescent="0.25">
      <c r="A321">
        <f t="shared" si="12"/>
        <v>292</v>
      </c>
      <c r="B321" t="s">
        <v>294</v>
      </c>
      <c r="D321" s="1" t="s">
        <v>13</v>
      </c>
      <c r="E321" s="1" t="s">
        <v>15</v>
      </c>
      <c r="F321" s="1" t="s">
        <v>50</v>
      </c>
      <c r="G321" s="1" t="s">
        <v>50</v>
      </c>
      <c r="H321" s="1" t="s">
        <v>50</v>
      </c>
      <c r="I321" s="1" t="s">
        <v>50</v>
      </c>
      <c r="J321" s="1" t="s">
        <v>50</v>
      </c>
      <c r="K321" s="1" t="s">
        <v>50</v>
      </c>
      <c r="L321" s="1"/>
      <c r="M321" s="1" t="s">
        <v>104</v>
      </c>
      <c r="N321" s="1" t="s">
        <v>50</v>
      </c>
      <c r="O321" s="1" t="s">
        <v>50</v>
      </c>
      <c r="P321" s="1" t="s">
        <v>104</v>
      </c>
      <c r="Q321" s="1" t="s">
        <v>104</v>
      </c>
      <c r="R321" s="1" t="s">
        <v>104</v>
      </c>
      <c r="S321" s="1" t="s">
        <v>104</v>
      </c>
      <c r="T321" s="1" t="s">
        <v>104</v>
      </c>
      <c r="U321" s="1" t="s">
        <v>104</v>
      </c>
      <c r="V321" s="1" t="s">
        <v>104</v>
      </c>
      <c r="W321" s="1" t="s">
        <v>104</v>
      </c>
      <c r="X321" s="1" t="s">
        <v>729</v>
      </c>
      <c r="Y321" s="1"/>
      <c r="Z321" s="8"/>
      <c r="AA321" s="8"/>
      <c r="AB321" s="8"/>
      <c r="AC321" s="8"/>
      <c r="AD321" s="8"/>
      <c r="AE321" s="8">
        <v>1</v>
      </c>
      <c r="AF321" s="8"/>
      <c r="AG321" s="8"/>
      <c r="AH321" s="8"/>
      <c r="AI321" s="8"/>
      <c r="AJ321" s="8">
        <v>1</v>
      </c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J321">
        <v>3</v>
      </c>
      <c r="BL321" s="58"/>
      <c r="BP321" t="str">
        <f t="shared" si="9"/>
        <v>FireWater</v>
      </c>
      <c r="BR321">
        <v>3</v>
      </c>
    </row>
    <row r="322" spans="1:70" x14ac:dyDescent="0.25">
      <c r="A322">
        <f t="shared" si="12"/>
        <v>293</v>
      </c>
      <c r="B322" t="s">
        <v>295</v>
      </c>
      <c r="D322" s="1" t="s">
        <v>13</v>
      </c>
      <c r="E322" s="1" t="s">
        <v>9</v>
      </c>
      <c r="F322" s="1" t="s">
        <v>50</v>
      </c>
      <c r="G322" s="1" t="s">
        <v>50</v>
      </c>
      <c r="H322" s="1" t="s">
        <v>50</v>
      </c>
      <c r="I322" s="1" t="s">
        <v>50</v>
      </c>
      <c r="J322" s="1" t="s">
        <v>50</v>
      </c>
      <c r="K322" s="1" t="s">
        <v>50</v>
      </c>
      <c r="L322" s="1"/>
      <c r="M322" s="1" t="s">
        <v>50</v>
      </c>
      <c r="N322" s="1" t="s">
        <v>50</v>
      </c>
      <c r="O322" s="1" t="s">
        <v>50</v>
      </c>
      <c r="P322" s="13" t="s">
        <v>2466</v>
      </c>
      <c r="Q322" s="1" t="s">
        <v>104</v>
      </c>
      <c r="R322" s="1" t="s">
        <v>104</v>
      </c>
      <c r="S322" s="1" t="s">
        <v>104</v>
      </c>
      <c r="T322" s="1" t="s">
        <v>104</v>
      </c>
      <c r="U322" s="1" t="s">
        <v>104</v>
      </c>
      <c r="V322" s="1" t="s">
        <v>104</v>
      </c>
      <c r="W322" s="1" t="s">
        <v>104</v>
      </c>
      <c r="X322" s="1" t="s">
        <v>726</v>
      </c>
      <c r="Y322" s="1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>
        <v>1</v>
      </c>
      <c r="AK322" s="8">
        <v>1</v>
      </c>
      <c r="AL322" s="8">
        <v>1</v>
      </c>
      <c r="AM322" s="8">
        <v>1</v>
      </c>
      <c r="AN322" s="8"/>
      <c r="AO322" s="8"/>
      <c r="AP322" s="8"/>
      <c r="AQ322" s="8"/>
      <c r="AR322" s="8"/>
      <c r="AS322" s="8"/>
      <c r="AT322" s="8"/>
      <c r="AU322" s="8"/>
      <c r="AV322" s="8"/>
      <c r="AW322" s="8">
        <v>1</v>
      </c>
      <c r="AX322" s="8"/>
      <c r="AY322" s="8"/>
      <c r="AZ322" s="8"/>
      <c r="BA322" s="8"/>
      <c r="BJ322">
        <v>4</v>
      </c>
      <c r="BL322" s="58">
        <v>1</v>
      </c>
      <c r="BP322" t="str">
        <f t="shared" ref="BP322:BP385" si="13">D322&amp;E322</f>
        <v>FireRock</v>
      </c>
      <c r="BR322">
        <v>1</v>
      </c>
    </row>
    <row r="323" spans="1:70" x14ac:dyDescent="0.25">
      <c r="A323">
        <f t="shared" si="12"/>
        <v>294</v>
      </c>
      <c r="B323" t="s">
        <v>429</v>
      </c>
      <c r="D323" s="1" t="s">
        <v>18</v>
      </c>
      <c r="E323" s="1" t="s">
        <v>8</v>
      </c>
      <c r="F323" s="1" t="s">
        <v>50</v>
      </c>
      <c r="G323" s="1" t="s">
        <v>50</v>
      </c>
      <c r="H323" s="1"/>
      <c r="I323" s="1" t="s">
        <v>50</v>
      </c>
      <c r="J323" s="1" t="s">
        <v>50</v>
      </c>
      <c r="K323" s="1" t="s">
        <v>50</v>
      </c>
      <c r="L323" s="1"/>
      <c r="M323" s="1" t="s">
        <v>50</v>
      </c>
      <c r="N323" s="1" t="s">
        <v>50</v>
      </c>
      <c r="O323" s="1" t="s">
        <v>50</v>
      </c>
      <c r="P323" s="1" t="s">
        <v>104</v>
      </c>
      <c r="Q323" s="1" t="s">
        <v>104</v>
      </c>
      <c r="R323" s="1" t="s">
        <v>104</v>
      </c>
      <c r="S323" s="1" t="s">
        <v>104</v>
      </c>
      <c r="T323" s="1" t="s">
        <v>104</v>
      </c>
      <c r="U323" s="1" t="s">
        <v>104</v>
      </c>
      <c r="V323" s="1" t="s">
        <v>104</v>
      </c>
      <c r="W323" s="1" t="s">
        <v>104</v>
      </c>
      <c r="X323" s="1" t="s">
        <v>733</v>
      </c>
      <c r="Y323" s="1"/>
      <c r="Z323" s="8"/>
      <c r="AA323" s="8"/>
      <c r="AB323" s="8"/>
      <c r="AC323" s="8"/>
      <c r="AD323" s="8"/>
      <c r="AE323" s="8">
        <v>1</v>
      </c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>
        <v>1</v>
      </c>
      <c r="AT323" s="8"/>
      <c r="AU323" s="8"/>
      <c r="AV323" s="8"/>
      <c r="AW323" s="8"/>
      <c r="AX323" s="8"/>
      <c r="AY323" s="8"/>
      <c r="AZ323" s="8"/>
      <c r="BA323" s="8"/>
      <c r="BL323" s="58"/>
      <c r="BP323" t="str">
        <f t="shared" si="13"/>
        <v>FightingGround</v>
      </c>
      <c r="BQ323" t="s">
        <v>2</v>
      </c>
      <c r="BR323">
        <v>2</v>
      </c>
    </row>
    <row r="324" spans="1:70" x14ac:dyDescent="0.25">
      <c r="A324">
        <f t="shared" si="12"/>
        <v>295</v>
      </c>
      <c r="B324" t="s">
        <v>302</v>
      </c>
      <c r="D324" s="1" t="s">
        <v>18</v>
      </c>
      <c r="E324" s="1" t="s">
        <v>8</v>
      </c>
      <c r="F324" s="1" t="s">
        <v>50</v>
      </c>
      <c r="G324" s="1" t="s">
        <v>50</v>
      </c>
      <c r="H324" s="1"/>
      <c r="I324" s="1" t="s">
        <v>50</v>
      </c>
      <c r="J324" s="1" t="s">
        <v>50</v>
      </c>
      <c r="K324" s="1" t="s">
        <v>50</v>
      </c>
      <c r="L324" s="1"/>
      <c r="M324" s="1" t="s">
        <v>104</v>
      </c>
      <c r="N324" s="1" t="s">
        <v>50</v>
      </c>
      <c r="O324" s="1" t="s">
        <v>50</v>
      </c>
      <c r="P324" s="1" t="s">
        <v>104</v>
      </c>
      <c r="Q324" s="1" t="s">
        <v>104</v>
      </c>
      <c r="R324" s="1" t="s">
        <v>104</v>
      </c>
      <c r="S324" s="1" t="s">
        <v>104</v>
      </c>
      <c r="T324" s="1" t="s">
        <v>104</v>
      </c>
      <c r="U324" s="1" t="s">
        <v>104</v>
      </c>
      <c r="V324" s="1" t="s">
        <v>104</v>
      </c>
      <c r="W324" s="1" t="s">
        <v>104</v>
      </c>
      <c r="X324" s="1" t="s">
        <v>733</v>
      </c>
      <c r="Y324" s="1"/>
      <c r="Z324" s="8"/>
      <c r="AA324" s="8"/>
      <c r="AB324" s="8"/>
      <c r="AC324" s="8"/>
      <c r="AD324" s="8"/>
      <c r="AE324" s="8">
        <v>1</v>
      </c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>
        <v>1</v>
      </c>
      <c r="AT324" s="8"/>
      <c r="AU324" s="8"/>
      <c r="AV324" s="8"/>
      <c r="AW324" s="8"/>
      <c r="AX324" s="8"/>
      <c r="AY324" s="8"/>
      <c r="AZ324" s="8"/>
      <c r="BA324" s="8"/>
      <c r="BL324" s="58"/>
      <c r="BP324" t="str">
        <f t="shared" si="13"/>
        <v>FightingGround</v>
      </c>
      <c r="BQ324" t="s">
        <v>2</v>
      </c>
      <c r="BR324">
        <v>2</v>
      </c>
    </row>
    <row r="325" spans="1:70" x14ac:dyDescent="0.25">
      <c r="A325">
        <f t="shared" si="12"/>
        <v>296</v>
      </c>
      <c r="B325" t="s">
        <v>303</v>
      </c>
      <c r="D325" s="1" t="s">
        <v>18</v>
      </c>
      <c r="E325" s="1" t="s">
        <v>8</v>
      </c>
      <c r="F325" s="1" t="s">
        <v>50</v>
      </c>
      <c r="G325" s="1" t="s">
        <v>50</v>
      </c>
      <c r="H325" s="1" t="s">
        <v>50</v>
      </c>
      <c r="I325" s="1" t="s">
        <v>50</v>
      </c>
      <c r="J325" s="1" t="s">
        <v>50</v>
      </c>
      <c r="K325" s="1" t="s">
        <v>50</v>
      </c>
      <c r="L325" s="1"/>
      <c r="M325" s="1" t="s">
        <v>104</v>
      </c>
      <c r="N325" s="1" t="s">
        <v>50</v>
      </c>
      <c r="O325" s="1" t="s">
        <v>50</v>
      </c>
      <c r="P325" s="1" t="s">
        <v>104</v>
      </c>
      <c r="Q325" s="1" t="s">
        <v>104</v>
      </c>
      <c r="R325" s="1" t="s">
        <v>104</v>
      </c>
      <c r="S325" s="1" t="s">
        <v>104</v>
      </c>
      <c r="T325" s="1" t="s">
        <v>104</v>
      </c>
      <c r="U325" s="1" t="s">
        <v>104</v>
      </c>
      <c r="V325" s="1" t="s">
        <v>104</v>
      </c>
      <c r="W325" s="1" t="s">
        <v>104</v>
      </c>
      <c r="X325" s="1" t="s">
        <v>733</v>
      </c>
      <c r="Y325" s="1"/>
      <c r="Z325" s="8"/>
      <c r="AA325" s="8"/>
      <c r="AB325" s="8"/>
      <c r="AC325" s="8"/>
      <c r="AD325" s="8"/>
      <c r="AE325" s="8">
        <v>1</v>
      </c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>
        <v>1</v>
      </c>
      <c r="AT325" s="8"/>
      <c r="AU325" s="8"/>
      <c r="AV325" s="8"/>
      <c r="AW325" s="8"/>
      <c r="AX325" s="8"/>
      <c r="AY325" s="8"/>
      <c r="AZ325" s="8"/>
      <c r="BA325" s="8"/>
      <c r="BJ325">
        <v>19</v>
      </c>
      <c r="BK325">
        <v>5</v>
      </c>
      <c r="BL325" s="58">
        <v>2</v>
      </c>
      <c r="BP325" t="str">
        <f t="shared" si="13"/>
        <v>FightingGround</v>
      </c>
      <c r="BR325">
        <v>2</v>
      </c>
    </row>
    <row r="326" spans="1:70" x14ac:dyDescent="0.25">
      <c r="A326">
        <f t="shared" si="12"/>
        <v>297</v>
      </c>
      <c r="B326" t="s">
        <v>430</v>
      </c>
      <c r="D326" s="1" t="s">
        <v>14</v>
      </c>
      <c r="E326" s="1" t="s">
        <v>8</v>
      </c>
      <c r="F326" s="1" t="s">
        <v>50</v>
      </c>
      <c r="G326" s="1" t="s">
        <v>50</v>
      </c>
      <c r="H326" s="1"/>
      <c r="I326" s="1" t="s">
        <v>50</v>
      </c>
      <c r="J326" s="1" t="s">
        <v>50</v>
      </c>
      <c r="K326" s="1" t="s">
        <v>50</v>
      </c>
      <c r="L326" s="1"/>
      <c r="M326" s="1" t="s">
        <v>50</v>
      </c>
      <c r="N326" s="1" t="s">
        <v>50</v>
      </c>
      <c r="O326" s="1" t="s">
        <v>50</v>
      </c>
      <c r="P326" s="1" t="s">
        <v>810</v>
      </c>
      <c r="Q326" s="1" t="s">
        <v>104</v>
      </c>
      <c r="R326" s="1" t="s">
        <v>104</v>
      </c>
      <c r="S326" s="1" t="s">
        <v>104</v>
      </c>
      <c r="T326" s="1" t="s">
        <v>104</v>
      </c>
      <c r="U326" s="1" t="s">
        <v>104</v>
      </c>
      <c r="V326" s="1" t="s">
        <v>104</v>
      </c>
      <c r="W326" s="1" t="s">
        <v>104</v>
      </c>
      <c r="X326" s="1" t="s">
        <v>741</v>
      </c>
      <c r="Y326" s="1"/>
      <c r="Z326" s="8"/>
      <c r="AA326" s="8"/>
      <c r="AB326" s="8"/>
      <c r="AC326" s="8"/>
      <c r="AD326" s="8"/>
      <c r="AE326" s="8"/>
      <c r="AF326" s="8"/>
      <c r="AG326" s="8"/>
      <c r="AH326" s="8">
        <v>1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>
        <v>1</v>
      </c>
      <c r="AW326" s="8"/>
      <c r="AX326" s="8"/>
      <c r="AY326" s="8"/>
      <c r="AZ326" s="8"/>
      <c r="BA326" s="8"/>
      <c r="BB326" s="1">
        <v>1</v>
      </c>
      <c r="BL326" s="58"/>
      <c r="BP326" t="str">
        <f t="shared" si="13"/>
        <v>GhostGround</v>
      </c>
      <c r="BQ326" t="s">
        <v>2</v>
      </c>
      <c r="BR326">
        <v>1</v>
      </c>
    </row>
    <row r="327" spans="1:70" x14ac:dyDescent="0.25">
      <c r="A327">
        <f t="shared" si="12"/>
        <v>298</v>
      </c>
      <c r="B327" t="s">
        <v>431</v>
      </c>
      <c r="D327" s="1" t="s">
        <v>14</v>
      </c>
      <c r="E327" s="1" t="s">
        <v>8</v>
      </c>
      <c r="F327" s="1" t="s">
        <v>50</v>
      </c>
      <c r="G327" s="1" t="s">
        <v>50</v>
      </c>
      <c r="H327" s="1" t="s">
        <v>50</v>
      </c>
      <c r="I327" s="1" t="s">
        <v>50</v>
      </c>
      <c r="J327" s="1" t="s">
        <v>50</v>
      </c>
      <c r="K327" s="1" t="s">
        <v>50</v>
      </c>
      <c r="L327" s="1"/>
      <c r="M327" s="1" t="s">
        <v>104</v>
      </c>
      <c r="N327" s="1" t="s">
        <v>50</v>
      </c>
      <c r="O327" s="1" t="s">
        <v>50</v>
      </c>
      <c r="P327" s="1" t="s">
        <v>810</v>
      </c>
      <c r="Q327" s="1" t="s">
        <v>50</v>
      </c>
      <c r="R327" s="1" t="s">
        <v>50</v>
      </c>
      <c r="S327" s="1" t="s">
        <v>50</v>
      </c>
      <c r="T327" s="1" t="s">
        <v>50</v>
      </c>
      <c r="U327" s="1" t="s">
        <v>50</v>
      </c>
      <c r="V327" s="1" t="s">
        <v>50</v>
      </c>
      <c r="W327" s="1" t="s">
        <v>50</v>
      </c>
      <c r="X327" s="1" t="s">
        <v>2230</v>
      </c>
      <c r="Y327" s="1"/>
      <c r="Z327" s="8"/>
      <c r="AA327" s="8"/>
      <c r="AB327" s="8"/>
      <c r="AC327" s="8"/>
      <c r="AD327" s="8"/>
      <c r="AE327" s="8"/>
      <c r="AF327" s="8"/>
      <c r="AG327" s="8"/>
      <c r="AH327" s="8">
        <v>1</v>
      </c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>
        <v>1</v>
      </c>
      <c r="AW327" s="8"/>
      <c r="AX327" s="8"/>
      <c r="AY327" s="8"/>
      <c r="AZ327" s="8"/>
      <c r="BA327" s="8"/>
      <c r="BB327" s="1"/>
      <c r="BJ327">
        <v>3</v>
      </c>
      <c r="BL327" s="58">
        <v>1</v>
      </c>
      <c r="BP327" t="str">
        <f t="shared" si="13"/>
        <v>GhostGround</v>
      </c>
      <c r="BR327">
        <v>1</v>
      </c>
    </row>
    <row r="328" spans="1:70" x14ac:dyDescent="0.25">
      <c r="A328">
        <f t="shared" si="12"/>
        <v>299</v>
      </c>
      <c r="B328" t="s">
        <v>308</v>
      </c>
      <c r="D328" s="1" t="s">
        <v>10</v>
      </c>
      <c r="E328" s="1" t="s">
        <v>4</v>
      </c>
      <c r="F328" s="1" t="s">
        <v>50</v>
      </c>
      <c r="G328" s="1" t="s">
        <v>50</v>
      </c>
      <c r="H328" s="1"/>
      <c r="I328" s="1" t="s">
        <v>50</v>
      </c>
      <c r="J328" s="1" t="s">
        <v>50</v>
      </c>
      <c r="K328" s="1" t="s">
        <v>50</v>
      </c>
      <c r="L328" s="1"/>
      <c r="M328" s="1" t="s">
        <v>50</v>
      </c>
      <c r="N328" s="1" t="s">
        <v>50</v>
      </c>
      <c r="O328" s="1" t="s">
        <v>50</v>
      </c>
      <c r="P328" s="1" t="s">
        <v>822</v>
      </c>
      <c r="Q328" s="1" t="s">
        <v>104</v>
      </c>
      <c r="R328" s="1" t="s">
        <v>104</v>
      </c>
      <c r="S328" s="1" t="s">
        <v>104</v>
      </c>
      <c r="T328" s="1" t="s">
        <v>104</v>
      </c>
      <c r="U328" s="1" t="s">
        <v>104</v>
      </c>
      <c r="V328" s="1" t="s">
        <v>104</v>
      </c>
      <c r="W328" s="1" t="s">
        <v>104</v>
      </c>
      <c r="X328" s="1" t="s">
        <v>2436</v>
      </c>
      <c r="Y328" s="1"/>
      <c r="Z328" s="8"/>
      <c r="AA328" s="8">
        <v>1</v>
      </c>
      <c r="AB328" s="8">
        <v>1</v>
      </c>
      <c r="AC328" s="8">
        <v>1</v>
      </c>
      <c r="AD328" s="8"/>
      <c r="AE328" s="8"/>
      <c r="AF328" s="8"/>
      <c r="AG328" s="8"/>
      <c r="AH328" s="8"/>
      <c r="AI328" s="8">
        <v>1</v>
      </c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>
        <v>1</v>
      </c>
      <c r="BA328" s="8"/>
      <c r="BB328" s="1"/>
      <c r="BL328" s="58"/>
      <c r="BP328" t="str">
        <f t="shared" si="13"/>
        <v>PoisonPsychic</v>
      </c>
      <c r="BQ328" t="s">
        <v>2</v>
      </c>
      <c r="BR328">
        <v>4</v>
      </c>
    </row>
    <row r="329" spans="1:70" x14ac:dyDescent="0.25">
      <c r="A329">
        <f t="shared" si="12"/>
        <v>300</v>
      </c>
      <c r="B329" t="s">
        <v>309</v>
      </c>
      <c r="D329" s="1" t="s">
        <v>10</v>
      </c>
      <c r="E329" s="1" t="s">
        <v>4</v>
      </c>
      <c r="F329" s="1" t="s">
        <v>50</v>
      </c>
      <c r="G329" s="1" t="s">
        <v>50</v>
      </c>
      <c r="H329" s="1" t="s">
        <v>50</v>
      </c>
      <c r="I329" s="1" t="s">
        <v>50</v>
      </c>
      <c r="J329" s="1" t="s">
        <v>50</v>
      </c>
      <c r="K329" s="1" t="s">
        <v>50</v>
      </c>
      <c r="L329" s="1"/>
      <c r="M329" s="1" t="s">
        <v>104</v>
      </c>
      <c r="N329" s="1" t="s">
        <v>50</v>
      </c>
      <c r="O329" s="1" t="s">
        <v>50</v>
      </c>
      <c r="P329" s="1" t="s">
        <v>822</v>
      </c>
      <c r="Q329" s="1" t="s">
        <v>104</v>
      </c>
      <c r="R329" s="1" t="s">
        <v>104</v>
      </c>
      <c r="S329" s="1" t="s">
        <v>104</v>
      </c>
      <c r="T329" s="1" t="s">
        <v>104</v>
      </c>
      <c r="U329" s="1" t="s">
        <v>104</v>
      </c>
      <c r="V329" s="1" t="s">
        <v>104</v>
      </c>
      <c r="W329" s="1" t="s">
        <v>104</v>
      </c>
      <c r="X329" s="1" t="s">
        <v>2436</v>
      </c>
      <c r="Y329" s="1"/>
      <c r="Z329" s="8"/>
      <c r="AA329" s="8">
        <v>1</v>
      </c>
      <c r="AB329" s="8">
        <v>1</v>
      </c>
      <c r="AC329" s="8">
        <v>1</v>
      </c>
      <c r="AD329" s="8"/>
      <c r="AE329" s="8"/>
      <c r="AF329" s="8"/>
      <c r="AG329" s="8"/>
      <c r="AH329" s="8"/>
      <c r="AI329" s="8">
        <v>1</v>
      </c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>
        <v>1</v>
      </c>
      <c r="BA329" s="8"/>
      <c r="BB329" s="1"/>
      <c r="BJ329">
        <v>3</v>
      </c>
      <c r="BK329">
        <v>1</v>
      </c>
      <c r="BL329" s="58"/>
      <c r="BP329" t="str">
        <f t="shared" si="13"/>
        <v>PoisonPsychic</v>
      </c>
      <c r="BR329">
        <v>4</v>
      </c>
    </row>
    <row r="330" spans="1:70" x14ac:dyDescent="0.25">
      <c r="A330">
        <f t="shared" si="12"/>
        <v>301</v>
      </c>
      <c r="B330" t="s">
        <v>310</v>
      </c>
      <c r="D330" s="1" t="s">
        <v>7</v>
      </c>
      <c r="E330" s="1" t="s">
        <v>10</v>
      </c>
      <c r="F330" s="1" t="s">
        <v>50</v>
      </c>
      <c r="G330" s="1" t="s">
        <v>50</v>
      </c>
      <c r="H330" s="1"/>
      <c r="I330" s="1" t="s">
        <v>50</v>
      </c>
      <c r="J330" s="1" t="s">
        <v>50</v>
      </c>
      <c r="K330" s="1" t="s">
        <v>50</v>
      </c>
      <c r="L330" s="1"/>
      <c r="M330" s="1" t="s">
        <v>50</v>
      </c>
      <c r="N330" s="1" t="s">
        <v>50</v>
      </c>
      <c r="O330" s="1" t="s">
        <v>50</v>
      </c>
      <c r="P330" s="1" t="s">
        <v>810</v>
      </c>
      <c r="Q330" s="1" t="s">
        <v>104</v>
      </c>
      <c r="R330" s="1" t="s">
        <v>104</v>
      </c>
      <c r="S330" s="1" t="s">
        <v>104</v>
      </c>
      <c r="T330" s="1" t="s">
        <v>104</v>
      </c>
      <c r="U330" s="1" t="s">
        <v>104</v>
      </c>
      <c r="V330" s="1" t="s">
        <v>104</v>
      </c>
      <c r="W330" s="1" t="s">
        <v>104</v>
      </c>
      <c r="X330" s="1" t="s">
        <v>727</v>
      </c>
      <c r="Y330" s="1"/>
      <c r="Z330" s="8"/>
      <c r="AA330" s="8"/>
      <c r="AB330" s="8">
        <v>1</v>
      </c>
      <c r="AC330" s="8"/>
      <c r="AD330" s="8">
        <v>1</v>
      </c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>
        <v>1</v>
      </c>
      <c r="AT330" s="8">
        <v>1</v>
      </c>
      <c r="AU330" s="8"/>
      <c r="AV330" s="8"/>
      <c r="AW330" s="8"/>
      <c r="AX330" s="8"/>
      <c r="AY330" s="8">
        <v>1</v>
      </c>
      <c r="AZ330" s="8"/>
      <c r="BA330" s="8"/>
      <c r="BB330" s="1"/>
      <c r="BL330" s="58"/>
      <c r="BP330" t="str">
        <f t="shared" si="13"/>
        <v>FairyPoison</v>
      </c>
      <c r="BQ330" t="s">
        <v>2</v>
      </c>
      <c r="BR330">
        <v>6</v>
      </c>
    </row>
    <row r="331" spans="1:70" x14ac:dyDescent="0.25">
      <c r="A331">
        <f t="shared" si="12"/>
        <v>302</v>
      </c>
      <c r="B331" t="s">
        <v>311</v>
      </c>
      <c r="D331" s="1" t="s">
        <v>7</v>
      </c>
      <c r="E331" s="1" t="s">
        <v>10</v>
      </c>
      <c r="F331" s="1" t="s">
        <v>50</v>
      </c>
      <c r="G331" s="1" t="s">
        <v>50</v>
      </c>
      <c r="H331" s="1" t="s">
        <v>50</v>
      </c>
      <c r="I331" s="1" t="s">
        <v>50</v>
      </c>
      <c r="J331" s="1" t="s">
        <v>50</v>
      </c>
      <c r="K331" s="1" t="s">
        <v>50</v>
      </c>
      <c r="L331" s="1"/>
      <c r="M331" s="1" t="s">
        <v>104</v>
      </c>
      <c r="N331" s="1" t="s">
        <v>50</v>
      </c>
      <c r="O331" s="1" t="s">
        <v>50</v>
      </c>
      <c r="P331" s="1" t="s">
        <v>810</v>
      </c>
      <c r="Q331" s="1" t="s">
        <v>104</v>
      </c>
      <c r="R331" s="1" t="s">
        <v>104</v>
      </c>
      <c r="S331" s="1" t="s">
        <v>104</v>
      </c>
      <c r="T331" s="1" t="s">
        <v>104</v>
      </c>
      <c r="U331" s="1" t="s">
        <v>104</v>
      </c>
      <c r="V331" s="1" t="s">
        <v>104</v>
      </c>
      <c r="W331" s="1" t="s">
        <v>104</v>
      </c>
      <c r="X331" s="1" t="s">
        <v>2175</v>
      </c>
      <c r="Y331" s="1"/>
      <c r="Z331" s="8"/>
      <c r="AA331" s="8"/>
      <c r="AB331" s="8">
        <v>1</v>
      </c>
      <c r="AC331" s="8"/>
      <c r="AD331" s="8">
        <v>1</v>
      </c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>
        <v>1</v>
      </c>
      <c r="AT331" s="8">
        <v>1</v>
      </c>
      <c r="AU331" s="8"/>
      <c r="AV331" s="8"/>
      <c r="AW331" s="8"/>
      <c r="AX331" s="8"/>
      <c r="AY331" s="8">
        <v>1</v>
      </c>
      <c r="AZ331" s="8"/>
      <c r="BA331" s="8"/>
      <c r="BB331" s="1"/>
      <c r="BJ331">
        <v>1</v>
      </c>
      <c r="BL331" s="58"/>
      <c r="BP331" t="str">
        <f t="shared" si="13"/>
        <v>FairyPoison</v>
      </c>
      <c r="BR331">
        <v>6</v>
      </c>
    </row>
    <row r="332" spans="1:70" x14ac:dyDescent="0.25">
      <c r="A332">
        <f t="shared" si="12"/>
        <v>303</v>
      </c>
      <c r="B332" t="s">
        <v>432</v>
      </c>
      <c r="D332" s="1" t="s">
        <v>17</v>
      </c>
      <c r="E332" s="1" t="s">
        <v>13</v>
      </c>
      <c r="F332" s="1" t="s">
        <v>50</v>
      </c>
      <c r="G332" s="1" t="s">
        <v>50</v>
      </c>
      <c r="H332" s="1" t="s">
        <v>50</v>
      </c>
      <c r="I332" s="1" t="s">
        <v>50</v>
      </c>
      <c r="J332" s="1" t="s">
        <v>50</v>
      </c>
      <c r="K332" s="1" t="s">
        <v>50</v>
      </c>
      <c r="L332" s="1" t="s">
        <v>50</v>
      </c>
      <c r="M332" s="1" t="s">
        <v>50</v>
      </c>
      <c r="N332" s="1" t="s">
        <v>50</v>
      </c>
      <c r="O332" s="1" t="s">
        <v>50</v>
      </c>
      <c r="P332" s="1" t="s">
        <v>104</v>
      </c>
      <c r="Q332" s="1" t="s">
        <v>104</v>
      </c>
      <c r="R332" s="1" t="s">
        <v>104</v>
      </c>
      <c r="S332" s="1" t="s">
        <v>104</v>
      </c>
      <c r="T332" s="1" t="s">
        <v>104</v>
      </c>
      <c r="U332" s="1" t="s">
        <v>104</v>
      </c>
      <c r="V332" s="1" t="s">
        <v>104</v>
      </c>
      <c r="W332" s="1" t="s">
        <v>104</v>
      </c>
      <c r="X332" s="1" t="s">
        <v>2437</v>
      </c>
      <c r="Y332" s="1"/>
      <c r="Z332" s="8"/>
      <c r="AA332" s="8">
        <v>1</v>
      </c>
      <c r="AB332" s="8">
        <v>1</v>
      </c>
      <c r="AC332" s="8"/>
      <c r="AD332" s="8">
        <v>1</v>
      </c>
      <c r="AE332" s="8"/>
      <c r="AF332" s="8">
        <v>1</v>
      </c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>
        <v>1</v>
      </c>
      <c r="AW332" s="8">
        <v>1</v>
      </c>
      <c r="AX332" s="8">
        <v>1</v>
      </c>
      <c r="AY332" s="8">
        <v>1</v>
      </c>
      <c r="AZ332" s="8">
        <v>1</v>
      </c>
      <c r="BA332" s="8"/>
      <c r="BB332" s="1"/>
      <c r="BJ332">
        <v>3</v>
      </c>
      <c r="BL332" s="58"/>
      <c r="BP332" t="str">
        <f t="shared" si="13"/>
        <v>BugFire</v>
      </c>
      <c r="BR332">
        <v>5</v>
      </c>
    </row>
    <row r="333" spans="1:70" x14ac:dyDescent="0.25">
      <c r="A333">
        <f t="shared" si="12"/>
        <v>304</v>
      </c>
      <c r="B333" t="s">
        <v>312</v>
      </c>
      <c r="D333" s="1" t="s">
        <v>17</v>
      </c>
      <c r="E333" s="1" t="s">
        <v>15</v>
      </c>
      <c r="F333" s="1" t="s">
        <v>50</v>
      </c>
      <c r="G333" s="1" t="s">
        <v>50</v>
      </c>
      <c r="H333" s="1"/>
      <c r="I333" s="1" t="s">
        <v>50</v>
      </c>
      <c r="J333" s="1" t="s">
        <v>50</v>
      </c>
      <c r="K333" s="1" t="s">
        <v>50</v>
      </c>
      <c r="L333" s="1" t="s">
        <v>50</v>
      </c>
      <c r="M333" s="1" t="s">
        <v>50</v>
      </c>
      <c r="N333" s="1" t="s">
        <v>50</v>
      </c>
      <c r="O333" s="1" t="s">
        <v>50</v>
      </c>
      <c r="P333" s="1" t="s">
        <v>810</v>
      </c>
      <c r="Q333" s="1" t="s">
        <v>104</v>
      </c>
      <c r="R333" s="1" t="s">
        <v>104</v>
      </c>
      <c r="S333" s="1" t="s">
        <v>104</v>
      </c>
      <c r="T333" s="1" t="s">
        <v>104</v>
      </c>
      <c r="U333" s="1" t="s">
        <v>104</v>
      </c>
      <c r="V333" s="1" t="s">
        <v>104</v>
      </c>
      <c r="W333" s="1" t="s">
        <v>104</v>
      </c>
      <c r="X333" s="1" t="s">
        <v>727</v>
      </c>
      <c r="Y333" s="1"/>
      <c r="Z333" s="8"/>
      <c r="AA333" s="8">
        <v>1</v>
      </c>
      <c r="AB333" s="8">
        <v>1</v>
      </c>
      <c r="AC333" s="8">
        <v>1</v>
      </c>
      <c r="AD333" s="8"/>
      <c r="AE333" s="8"/>
      <c r="AF333" s="8"/>
      <c r="AG333" s="8"/>
      <c r="AH333" s="8"/>
      <c r="AI333" s="8">
        <v>1</v>
      </c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>
        <v>1</v>
      </c>
      <c r="BA333" s="8"/>
      <c r="BB333" s="1"/>
      <c r="BL333" s="58"/>
      <c r="BP333" t="str">
        <f t="shared" si="13"/>
        <v>BugWater</v>
      </c>
      <c r="BQ333" t="s">
        <v>2</v>
      </c>
      <c r="BR333">
        <v>2</v>
      </c>
    </row>
    <row r="334" spans="1:70" x14ac:dyDescent="0.25">
      <c r="A334">
        <f t="shared" si="12"/>
        <v>305</v>
      </c>
      <c r="B334" t="s">
        <v>313</v>
      </c>
      <c r="D334" s="1" t="s">
        <v>17</v>
      </c>
      <c r="E334" s="1" t="s">
        <v>15</v>
      </c>
      <c r="F334" s="1" t="s">
        <v>50</v>
      </c>
      <c r="G334" s="1" t="s">
        <v>50</v>
      </c>
      <c r="H334" s="1" t="s">
        <v>50</v>
      </c>
      <c r="I334" s="1" t="s">
        <v>50</v>
      </c>
      <c r="J334" s="1" t="s">
        <v>50</v>
      </c>
      <c r="K334" s="1" t="s">
        <v>50</v>
      </c>
      <c r="L334" s="1"/>
      <c r="M334" s="1" t="s">
        <v>104</v>
      </c>
      <c r="N334" s="1" t="s">
        <v>50</v>
      </c>
      <c r="O334" s="1" t="s">
        <v>50</v>
      </c>
      <c r="P334" s="1" t="s">
        <v>810</v>
      </c>
      <c r="Q334" s="1" t="s">
        <v>104</v>
      </c>
      <c r="R334" s="1" t="s">
        <v>104</v>
      </c>
      <c r="S334" s="1" t="s">
        <v>104</v>
      </c>
      <c r="T334" s="1" t="s">
        <v>104</v>
      </c>
      <c r="U334" s="1" t="s">
        <v>104</v>
      </c>
      <c r="V334" s="1" t="s">
        <v>104</v>
      </c>
      <c r="W334" s="1" t="s">
        <v>104</v>
      </c>
      <c r="X334" s="1" t="s">
        <v>727</v>
      </c>
      <c r="Y334" s="1"/>
      <c r="Z334" s="8"/>
      <c r="AA334" s="8">
        <v>1</v>
      </c>
      <c r="AB334" s="8">
        <v>1</v>
      </c>
      <c r="AC334" s="8">
        <v>1</v>
      </c>
      <c r="AD334" s="8"/>
      <c r="AE334" s="8"/>
      <c r="AF334" s="8"/>
      <c r="AG334" s="8"/>
      <c r="AH334" s="8"/>
      <c r="AI334" s="8">
        <v>1</v>
      </c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>
        <v>1</v>
      </c>
      <c r="BA334" s="8"/>
      <c r="BB334" s="1"/>
      <c r="BK334">
        <v>1</v>
      </c>
      <c r="BL334" s="58"/>
      <c r="BP334" t="str">
        <f t="shared" si="13"/>
        <v>BugWater</v>
      </c>
      <c r="BR334">
        <v>4</v>
      </c>
    </row>
    <row r="335" spans="1:70" x14ac:dyDescent="0.25">
      <c r="A335">
        <f t="shared" si="12"/>
        <v>306</v>
      </c>
      <c r="B335" t="s">
        <v>314</v>
      </c>
      <c r="D335" s="1" t="s">
        <v>18</v>
      </c>
      <c r="E335" s="1">
        <v>0</v>
      </c>
      <c r="F335" s="1" t="s">
        <v>50</v>
      </c>
      <c r="G335" s="1" t="s">
        <v>50</v>
      </c>
      <c r="H335" s="1"/>
      <c r="I335" s="1" t="s">
        <v>50</v>
      </c>
      <c r="J335" s="1" t="s">
        <v>50</v>
      </c>
      <c r="K335" s="1" t="s">
        <v>50</v>
      </c>
      <c r="L335" s="1" t="s">
        <v>50</v>
      </c>
      <c r="M335" s="1" t="s">
        <v>50</v>
      </c>
      <c r="N335" s="1" t="s">
        <v>50</v>
      </c>
      <c r="O335" s="1" t="s">
        <v>50</v>
      </c>
      <c r="P335" s="13" t="s">
        <v>824</v>
      </c>
      <c r="Q335" s="1" t="s">
        <v>104</v>
      </c>
      <c r="R335" s="1" t="s">
        <v>104</v>
      </c>
      <c r="S335" s="1" t="s">
        <v>104</v>
      </c>
      <c r="T335" s="1" t="s">
        <v>104</v>
      </c>
      <c r="U335" s="1" t="s">
        <v>104</v>
      </c>
      <c r="V335" s="1" t="s">
        <v>104</v>
      </c>
      <c r="W335" s="1" t="s">
        <v>104</v>
      </c>
      <c r="X335" s="1" t="s">
        <v>739</v>
      </c>
      <c r="Y335" s="1"/>
      <c r="Z335" s="8"/>
      <c r="AA335" s="8"/>
      <c r="AB335" s="8"/>
      <c r="AC335" s="8"/>
      <c r="AD335" s="8"/>
      <c r="AE335" s="8"/>
      <c r="AF335" s="8"/>
      <c r="AG335" s="8">
        <v>1</v>
      </c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>
        <v>1</v>
      </c>
      <c r="AT335" s="8"/>
      <c r="AU335" s="8"/>
      <c r="AV335" s="8"/>
      <c r="AW335" s="8"/>
      <c r="AX335" s="8"/>
      <c r="AY335" s="8"/>
      <c r="AZ335" s="8"/>
      <c r="BA335" s="8"/>
      <c r="BB335" s="1"/>
      <c r="BL335" s="58"/>
      <c r="BP335" t="str">
        <f t="shared" si="13"/>
        <v>Fighting0</v>
      </c>
      <c r="BQ335" t="s">
        <v>2</v>
      </c>
      <c r="BR335">
        <v>3</v>
      </c>
    </row>
    <row r="336" spans="1:70" x14ac:dyDescent="0.25">
      <c r="A336">
        <f t="shared" si="12"/>
        <v>307</v>
      </c>
      <c r="B336" t="s">
        <v>315</v>
      </c>
      <c r="D336" s="1" t="s">
        <v>18</v>
      </c>
      <c r="E336" s="1">
        <v>0</v>
      </c>
      <c r="F336" s="1" t="s">
        <v>50</v>
      </c>
      <c r="G336" s="1" t="s">
        <v>50</v>
      </c>
      <c r="H336" s="1"/>
      <c r="I336" s="1" t="s">
        <v>50</v>
      </c>
      <c r="J336" s="1" t="s">
        <v>50</v>
      </c>
      <c r="K336" s="1" t="s">
        <v>50</v>
      </c>
      <c r="L336" s="1" t="s">
        <v>50</v>
      </c>
      <c r="M336" s="1" t="s">
        <v>104</v>
      </c>
      <c r="N336" s="1" t="s">
        <v>50</v>
      </c>
      <c r="O336" s="1" t="s">
        <v>50</v>
      </c>
      <c r="P336" s="13" t="s">
        <v>824</v>
      </c>
      <c r="Q336" s="1" t="s">
        <v>104</v>
      </c>
      <c r="R336" s="1" t="s">
        <v>104</v>
      </c>
      <c r="S336" s="1" t="s">
        <v>104</v>
      </c>
      <c r="T336" s="1" t="s">
        <v>104</v>
      </c>
      <c r="U336" s="1" t="s">
        <v>104</v>
      </c>
      <c r="V336" s="1" t="s">
        <v>104</v>
      </c>
      <c r="W336" s="1" t="s">
        <v>104</v>
      </c>
      <c r="X336" s="1" t="s">
        <v>739</v>
      </c>
      <c r="Y336" s="1"/>
      <c r="Z336" s="8"/>
      <c r="AA336" s="8"/>
      <c r="AB336" s="8"/>
      <c r="AC336" s="8"/>
      <c r="AD336" s="8"/>
      <c r="AE336" s="8"/>
      <c r="AF336" s="8"/>
      <c r="AG336" s="8">
        <v>1</v>
      </c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>
        <v>1</v>
      </c>
      <c r="AT336" s="8"/>
      <c r="AU336" s="8"/>
      <c r="AV336" s="8"/>
      <c r="AW336" s="8"/>
      <c r="AX336" s="8"/>
      <c r="AY336" s="8"/>
      <c r="AZ336" s="8"/>
      <c r="BA336" s="8"/>
      <c r="BB336" s="1"/>
      <c r="BL336" s="58"/>
      <c r="BP336" t="str">
        <f t="shared" si="13"/>
        <v>Fighting0</v>
      </c>
      <c r="BQ336" t="s">
        <v>2</v>
      </c>
      <c r="BR336">
        <v>2</v>
      </c>
    </row>
    <row r="337" spans="1:70" x14ac:dyDescent="0.25">
      <c r="A337">
        <f t="shared" si="12"/>
        <v>308</v>
      </c>
      <c r="B337" t="s">
        <v>316</v>
      </c>
      <c r="D337" s="1" t="s">
        <v>18</v>
      </c>
      <c r="E337" s="1">
        <v>0</v>
      </c>
      <c r="F337" s="1" t="s">
        <v>50</v>
      </c>
      <c r="G337" s="1" t="s">
        <v>50</v>
      </c>
      <c r="H337" s="1" t="s">
        <v>50</v>
      </c>
      <c r="I337" s="1" t="s">
        <v>50</v>
      </c>
      <c r="J337" s="1" t="s">
        <v>50</v>
      </c>
      <c r="K337" s="1" t="s">
        <v>50</v>
      </c>
      <c r="L337" s="1"/>
      <c r="M337" s="1" t="s">
        <v>104</v>
      </c>
      <c r="N337" s="1" t="s">
        <v>50</v>
      </c>
      <c r="O337" s="1" t="s">
        <v>50</v>
      </c>
      <c r="P337" s="13" t="s">
        <v>824</v>
      </c>
      <c r="Q337" s="1" t="s">
        <v>50</v>
      </c>
      <c r="R337" s="1" t="s">
        <v>50</v>
      </c>
      <c r="S337" s="1" t="s">
        <v>50</v>
      </c>
      <c r="T337" s="1" t="s">
        <v>50</v>
      </c>
      <c r="U337" s="1" t="s">
        <v>50</v>
      </c>
      <c r="V337" s="1" t="s">
        <v>50</v>
      </c>
      <c r="W337" s="1" t="s">
        <v>50</v>
      </c>
      <c r="X337" s="1" t="s">
        <v>739</v>
      </c>
      <c r="Y337" s="1"/>
      <c r="Z337" s="8"/>
      <c r="AA337" s="8"/>
      <c r="AB337" s="8"/>
      <c r="AC337" s="8"/>
      <c r="AD337" s="8"/>
      <c r="AE337" s="8"/>
      <c r="AF337" s="8"/>
      <c r="AG337" s="8">
        <v>1</v>
      </c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>
        <v>1</v>
      </c>
      <c r="AT337" s="8"/>
      <c r="AU337" s="8"/>
      <c r="AV337" s="8"/>
      <c r="AW337" s="8"/>
      <c r="AX337" s="8"/>
      <c r="AY337" s="8"/>
      <c r="AZ337" s="8"/>
      <c r="BA337" s="8"/>
      <c r="BB337" s="1"/>
      <c r="BJ337">
        <v>2</v>
      </c>
      <c r="BK337">
        <v>1</v>
      </c>
      <c r="BL337" s="58"/>
      <c r="BP337" t="str">
        <f t="shared" si="13"/>
        <v>Fighting0</v>
      </c>
      <c r="BR337">
        <v>2</v>
      </c>
    </row>
    <row r="338" spans="1:70" x14ac:dyDescent="0.25">
      <c r="A338">
        <f t="shared" si="12"/>
        <v>309</v>
      </c>
      <c r="B338" t="s">
        <v>318</v>
      </c>
      <c r="D338" s="1" t="s">
        <v>15</v>
      </c>
      <c r="E338" s="1" t="s">
        <v>7</v>
      </c>
      <c r="F338" s="1" t="s">
        <v>50</v>
      </c>
      <c r="G338" s="1" t="s">
        <v>50</v>
      </c>
      <c r="H338" s="1" t="s">
        <v>50</v>
      </c>
      <c r="I338" s="1" t="s">
        <v>50</v>
      </c>
      <c r="J338" s="1" t="s">
        <v>50</v>
      </c>
      <c r="K338" s="1" t="s">
        <v>50</v>
      </c>
      <c r="L338" s="1" t="s">
        <v>50</v>
      </c>
      <c r="M338" s="1" t="s">
        <v>50</v>
      </c>
      <c r="N338" s="1" t="s">
        <v>50</v>
      </c>
      <c r="O338" s="1" t="s">
        <v>50</v>
      </c>
      <c r="P338" s="1" t="s">
        <v>104</v>
      </c>
      <c r="Q338" s="1" t="s">
        <v>104</v>
      </c>
      <c r="R338" s="1" t="s">
        <v>104</v>
      </c>
      <c r="S338" s="1" t="s">
        <v>104</v>
      </c>
      <c r="T338" s="1" t="s">
        <v>104</v>
      </c>
      <c r="U338" s="1" t="s">
        <v>104</v>
      </c>
      <c r="V338" s="1" t="s">
        <v>104</v>
      </c>
      <c r="W338" s="1" t="s">
        <v>104</v>
      </c>
      <c r="X338" s="1" t="s">
        <v>729</v>
      </c>
      <c r="Y338" s="1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>
        <v>1</v>
      </c>
      <c r="AL338" s="8">
        <v>1</v>
      </c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1"/>
      <c r="BJ338">
        <v>3</v>
      </c>
      <c r="BL338" s="58"/>
      <c r="BP338" t="str">
        <f t="shared" si="13"/>
        <v>WaterFairy</v>
      </c>
      <c r="BR338">
        <v>7</v>
      </c>
    </row>
    <row r="339" spans="1:70" x14ac:dyDescent="0.25">
      <c r="A339">
        <f t="shared" si="12"/>
        <v>310</v>
      </c>
      <c r="B339" t="s">
        <v>321</v>
      </c>
      <c r="D339" s="1" t="s">
        <v>13</v>
      </c>
      <c r="E339" s="1" t="s">
        <v>16</v>
      </c>
      <c r="F339" s="1" t="s">
        <v>50</v>
      </c>
      <c r="G339" s="1" t="s">
        <v>50</v>
      </c>
      <c r="H339" s="1"/>
      <c r="I339" s="1" t="s">
        <v>50</v>
      </c>
      <c r="J339" s="1" t="s">
        <v>50</v>
      </c>
      <c r="K339" s="1" t="s">
        <v>50</v>
      </c>
      <c r="L339" s="1"/>
      <c r="M339" s="1" t="s">
        <v>50</v>
      </c>
      <c r="N339" s="1" t="s">
        <v>50</v>
      </c>
      <c r="O339" s="1" t="s">
        <v>50</v>
      </c>
      <c r="P339" s="1" t="s">
        <v>104</v>
      </c>
      <c r="Q339" s="1" t="s">
        <v>104</v>
      </c>
      <c r="R339" s="1" t="s">
        <v>104</v>
      </c>
      <c r="S339" s="1" t="s">
        <v>104</v>
      </c>
      <c r="T339" s="1" t="s">
        <v>104</v>
      </c>
      <c r="U339" s="1" t="s">
        <v>104</v>
      </c>
      <c r="V339" s="1" t="s">
        <v>104</v>
      </c>
      <c r="W339" s="1" t="s">
        <v>104</v>
      </c>
      <c r="X339" s="1" t="s">
        <v>729</v>
      </c>
      <c r="Y339" s="1"/>
      <c r="Z339" s="8">
        <v>1</v>
      </c>
      <c r="AA339" s="8">
        <v>1</v>
      </c>
      <c r="AB339" s="8">
        <v>1</v>
      </c>
      <c r="AC339" s="8"/>
      <c r="AD339" s="8"/>
      <c r="AE339" s="8"/>
      <c r="AF339" s="8"/>
      <c r="AG339" s="8">
        <v>1</v>
      </c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>
        <v>1</v>
      </c>
      <c r="AY339" s="8">
        <v>1</v>
      </c>
      <c r="AZ339" s="8">
        <v>1</v>
      </c>
      <c r="BA339" s="8"/>
      <c r="BB339" s="1"/>
      <c r="BL339" s="58"/>
      <c r="BP339" t="str">
        <f t="shared" si="13"/>
        <v>FireFlying</v>
      </c>
      <c r="BQ339" t="s">
        <v>2</v>
      </c>
      <c r="BR339">
        <v>7</v>
      </c>
    </row>
    <row r="340" spans="1:70" x14ac:dyDescent="0.25">
      <c r="A340">
        <f t="shared" si="12"/>
        <v>311</v>
      </c>
      <c r="B340" t="s">
        <v>434</v>
      </c>
      <c r="D340" s="1" t="s">
        <v>13</v>
      </c>
      <c r="E340" s="1" t="s">
        <v>16</v>
      </c>
      <c r="F340" s="1" t="s">
        <v>50</v>
      </c>
      <c r="G340" s="1" t="s">
        <v>50</v>
      </c>
      <c r="H340" s="1"/>
      <c r="I340" s="1" t="s">
        <v>50</v>
      </c>
      <c r="J340" s="1" t="s">
        <v>50</v>
      </c>
      <c r="K340" s="1" t="s">
        <v>50</v>
      </c>
      <c r="L340" s="1"/>
      <c r="M340" s="1" t="s">
        <v>104</v>
      </c>
      <c r="N340" s="1" t="s">
        <v>50</v>
      </c>
      <c r="O340" s="1" t="s">
        <v>50</v>
      </c>
      <c r="P340" s="1" t="s">
        <v>104</v>
      </c>
      <c r="Q340" s="1" t="s">
        <v>104</v>
      </c>
      <c r="R340" s="1" t="s">
        <v>104</v>
      </c>
      <c r="S340" s="1" t="s">
        <v>104</v>
      </c>
      <c r="T340" s="1" t="s">
        <v>104</v>
      </c>
      <c r="U340" s="1" t="s">
        <v>104</v>
      </c>
      <c r="V340" s="1" t="s">
        <v>104</v>
      </c>
      <c r="W340" s="1" t="s">
        <v>104</v>
      </c>
      <c r="X340" s="1" t="s">
        <v>729</v>
      </c>
      <c r="Y340" s="1"/>
      <c r="Z340" s="8">
        <v>1</v>
      </c>
      <c r="AA340" s="8">
        <v>1</v>
      </c>
      <c r="AB340" s="8">
        <v>1</v>
      </c>
      <c r="AC340" s="8"/>
      <c r="AD340" s="8"/>
      <c r="AE340" s="8"/>
      <c r="AF340" s="8"/>
      <c r="AG340" s="8">
        <v>1</v>
      </c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>
        <v>1</v>
      </c>
      <c r="AY340" s="8">
        <v>1</v>
      </c>
      <c r="AZ340" s="8">
        <v>1</v>
      </c>
      <c r="BA340" s="8"/>
      <c r="BB340" s="1"/>
      <c r="BL340" s="58"/>
      <c r="BP340" t="str">
        <f t="shared" si="13"/>
        <v>FireFlying</v>
      </c>
      <c r="BQ340" t="s">
        <v>2</v>
      </c>
      <c r="BR340">
        <v>7</v>
      </c>
    </row>
    <row r="341" spans="1:70" x14ac:dyDescent="0.25">
      <c r="A341">
        <f t="shared" si="12"/>
        <v>312</v>
      </c>
      <c r="B341" t="s">
        <v>539</v>
      </c>
      <c r="D341" s="1" t="s">
        <v>13</v>
      </c>
      <c r="E341" s="1" t="s">
        <v>16</v>
      </c>
      <c r="F341" s="1" t="s">
        <v>50</v>
      </c>
      <c r="G341" s="1" t="s">
        <v>50</v>
      </c>
      <c r="H341" s="1" t="s">
        <v>50</v>
      </c>
      <c r="I341" s="1" t="s">
        <v>50</v>
      </c>
      <c r="J341" s="1" t="s">
        <v>50</v>
      </c>
      <c r="K341" s="1" t="s">
        <v>50</v>
      </c>
      <c r="L341" s="1"/>
      <c r="M341" s="1" t="s">
        <v>104</v>
      </c>
      <c r="N341" s="1" t="s">
        <v>50</v>
      </c>
      <c r="O341" s="1" t="s">
        <v>50</v>
      </c>
      <c r="P341" s="1" t="s">
        <v>104</v>
      </c>
      <c r="Q341" s="1" t="s">
        <v>104</v>
      </c>
      <c r="R341" s="1" t="s">
        <v>104</v>
      </c>
      <c r="S341" s="1" t="s">
        <v>104</v>
      </c>
      <c r="T341" s="1" t="s">
        <v>104</v>
      </c>
      <c r="U341" s="1" t="s">
        <v>104</v>
      </c>
      <c r="V341" s="1" t="s">
        <v>104</v>
      </c>
      <c r="W341" s="1" t="s">
        <v>104</v>
      </c>
      <c r="X341" s="1" t="s">
        <v>729</v>
      </c>
      <c r="Y341" s="1"/>
      <c r="Z341" s="8">
        <v>1</v>
      </c>
      <c r="AA341" s="8">
        <v>1</v>
      </c>
      <c r="AB341" s="8">
        <v>1</v>
      </c>
      <c r="AC341" s="8"/>
      <c r="AD341" s="8"/>
      <c r="AE341" s="8"/>
      <c r="AF341" s="8"/>
      <c r="AG341" s="8">
        <v>1</v>
      </c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>
        <v>1</v>
      </c>
      <c r="AY341" s="8">
        <v>1</v>
      </c>
      <c r="AZ341" s="8">
        <v>1</v>
      </c>
      <c r="BA341" s="8"/>
      <c r="BB341" s="1"/>
      <c r="BJ341">
        <v>8</v>
      </c>
      <c r="BK341">
        <v>2</v>
      </c>
      <c r="BL341" s="58"/>
      <c r="BP341" t="str">
        <f t="shared" si="13"/>
        <v>FireFlying</v>
      </c>
      <c r="BR341">
        <v>7</v>
      </c>
    </row>
    <row r="342" spans="1:70" x14ac:dyDescent="0.25">
      <c r="A342">
        <f t="shared" si="12"/>
        <v>313</v>
      </c>
      <c r="B342" t="s">
        <v>322</v>
      </c>
      <c r="D342" s="1" t="s">
        <v>8</v>
      </c>
      <c r="E342" s="1" t="s">
        <v>10</v>
      </c>
      <c r="F342" s="1" t="s">
        <v>50</v>
      </c>
      <c r="G342" s="1" t="s">
        <v>50</v>
      </c>
      <c r="H342" s="1"/>
      <c r="I342" s="1" t="s">
        <v>50</v>
      </c>
      <c r="J342" s="1" t="s">
        <v>50</v>
      </c>
      <c r="K342" s="1" t="s">
        <v>50</v>
      </c>
      <c r="L342" s="1" t="s">
        <v>50</v>
      </c>
      <c r="M342" s="1" t="s">
        <v>50</v>
      </c>
      <c r="N342" s="1" t="s">
        <v>50</v>
      </c>
      <c r="O342" s="1" t="s">
        <v>50</v>
      </c>
      <c r="P342" s="1" t="s">
        <v>104</v>
      </c>
      <c r="Q342" s="1" t="s">
        <v>104</v>
      </c>
      <c r="R342" s="1" t="s">
        <v>104</v>
      </c>
      <c r="S342" s="1" t="s">
        <v>104</v>
      </c>
      <c r="T342" s="1" t="s">
        <v>104</v>
      </c>
      <c r="U342" s="1" t="s">
        <v>104</v>
      </c>
      <c r="V342" s="1" t="s">
        <v>104</v>
      </c>
      <c r="W342" s="1" t="s">
        <v>104</v>
      </c>
      <c r="X342" s="1" t="s">
        <v>748</v>
      </c>
      <c r="Y342" s="1"/>
      <c r="Z342" s="8"/>
      <c r="AA342" s="8"/>
      <c r="AB342" s="8">
        <v>1</v>
      </c>
      <c r="AC342" s="8"/>
      <c r="AD342" s="8">
        <v>1</v>
      </c>
      <c r="AE342" s="8">
        <v>1</v>
      </c>
      <c r="AF342" s="8">
        <v>1</v>
      </c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>
        <v>1</v>
      </c>
      <c r="AW342" s="8">
        <v>1</v>
      </c>
      <c r="AX342" s="8"/>
      <c r="AY342" s="8">
        <v>1</v>
      </c>
      <c r="AZ342" s="8">
        <v>1</v>
      </c>
      <c r="BA342" s="8"/>
      <c r="BB342" s="1"/>
      <c r="BL342" s="58"/>
      <c r="BP342" t="str">
        <f t="shared" si="13"/>
        <v>GroundPoison</v>
      </c>
      <c r="BQ342" t="s">
        <v>2</v>
      </c>
      <c r="BR342">
        <v>4</v>
      </c>
    </row>
    <row r="343" spans="1:70" x14ac:dyDescent="0.25">
      <c r="A343">
        <f t="shared" si="12"/>
        <v>314</v>
      </c>
      <c r="B343" t="s">
        <v>435</v>
      </c>
      <c r="D343" s="1" t="s">
        <v>8</v>
      </c>
      <c r="E343" s="1" t="s">
        <v>10</v>
      </c>
      <c r="F343" s="1" t="s">
        <v>50</v>
      </c>
      <c r="G343" s="1" t="s">
        <v>50</v>
      </c>
      <c r="H343" s="1" t="s">
        <v>50</v>
      </c>
      <c r="I343" s="1" t="s">
        <v>50</v>
      </c>
      <c r="J343" s="1" t="s">
        <v>50</v>
      </c>
      <c r="K343" s="1" t="s">
        <v>50</v>
      </c>
      <c r="L343" s="1"/>
      <c r="M343" s="1" t="s">
        <v>104</v>
      </c>
      <c r="N343" s="1" t="s">
        <v>50</v>
      </c>
      <c r="O343" s="1" t="s">
        <v>50</v>
      </c>
      <c r="P343" s="1" t="s">
        <v>104</v>
      </c>
      <c r="Q343" s="1" t="s">
        <v>104</v>
      </c>
      <c r="R343" s="1" t="s">
        <v>104</v>
      </c>
      <c r="S343" s="1" t="s">
        <v>104</v>
      </c>
      <c r="T343" s="1" t="s">
        <v>104</v>
      </c>
      <c r="U343" s="1" t="s">
        <v>104</v>
      </c>
      <c r="V343" s="1" t="s">
        <v>104</v>
      </c>
      <c r="W343" s="1" t="s">
        <v>104</v>
      </c>
      <c r="X343" s="1" t="s">
        <v>729</v>
      </c>
      <c r="Y343" s="1"/>
      <c r="Z343" s="8"/>
      <c r="AA343" s="8"/>
      <c r="AB343" s="8">
        <v>1</v>
      </c>
      <c r="AC343" s="8"/>
      <c r="AD343" s="8">
        <v>1</v>
      </c>
      <c r="AE343" s="8">
        <v>1</v>
      </c>
      <c r="AF343" s="8">
        <v>1</v>
      </c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>
        <v>1</v>
      </c>
      <c r="AW343" s="8">
        <v>1</v>
      </c>
      <c r="AX343" s="8"/>
      <c r="AY343" s="8">
        <v>1</v>
      </c>
      <c r="AZ343" s="8">
        <v>1</v>
      </c>
      <c r="BA343" s="8"/>
      <c r="BB343" s="1"/>
      <c r="BJ343">
        <v>3</v>
      </c>
      <c r="BL343" s="58"/>
      <c r="BP343" t="str">
        <f t="shared" si="13"/>
        <v>GroundPoison</v>
      </c>
      <c r="BR343">
        <v>4</v>
      </c>
    </row>
    <row r="344" spans="1:70" x14ac:dyDescent="0.25">
      <c r="A344">
        <f t="shared" si="12"/>
        <v>315</v>
      </c>
      <c r="B344" t="s">
        <v>323</v>
      </c>
      <c r="D344" s="1" t="s">
        <v>16</v>
      </c>
      <c r="E344" s="1">
        <v>0</v>
      </c>
      <c r="F344" s="1" t="s">
        <v>50</v>
      </c>
      <c r="G344" s="1" t="s">
        <v>50</v>
      </c>
      <c r="H344" s="1" t="s">
        <v>50</v>
      </c>
      <c r="I344" s="1" t="s">
        <v>50</v>
      </c>
      <c r="J344" s="1" t="s">
        <v>50</v>
      </c>
      <c r="K344" s="1" t="s">
        <v>50</v>
      </c>
      <c r="L344" s="1" t="s">
        <v>50</v>
      </c>
      <c r="M344" s="1" t="s">
        <v>50</v>
      </c>
      <c r="N344" s="1" t="s">
        <v>50</v>
      </c>
      <c r="O344" s="1" t="s">
        <v>50</v>
      </c>
      <c r="P344" s="13" t="s">
        <v>810</v>
      </c>
      <c r="Q344" s="1" t="s">
        <v>104</v>
      </c>
      <c r="R344" s="1" t="s">
        <v>104</v>
      </c>
      <c r="S344" s="1" t="s">
        <v>104</v>
      </c>
      <c r="T344" s="1" t="s">
        <v>104</v>
      </c>
      <c r="U344" s="1" t="s">
        <v>104</v>
      </c>
      <c r="V344" s="1" t="s">
        <v>104</v>
      </c>
      <c r="W344" s="1" t="s">
        <v>104</v>
      </c>
      <c r="X344" s="1" t="s">
        <v>739</v>
      </c>
      <c r="Y344" s="1"/>
      <c r="Z344" s="8">
        <v>1</v>
      </c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>
        <v>1</v>
      </c>
      <c r="AP344" s="8">
        <v>1</v>
      </c>
      <c r="AQ344" s="8"/>
      <c r="AR344" s="8"/>
      <c r="AS344" s="8"/>
      <c r="AT344" s="8"/>
      <c r="AU344" s="8"/>
      <c r="AV344" s="8"/>
      <c r="AW344" s="8"/>
      <c r="AX344" s="8">
        <v>1</v>
      </c>
      <c r="AY344" s="8">
        <v>1</v>
      </c>
      <c r="AZ344" s="8"/>
      <c r="BA344" s="8"/>
      <c r="BB344" s="1"/>
      <c r="BL344" s="58">
        <v>1</v>
      </c>
      <c r="BP344" t="str">
        <f t="shared" si="13"/>
        <v>Flying0</v>
      </c>
      <c r="BR344">
        <v>6</v>
      </c>
    </row>
    <row r="345" spans="1:70" x14ac:dyDescent="0.25">
      <c r="A345" s="1" t="s">
        <v>50</v>
      </c>
      <c r="B345" t="s">
        <v>323</v>
      </c>
      <c r="C345" t="s">
        <v>74</v>
      </c>
      <c r="D345" s="1" t="s">
        <v>16</v>
      </c>
      <c r="E345" s="1" t="s">
        <v>13</v>
      </c>
      <c r="F345" s="1" t="s">
        <v>50</v>
      </c>
      <c r="G345" s="1" t="s">
        <v>50</v>
      </c>
      <c r="H345" s="1" t="s">
        <v>50</v>
      </c>
      <c r="I345" s="1" t="s">
        <v>50</v>
      </c>
      <c r="J345" s="1" t="s">
        <v>50</v>
      </c>
      <c r="K345" s="1" t="s">
        <v>50</v>
      </c>
      <c r="L345" s="1"/>
      <c r="M345" s="1" t="s">
        <v>50</v>
      </c>
      <c r="N345" s="1" t="s">
        <v>50</v>
      </c>
      <c r="O345" s="1" t="s">
        <v>50</v>
      </c>
      <c r="P345" s="13" t="s">
        <v>818</v>
      </c>
      <c r="Q345" s="1" t="s">
        <v>104</v>
      </c>
      <c r="R345" s="1" t="s">
        <v>104</v>
      </c>
      <c r="S345" s="1" t="s">
        <v>104</v>
      </c>
      <c r="T345" s="1" t="s">
        <v>104</v>
      </c>
      <c r="U345" s="1" t="s">
        <v>104</v>
      </c>
      <c r="V345" s="1" t="s">
        <v>104</v>
      </c>
      <c r="W345" s="1" t="s">
        <v>104</v>
      </c>
      <c r="X345" s="1" t="s">
        <v>739</v>
      </c>
      <c r="Y345" s="1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>
        <v>1</v>
      </c>
      <c r="AW345" s="8">
        <v>1</v>
      </c>
      <c r="AX345" s="8"/>
      <c r="AY345" s="8"/>
      <c r="AZ345" s="8"/>
      <c r="BA345" s="8"/>
      <c r="BB345" s="1"/>
      <c r="BJ345">
        <v>2</v>
      </c>
      <c r="BL345" s="58"/>
      <c r="BP345" t="str">
        <f t="shared" si="13"/>
        <v>FlyingFire</v>
      </c>
      <c r="BR345" s="1" t="s">
        <v>104</v>
      </c>
    </row>
    <row r="346" spans="1:70" x14ac:dyDescent="0.25">
      <c r="A346" s="1" t="s">
        <v>50</v>
      </c>
      <c r="B346" t="s">
        <v>323</v>
      </c>
      <c r="C346" t="s">
        <v>78</v>
      </c>
      <c r="D346" s="1" t="s">
        <v>16</v>
      </c>
      <c r="E346" s="1" t="s">
        <v>14</v>
      </c>
      <c r="F346" s="1" t="s">
        <v>50</v>
      </c>
      <c r="G346" s="1" t="s">
        <v>50</v>
      </c>
      <c r="H346" s="1" t="s">
        <v>50</v>
      </c>
      <c r="I346" s="1" t="s">
        <v>50</v>
      </c>
      <c r="J346" s="1" t="s">
        <v>50</v>
      </c>
      <c r="K346" s="1" t="s">
        <v>50</v>
      </c>
      <c r="L346" s="1"/>
      <c r="M346" s="1" t="s">
        <v>50</v>
      </c>
      <c r="N346" s="1" t="s">
        <v>50</v>
      </c>
      <c r="O346" s="1" t="s">
        <v>50</v>
      </c>
      <c r="P346" s="13" t="s">
        <v>828</v>
      </c>
      <c r="Q346" s="1" t="s">
        <v>104</v>
      </c>
      <c r="R346" s="1" t="s">
        <v>104</v>
      </c>
      <c r="S346" s="1" t="s">
        <v>104</v>
      </c>
      <c r="T346" s="1" t="s">
        <v>104</v>
      </c>
      <c r="U346" s="1" t="s">
        <v>104</v>
      </c>
      <c r="V346" s="1" t="s">
        <v>104</v>
      </c>
      <c r="W346" s="1" t="s">
        <v>104</v>
      </c>
      <c r="X346" s="1" t="s">
        <v>739</v>
      </c>
      <c r="Y346" s="1"/>
      <c r="Z346" s="8"/>
      <c r="AA346" s="8"/>
      <c r="AB346" s="8"/>
      <c r="AC346" s="8"/>
      <c r="AD346" s="8"/>
      <c r="AE346" s="8"/>
      <c r="AF346" s="8"/>
      <c r="AG346" s="8"/>
      <c r="AH346" s="8">
        <v>1</v>
      </c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>
        <v>1</v>
      </c>
      <c r="AT346" s="8"/>
      <c r="AU346" s="8"/>
      <c r="AV346" s="8"/>
      <c r="AW346" s="8"/>
      <c r="AX346" s="8"/>
      <c r="AY346" s="8">
        <v>1</v>
      </c>
      <c r="AZ346" s="8"/>
      <c r="BA346" s="8"/>
      <c r="BB346" s="1"/>
      <c r="BL346" s="58"/>
      <c r="BP346" t="str">
        <f t="shared" si="13"/>
        <v>FlyingGhost</v>
      </c>
      <c r="BR346" s="1" t="s">
        <v>104</v>
      </c>
    </row>
    <row r="347" spans="1:70" x14ac:dyDescent="0.25">
      <c r="A347" s="1" t="s">
        <v>50</v>
      </c>
      <c r="B347" t="s">
        <v>323</v>
      </c>
      <c r="C347" t="s">
        <v>75</v>
      </c>
      <c r="D347" s="1" t="s">
        <v>16</v>
      </c>
      <c r="E347" s="1" t="s">
        <v>5</v>
      </c>
      <c r="F347" s="1" t="s">
        <v>50</v>
      </c>
      <c r="G347" s="1" t="s">
        <v>50</v>
      </c>
      <c r="H347" s="1" t="s">
        <v>50</v>
      </c>
      <c r="I347" s="1" t="s">
        <v>50</v>
      </c>
      <c r="J347" s="1" t="s">
        <v>50</v>
      </c>
      <c r="K347" s="1" t="s">
        <v>50</v>
      </c>
      <c r="L347" s="1"/>
      <c r="M347" s="1" t="s">
        <v>50</v>
      </c>
      <c r="N347" s="1" t="s">
        <v>50</v>
      </c>
      <c r="O347" s="1" t="s">
        <v>50</v>
      </c>
      <c r="P347" s="13" t="s">
        <v>827</v>
      </c>
      <c r="Q347" s="1" t="s">
        <v>104</v>
      </c>
      <c r="R347" s="1" t="s">
        <v>104</v>
      </c>
      <c r="S347" s="1" t="s">
        <v>104</v>
      </c>
      <c r="T347" s="1" t="s">
        <v>104</v>
      </c>
      <c r="U347" s="1" t="s">
        <v>104</v>
      </c>
      <c r="V347" s="1" t="s">
        <v>104</v>
      </c>
      <c r="W347" s="1" t="s">
        <v>104</v>
      </c>
      <c r="X347" s="1" t="s">
        <v>739</v>
      </c>
      <c r="Y347" s="1"/>
      <c r="Z347" s="8">
        <v>1</v>
      </c>
      <c r="AA347" s="8">
        <v>1</v>
      </c>
      <c r="AB347" s="8">
        <v>1</v>
      </c>
      <c r="AC347" s="8"/>
      <c r="AD347" s="8"/>
      <c r="AE347" s="8"/>
      <c r="AF347" s="8"/>
      <c r="AG347" s="8"/>
      <c r="AH347" s="8"/>
      <c r="AI347" s="8">
        <v>1</v>
      </c>
      <c r="AJ347" s="8"/>
      <c r="AK347" s="8"/>
      <c r="AL347" s="8"/>
      <c r="AM347" s="8"/>
      <c r="AN347" s="8">
        <v>1</v>
      </c>
      <c r="AO347" s="8"/>
      <c r="AP347" s="8">
        <v>1</v>
      </c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1"/>
      <c r="BL347" s="58"/>
      <c r="BP347" t="str">
        <f t="shared" si="13"/>
        <v>FlyingIce</v>
      </c>
      <c r="BR347" s="1" t="s">
        <v>104</v>
      </c>
    </row>
    <row r="348" spans="1:70" x14ac:dyDescent="0.25">
      <c r="A348" s="1" t="s">
        <v>50</v>
      </c>
      <c r="B348" t="s">
        <v>323</v>
      </c>
      <c r="C348" t="s">
        <v>76</v>
      </c>
      <c r="D348" s="1" t="s">
        <v>16</v>
      </c>
      <c r="E348" s="1" t="s">
        <v>8</v>
      </c>
      <c r="F348" s="1" t="s">
        <v>50</v>
      </c>
      <c r="G348" s="1" t="s">
        <v>50</v>
      </c>
      <c r="H348" s="1" t="s">
        <v>50</v>
      </c>
      <c r="I348" s="1" t="s">
        <v>50</v>
      </c>
      <c r="J348" s="1" t="s">
        <v>50</v>
      </c>
      <c r="K348" s="1" t="s">
        <v>50</v>
      </c>
      <c r="L348" s="1"/>
      <c r="M348" s="1" t="s">
        <v>50</v>
      </c>
      <c r="N348" s="1" t="s">
        <v>50</v>
      </c>
      <c r="O348" s="1" t="s">
        <v>50</v>
      </c>
      <c r="P348" s="13" t="s">
        <v>810</v>
      </c>
      <c r="Q348" s="1" t="s">
        <v>104</v>
      </c>
      <c r="R348" s="1" t="s">
        <v>104</v>
      </c>
      <c r="S348" s="1" t="s">
        <v>104</v>
      </c>
      <c r="T348" s="1" t="s">
        <v>104</v>
      </c>
      <c r="U348" s="1" t="s">
        <v>104</v>
      </c>
      <c r="V348" s="1" t="s">
        <v>104</v>
      </c>
      <c r="W348" s="1" t="s">
        <v>104</v>
      </c>
      <c r="X348" s="1" t="s">
        <v>739</v>
      </c>
      <c r="Y348" s="1"/>
      <c r="Z348" s="8"/>
      <c r="AA348" s="8"/>
      <c r="AB348" s="8"/>
      <c r="AC348" s="8"/>
      <c r="AD348" s="8"/>
      <c r="AE348" s="8">
        <v>1</v>
      </c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1"/>
      <c r="BL348" s="58">
        <v>1</v>
      </c>
      <c r="BP348" t="str">
        <f t="shared" si="13"/>
        <v>FlyingGround</v>
      </c>
      <c r="BR348" s="1" t="s">
        <v>104</v>
      </c>
    </row>
    <row r="349" spans="1:70" x14ac:dyDescent="0.25">
      <c r="A349" s="1" t="s">
        <v>50</v>
      </c>
      <c r="B349" t="s">
        <v>323</v>
      </c>
      <c r="C349" t="s">
        <v>77</v>
      </c>
      <c r="D349" s="1" t="s">
        <v>16</v>
      </c>
      <c r="E349" s="1" t="s">
        <v>3</v>
      </c>
      <c r="F349" s="1" t="s">
        <v>50</v>
      </c>
      <c r="G349" s="1" t="s">
        <v>50</v>
      </c>
      <c r="H349" s="1" t="s">
        <v>50</v>
      </c>
      <c r="I349" s="1" t="s">
        <v>50</v>
      </c>
      <c r="J349" s="1" t="s">
        <v>50</v>
      </c>
      <c r="K349" s="1" t="s">
        <v>50</v>
      </c>
      <c r="L349" s="1"/>
      <c r="M349" s="1" t="s">
        <v>50</v>
      </c>
      <c r="N349" s="1" t="s">
        <v>50</v>
      </c>
      <c r="O349" s="1" t="s">
        <v>50</v>
      </c>
      <c r="P349" s="13" t="s">
        <v>826</v>
      </c>
      <c r="Q349" s="1" t="s">
        <v>104</v>
      </c>
      <c r="R349" s="1" t="s">
        <v>104</v>
      </c>
      <c r="S349" s="1" t="s">
        <v>104</v>
      </c>
      <c r="T349" s="1" t="s">
        <v>104</v>
      </c>
      <c r="U349" s="1" t="s">
        <v>104</v>
      </c>
      <c r="V349" s="1" t="s">
        <v>104</v>
      </c>
      <c r="W349" s="1" t="s">
        <v>104</v>
      </c>
      <c r="X349" s="1" t="s">
        <v>739</v>
      </c>
      <c r="Y349" s="1"/>
      <c r="Z349" s="8">
        <v>1</v>
      </c>
      <c r="AA349" s="8">
        <v>1</v>
      </c>
      <c r="AB349" s="8">
        <v>1</v>
      </c>
      <c r="AC349" s="8">
        <v>1</v>
      </c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>
        <v>1</v>
      </c>
      <c r="BA349" s="8"/>
      <c r="BB349" s="1"/>
      <c r="BJ349">
        <v>1</v>
      </c>
      <c r="BL349" s="58"/>
      <c r="BP349" t="str">
        <f t="shared" si="13"/>
        <v>FlyingElectric</v>
      </c>
      <c r="BR349" s="1" t="s">
        <v>104</v>
      </c>
    </row>
    <row r="350" spans="1:70" x14ac:dyDescent="0.25">
      <c r="A350" s="1" t="s">
        <v>50</v>
      </c>
      <c r="B350" t="s">
        <v>323</v>
      </c>
      <c r="C350" t="s">
        <v>73</v>
      </c>
      <c r="D350" s="1" t="s">
        <v>16</v>
      </c>
      <c r="E350" s="1" t="s">
        <v>41</v>
      </c>
      <c r="F350" s="1" t="s">
        <v>50</v>
      </c>
      <c r="G350" s="1" t="s">
        <v>50</v>
      </c>
      <c r="H350" s="1" t="s">
        <v>50</v>
      </c>
      <c r="I350" s="1" t="s">
        <v>50</v>
      </c>
      <c r="J350" s="1" t="s">
        <v>50</v>
      </c>
      <c r="K350" s="1" t="s">
        <v>50</v>
      </c>
      <c r="L350" s="1"/>
      <c r="M350" s="1" t="s">
        <v>50</v>
      </c>
      <c r="N350" s="1" t="s">
        <v>50</v>
      </c>
      <c r="O350" s="1" t="s">
        <v>50</v>
      </c>
      <c r="P350" s="13" t="s">
        <v>825</v>
      </c>
      <c r="Q350" s="1" t="s">
        <v>104</v>
      </c>
      <c r="R350" s="1" t="s">
        <v>104</v>
      </c>
      <c r="S350" s="1" t="s">
        <v>104</v>
      </c>
      <c r="T350" s="1" t="s">
        <v>104</v>
      </c>
      <c r="U350" s="1" t="s">
        <v>104</v>
      </c>
      <c r="V350" s="1" t="s">
        <v>104</v>
      </c>
      <c r="W350" s="1" t="s">
        <v>104</v>
      </c>
      <c r="X350" s="1" t="s">
        <v>739</v>
      </c>
      <c r="Y350" s="1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>
        <v>1</v>
      </c>
      <c r="AT350" s="8"/>
      <c r="AU350" s="8"/>
      <c r="AV350" s="8"/>
      <c r="AW350" s="8"/>
      <c r="AX350" s="8">
        <v>1</v>
      </c>
      <c r="AY350" s="8">
        <v>1</v>
      </c>
      <c r="AZ350" s="8">
        <v>1</v>
      </c>
      <c r="BA350" s="8"/>
      <c r="BB350" s="1"/>
      <c r="BJ350">
        <v>3</v>
      </c>
      <c r="BL350" s="58"/>
      <c r="BP350" t="str">
        <f t="shared" si="13"/>
        <v>FlyingSound</v>
      </c>
      <c r="BR350" s="1" t="s">
        <v>104</v>
      </c>
    </row>
    <row r="351" spans="1:70" x14ac:dyDescent="0.25">
      <c r="A351">
        <f>A344+1</f>
        <v>316</v>
      </c>
      <c r="B351" t="s">
        <v>324</v>
      </c>
      <c r="D351" s="1" t="s">
        <v>13</v>
      </c>
      <c r="E351" s="1" t="s">
        <v>41</v>
      </c>
      <c r="F351" s="1" t="s">
        <v>50</v>
      </c>
      <c r="G351" s="1" t="s">
        <v>50</v>
      </c>
      <c r="H351" s="1" t="s">
        <v>50</v>
      </c>
      <c r="I351" s="1" t="s">
        <v>50</v>
      </c>
      <c r="J351" s="1" t="s">
        <v>50</v>
      </c>
      <c r="K351" s="1" t="s">
        <v>50</v>
      </c>
      <c r="L351" s="1"/>
      <c r="M351" s="1" t="s">
        <v>104</v>
      </c>
      <c r="N351" s="1" t="s">
        <v>50</v>
      </c>
      <c r="O351" s="1" t="s">
        <v>50</v>
      </c>
      <c r="P351" s="1" t="s">
        <v>104</v>
      </c>
      <c r="Q351" s="1" t="s">
        <v>50</v>
      </c>
      <c r="R351" s="1" t="s">
        <v>50</v>
      </c>
      <c r="S351" s="1" t="s">
        <v>50</v>
      </c>
      <c r="T351" s="1" t="s">
        <v>50</v>
      </c>
      <c r="U351" s="1" t="s">
        <v>50</v>
      </c>
      <c r="V351" s="1" t="s">
        <v>50</v>
      </c>
      <c r="W351" s="1" t="s">
        <v>50</v>
      </c>
      <c r="X351" s="1" t="s">
        <v>729</v>
      </c>
      <c r="Y351" s="1"/>
      <c r="Z351" s="8"/>
      <c r="AA351" s="8"/>
      <c r="AB351" s="8"/>
      <c r="AC351" s="8">
        <v>1</v>
      </c>
      <c r="AD351" s="8">
        <v>1</v>
      </c>
      <c r="AE351" s="8"/>
      <c r="AF351" s="8"/>
      <c r="AG351" s="8"/>
      <c r="AH351" s="8">
        <v>1</v>
      </c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>
        <v>1</v>
      </c>
      <c r="AW351" s="8">
        <v>1</v>
      </c>
      <c r="AX351" s="8"/>
      <c r="AY351" s="8"/>
      <c r="AZ351" s="8"/>
      <c r="BA351" s="8"/>
      <c r="BB351" s="1"/>
      <c r="BJ351">
        <v>11</v>
      </c>
      <c r="BK351">
        <v>3</v>
      </c>
      <c r="BL351" s="58">
        <v>1</v>
      </c>
      <c r="BP351" t="str">
        <f t="shared" si="13"/>
        <v>FireSound</v>
      </c>
      <c r="BR351">
        <v>6</v>
      </c>
    </row>
    <row r="352" spans="1:70" x14ac:dyDescent="0.25">
      <c r="A352">
        <f t="shared" ref="A352:A361" si="14">A351+1</f>
        <v>317</v>
      </c>
      <c r="B352" t="s">
        <v>325</v>
      </c>
      <c r="D352" s="1" t="s">
        <v>5</v>
      </c>
      <c r="E352" s="1">
        <v>0</v>
      </c>
      <c r="F352" s="1" t="s">
        <v>50</v>
      </c>
      <c r="G352" s="1" t="s">
        <v>50</v>
      </c>
      <c r="H352" s="1"/>
      <c r="I352" s="1" t="s">
        <v>50</v>
      </c>
      <c r="J352" s="1" t="s">
        <v>50</v>
      </c>
      <c r="K352" s="1" t="s">
        <v>50</v>
      </c>
      <c r="L352" s="1" t="s">
        <v>1767</v>
      </c>
      <c r="M352" s="1" t="s">
        <v>50</v>
      </c>
      <c r="N352" s="1" t="s">
        <v>50</v>
      </c>
      <c r="O352" s="1" t="s">
        <v>50</v>
      </c>
      <c r="P352" s="13" t="s">
        <v>2077</v>
      </c>
      <c r="Q352" s="1" t="s">
        <v>104</v>
      </c>
      <c r="R352" s="1" t="s">
        <v>104</v>
      </c>
      <c r="S352" s="1" t="s">
        <v>104</v>
      </c>
      <c r="T352" s="1" t="s">
        <v>104</v>
      </c>
      <c r="U352" s="1" t="s">
        <v>104</v>
      </c>
      <c r="V352" s="1" t="s">
        <v>104</v>
      </c>
      <c r="W352" s="1" t="s">
        <v>104</v>
      </c>
      <c r="X352" s="1" t="s">
        <v>726</v>
      </c>
      <c r="Y352" s="1"/>
      <c r="Z352" s="8"/>
      <c r="AA352" s="8"/>
      <c r="AB352" s="8"/>
      <c r="AC352" s="8"/>
      <c r="AD352" s="8">
        <v>1</v>
      </c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>
        <v>1</v>
      </c>
      <c r="AP352" s="8">
        <v>1</v>
      </c>
      <c r="AQ352" s="8">
        <v>1</v>
      </c>
      <c r="AR352" s="8">
        <v>1</v>
      </c>
      <c r="AS352" s="8"/>
      <c r="AT352" s="8"/>
      <c r="AU352" s="8"/>
      <c r="AV352" s="8"/>
      <c r="AW352" s="8"/>
      <c r="AX352" s="8"/>
      <c r="AY352" s="8"/>
      <c r="AZ352" s="8"/>
      <c r="BA352" s="8"/>
      <c r="BB352" s="1"/>
      <c r="BL352" s="58"/>
      <c r="BP352" t="str">
        <f t="shared" si="13"/>
        <v>Ice0</v>
      </c>
      <c r="BQ352" t="s">
        <v>2</v>
      </c>
      <c r="BR352">
        <v>3</v>
      </c>
    </row>
    <row r="353" spans="1:70" x14ac:dyDescent="0.25">
      <c r="A353">
        <f t="shared" si="14"/>
        <v>318</v>
      </c>
      <c r="B353" t="s">
        <v>326</v>
      </c>
      <c r="D353" s="1" t="s">
        <v>5</v>
      </c>
      <c r="E353" s="1">
        <v>0</v>
      </c>
      <c r="F353" s="1" t="s">
        <v>50</v>
      </c>
      <c r="G353" s="1" t="s">
        <v>50</v>
      </c>
      <c r="H353" s="1" t="s">
        <v>50</v>
      </c>
      <c r="I353" s="1" t="s">
        <v>50</v>
      </c>
      <c r="J353" s="1" t="s">
        <v>50</v>
      </c>
      <c r="K353" s="1" t="s">
        <v>50</v>
      </c>
      <c r="L353" s="1" t="s">
        <v>1767</v>
      </c>
      <c r="M353" s="1" t="s">
        <v>104</v>
      </c>
      <c r="N353" s="1" t="s">
        <v>50</v>
      </c>
      <c r="O353" s="1" t="s">
        <v>50</v>
      </c>
      <c r="P353" s="13" t="s">
        <v>2077</v>
      </c>
      <c r="Q353" s="1" t="s">
        <v>104</v>
      </c>
      <c r="R353" s="1" t="s">
        <v>104</v>
      </c>
      <c r="S353" s="1" t="s">
        <v>104</v>
      </c>
      <c r="T353" s="1" t="s">
        <v>104</v>
      </c>
      <c r="U353" s="1" t="s">
        <v>104</v>
      </c>
      <c r="V353" s="1" t="s">
        <v>104</v>
      </c>
      <c r="W353" s="1" t="s">
        <v>104</v>
      </c>
      <c r="X353" s="1" t="s">
        <v>726</v>
      </c>
      <c r="Y353" s="1"/>
      <c r="Z353" s="8"/>
      <c r="AA353" s="8"/>
      <c r="AB353" s="8"/>
      <c r="AC353" s="8"/>
      <c r="AD353" s="8">
        <v>1</v>
      </c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>
        <v>1</v>
      </c>
      <c r="AP353" s="8">
        <v>1</v>
      </c>
      <c r="AQ353" s="8">
        <v>1</v>
      </c>
      <c r="AR353" s="8">
        <v>1</v>
      </c>
      <c r="AS353" s="8"/>
      <c r="AT353" s="8"/>
      <c r="AU353" s="8"/>
      <c r="AV353" s="8"/>
      <c r="AW353" s="8"/>
      <c r="AX353" s="8"/>
      <c r="AY353" s="8"/>
      <c r="AZ353" s="8"/>
      <c r="BA353" s="8"/>
      <c r="BB353" s="1"/>
      <c r="BJ353">
        <v>1</v>
      </c>
      <c r="BL353" s="58">
        <v>2</v>
      </c>
      <c r="BP353" t="str">
        <f t="shared" si="13"/>
        <v>Ice0</v>
      </c>
      <c r="BR353">
        <v>3</v>
      </c>
    </row>
    <row r="354" spans="1:70" x14ac:dyDescent="0.25">
      <c r="A354">
        <f t="shared" si="14"/>
        <v>319</v>
      </c>
      <c r="B354" t="s">
        <v>330</v>
      </c>
      <c r="D354" s="1" t="s">
        <v>18</v>
      </c>
      <c r="E354" s="1" t="s">
        <v>42</v>
      </c>
      <c r="F354" s="1" t="s">
        <v>50</v>
      </c>
      <c r="G354" s="1" t="s">
        <v>50</v>
      </c>
      <c r="H354" s="1"/>
      <c r="I354" s="1" t="s">
        <v>50</v>
      </c>
      <c r="J354" s="1" t="s">
        <v>50</v>
      </c>
      <c r="K354" s="1" t="s">
        <v>50</v>
      </c>
      <c r="L354" s="1"/>
      <c r="M354" s="1" t="s">
        <v>50</v>
      </c>
      <c r="N354" s="1" t="s">
        <v>50</v>
      </c>
      <c r="O354" s="1" t="s">
        <v>50</v>
      </c>
      <c r="P354" s="1" t="s">
        <v>104</v>
      </c>
      <c r="Q354" s="1" t="s">
        <v>104</v>
      </c>
      <c r="R354" s="1" t="s">
        <v>104</v>
      </c>
      <c r="S354" s="1" t="s">
        <v>104</v>
      </c>
      <c r="T354" s="1" t="s">
        <v>104</v>
      </c>
      <c r="U354" s="1" t="s">
        <v>104</v>
      </c>
      <c r="V354" s="1" t="s">
        <v>104</v>
      </c>
      <c r="W354" s="1" t="s">
        <v>104</v>
      </c>
      <c r="X354" s="1" t="s">
        <v>729</v>
      </c>
      <c r="Y354" s="1"/>
      <c r="Z354" s="8"/>
      <c r="AA354" s="8"/>
      <c r="AB354" s="8"/>
      <c r="AC354" s="8"/>
      <c r="AD354" s="8"/>
      <c r="AE354" s="8">
        <v>1</v>
      </c>
      <c r="AF354" s="8">
        <v>1</v>
      </c>
      <c r="AG354" s="8">
        <v>1</v>
      </c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>
        <v>1</v>
      </c>
      <c r="AX354" s="8">
        <v>1</v>
      </c>
      <c r="AY354" s="8">
        <v>1</v>
      </c>
      <c r="AZ354" s="8"/>
      <c r="BA354" s="8"/>
      <c r="BB354" s="1"/>
      <c r="BL354" s="58"/>
      <c r="BP354" t="str">
        <f t="shared" si="13"/>
        <v>FightingCosmic</v>
      </c>
      <c r="BQ354" t="s">
        <v>2</v>
      </c>
      <c r="BR354">
        <v>7</v>
      </c>
    </row>
    <row r="355" spans="1:70" x14ac:dyDescent="0.25">
      <c r="A355">
        <f t="shared" si="14"/>
        <v>320</v>
      </c>
      <c r="B355" t="s">
        <v>331</v>
      </c>
      <c r="D355" s="1" t="s">
        <v>18</v>
      </c>
      <c r="E355" s="1" t="s">
        <v>42</v>
      </c>
      <c r="F355" s="1" t="s">
        <v>50</v>
      </c>
      <c r="G355" s="1" t="s">
        <v>50</v>
      </c>
      <c r="H355" s="1"/>
      <c r="I355" s="1" t="s">
        <v>50</v>
      </c>
      <c r="J355" s="1" t="s">
        <v>50</v>
      </c>
      <c r="K355" s="1" t="s">
        <v>50</v>
      </c>
      <c r="L355" s="1"/>
      <c r="M355" s="1" t="s">
        <v>104</v>
      </c>
      <c r="N355" s="1" t="s">
        <v>50</v>
      </c>
      <c r="O355" s="1" t="s">
        <v>50</v>
      </c>
      <c r="P355" s="1" t="s">
        <v>104</v>
      </c>
      <c r="Q355" s="1" t="s">
        <v>104</v>
      </c>
      <c r="R355" s="1" t="s">
        <v>104</v>
      </c>
      <c r="S355" s="1" t="s">
        <v>104</v>
      </c>
      <c r="T355" s="1" t="s">
        <v>104</v>
      </c>
      <c r="U355" s="1" t="s">
        <v>104</v>
      </c>
      <c r="V355" s="1" t="s">
        <v>104</v>
      </c>
      <c r="W355" s="1" t="s">
        <v>104</v>
      </c>
      <c r="X355" s="1" t="s">
        <v>729</v>
      </c>
      <c r="Y355" s="1"/>
      <c r="Z355" s="8"/>
      <c r="AA355" s="8"/>
      <c r="AB355" s="8"/>
      <c r="AC355" s="8"/>
      <c r="AD355" s="8"/>
      <c r="AE355" s="8">
        <v>1</v>
      </c>
      <c r="AF355" s="8">
        <v>1</v>
      </c>
      <c r="AG355" s="8">
        <v>1</v>
      </c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>
        <v>1</v>
      </c>
      <c r="AX355" s="8">
        <v>1</v>
      </c>
      <c r="AY355" s="8">
        <v>1</v>
      </c>
      <c r="AZ355" s="8"/>
      <c r="BA355" s="8"/>
      <c r="BB355" s="1"/>
      <c r="BL355" s="58"/>
      <c r="BP355" t="str">
        <f t="shared" si="13"/>
        <v>FightingCosmic</v>
      </c>
      <c r="BQ355" t="s">
        <v>2</v>
      </c>
      <c r="BR355">
        <v>7</v>
      </c>
    </row>
    <row r="356" spans="1:70" x14ac:dyDescent="0.25">
      <c r="A356">
        <f t="shared" si="14"/>
        <v>321</v>
      </c>
      <c r="B356" t="s">
        <v>332</v>
      </c>
      <c r="D356" s="1" t="s">
        <v>18</v>
      </c>
      <c r="E356" s="1" t="s">
        <v>42</v>
      </c>
      <c r="F356" s="1" t="s">
        <v>50</v>
      </c>
      <c r="G356" s="1" t="s">
        <v>50</v>
      </c>
      <c r="H356" s="1" t="s">
        <v>50</v>
      </c>
      <c r="I356" s="1" t="s">
        <v>50</v>
      </c>
      <c r="J356" s="1" t="s">
        <v>50</v>
      </c>
      <c r="K356" s="1" t="s">
        <v>50</v>
      </c>
      <c r="L356" s="1"/>
      <c r="M356" s="1" t="s">
        <v>104</v>
      </c>
      <c r="N356" s="1" t="s">
        <v>50</v>
      </c>
      <c r="O356" s="1" t="s">
        <v>50</v>
      </c>
      <c r="P356" s="1" t="s">
        <v>104</v>
      </c>
      <c r="Q356" s="1" t="s">
        <v>104</v>
      </c>
      <c r="R356" s="1" t="s">
        <v>104</v>
      </c>
      <c r="S356" s="1" t="s">
        <v>104</v>
      </c>
      <c r="T356" s="1" t="s">
        <v>104</v>
      </c>
      <c r="U356" s="1" t="s">
        <v>104</v>
      </c>
      <c r="V356" s="1" t="s">
        <v>104</v>
      </c>
      <c r="W356" s="1" t="s">
        <v>104</v>
      </c>
      <c r="X356" s="1" t="s">
        <v>729</v>
      </c>
      <c r="Y356" s="1"/>
      <c r="Z356" s="8"/>
      <c r="AA356" s="8"/>
      <c r="AB356" s="8"/>
      <c r="AC356" s="8"/>
      <c r="AD356" s="8"/>
      <c r="AE356" s="8">
        <v>1</v>
      </c>
      <c r="AF356" s="8">
        <v>1</v>
      </c>
      <c r="AG356" s="8">
        <v>1</v>
      </c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>
        <v>1</v>
      </c>
      <c r="AX356" s="8">
        <v>1</v>
      </c>
      <c r="AY356" s="8">
        <v>1</v>
      </c>
      <c r="AZ356" s="8"/>
      <c r="BA356" s="8"/>
      <c r="BB356" s="1"/>
      <c r="BJ356">
        <v>17</v>
      </c>
      <c r="BK356">
        <v>5</v>
      </c>
      <c r="BL356" s="58">
        <v>2</v>
      </c>
      <c r="BP356" t="str">
        <f t="shared" si="13"/>
        <v>FightingCosmic</v>
      </c>
      <c r="BR356">
        <v>7</v>
      </c>
    </row>
    <row r="357" spans="1:70" x14ac:dyDescent="0.25">
      <c r="A357">
        <f t="shared" si="14"/>
        <v>322</v>
      </c>
      <c r="B357" t="s">
        <v>335</v>
      </c>
      <c r="D357" s="1" t="s">
        <v>42</v>
      </c>
      <c r="E357" s="1" t="s">
        <v>44</v>
      </c>
      <c r="F357" s="1" t="s">
        <v>50</v>
      </c>
      <c r="G357" s="1" t="s">
        <v>50</v>
      </c>
      <c r="H357" s="1" t="s">
        <v>50</v>
      </c>
      <c r="I357" s="1" t="s">
        <v>50</v>
      </c>
      <c r="J357" s="1" t="s">
        <v>50</v>
      </c>
      <c r="K357" s="1" t="s">
        <v>50</v>
      </c>
      <c r="L357" s="1"/>
      <c r="M357" s="1" t="s">
        <v>50</v>
      </c>
      <c r="N357" s="1" t="s">
        <v>50</v>
      </c>
      <c r="O357" s="1" t="s">
        <v>50</v>
      </c>
      <c r="P357" s="13" t="s">
        <v>788</v>
      </c>
      <c r="Q357" s="1" t="s">
        <v>104</v>
      </c>
      <c r="R357" s="1" t="s">
        <v>104</v>
      </c>
      <c r="S357" s="1" t="s">
        <v>104</v>
      </c>
      <c r="T357" s="1" t="s">
        <v>104</v>
      </c>
      <c r="U357" s="1" t="s">
        <v>104</v>
      </c>
      <c r="V357" s="1" t="s">
        <v>104</v>
      </c>
      <c r="W357" s="1" t="s">
        <v>104</v>
      </c>
      <c r="X357" s="1" t="s">
        <v>726</v>
      </c>
      <c r="Y357" s="1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>
        <v>1</v>
      </c>
      <c r="AT357" s="8"/>
      <c r="AU357" s="8">
        <v>1</v>
      </c>
      <c r="AV357" s="8"/>
      <c r="AW357" s="8"/>
      <c r="AX357" s="8"/>
      <c r="AY357" s="8"/>
      <c r="AZ357" s="8"/>
      <c r="BA357" s="8"/>
      <c r="BB357" s="1"/>
      <c r="BJ357">
        <v>4</v>
      </c>
      <c r="BL357" s="58"/>
      <c r="BP357" t="str">
        <f t="shared" si="13"/>
        <v>CosmicLight</v>
      </c>
      <c r="BR357">
        <v>4</v>
      </c>
    </row>
    <row r="358" spans="1:70" x14ac:dyDescent="0.25">
      <c r="A358">
        <f t="shared" si="14"/>
        <v>323</v>
      </c>
      <c r="B358" t="s">
        <v>336</v>
      </c>
      <c r="D358" s="1" t="s">
        <v>44</v>
      </c>
      <c r="E358" s="1">
        <v>0</v>
      </c>
      <c r="F358" s="1" t="s">
        <v>50</v>
      </c>
      <c r="G358" s="1" t="s">
        <v>50</v>
      </c>
      <c r="H358" s="1" t="s">
        <v>50</v>
      </c>
      <c r="I358" s="1" t="s">
        <v>50</v>
      </c>
      <c r="J358" s="1" t="s">
        <v>50</v>
      </c>
      <c r="K358" s="1" t="s">
        <v>50</v>
      </c>
      <c r="L358" s="1"/>
      <c r="M358" s="1" t="s">
        <v>50</v>
      </c>
      <c r="N358" s="1" t="s">
        <v>50</v>
      </c>
      <c r="O358" s="1" t="s">
        <v>50</v>
      </c>
      <c r="P358" s="13" t="s">
        <v>829</v>
      </c>
      <c r="Q358" s="1" t="s">
        <v>50</v>
      </c>
      <c r="R358" s="1" t="s">
        <v>50</v>
      </c>
      <c r="S358" s="1" t="s">
        <v>50</v>
      </c>
      <c r="T358" s="1" t="s">
        <v>50</v>
      </c>
      <c r="U358" s="1" t="s">
        <v>50</v>
      </c>
      <c r="V358" s="1" t="s">
        <v>50</v>
      </c>
      <c r="W358" s="1" t="s">
        <v>50</v>
      </c>
      <c r="X358" s="1" t="s">
        <v>727</v>
      </c>
      <c r="Y358" s="1"/>
      <c r="Z358" s="8"/>
      <c r="AA358" s="8"/>
      <c r="AB358" s="8"/>
      <c r="AC358" s="8"/>
      <c r="AD358" s="8"/>
      <c r="AE358" s="8"/>
      <c r="AF358" s="8"/>
      <c r="AG358" s="8">
        <v>1</v>
      </c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>
        <v>1</v>
      </c>
      <c r="AT358" s="8"/>
      <c r="AU358" s="8">
        <v>1</v>
      </c>
      <c r="AV358" s="8"/>
      <c r="AW358" s="8"/>
      <c r="AX358" s="8"/>
      <c r="AY358" s="8"/>
      <c r="AZ358" s="8"/>
      <c r="BA358" s="8"/>
      <c r="BB358" s="1"/>
      <c r="BJ358">
        <v>1</v>
      </c>
      <c r="BL358" s="58"/>
      <c r="BP358" t="str">
        <f t="shared" si="13"/>
        <v>Light0</v>
      </c>
      <c r="BR358">
        <v>3</v>
      </c>
    </row>
    <row r="359" spans="1:70" x14ac:dyDescent="0.25">
      <c r="A359">
        <f t="shared" si="14"/>
        <v>324</v>
      </c>
      <c r="B359" t="s">
        <v>436</v>
      </c>
      <c r="D359" s="1" t="s">
        <v>7</v>
      </c>
      <c r="E359" s="1">
        <v>0</v>
      </c>
      <c r="F359" s="1" t="s">
        <v>50</v>
      </c>
      <c r="G359" s="1" t="s">
        <v>50</v>
      </c>
      <c r="H359" s="1"/>
      <c r="I359" s="1" t="s">
        <v>50</v>
      </c>
      <c r="J359" s="1" t="s">
        <v>50</v>
      </c>
      <c r="K359" s="1" t="s">
        <v>50</v>
      </c>
      <c r="L359" s="1"/>
      <c r="M359" s="1" t="s">
        <v>50</v>
      </c>
      <c r="N359" s="1" t="s">
        <v>50</v>
      </c>
      <c r="O359" s="1" t="s">
        <v>50</v>
      </c>
      <c r="P359" s="1" t="s">
        <v>104</v>
      </c>
      <c r="Q359" s="1" t="s">
        <v>104</v>
      </c>
      <c r="R359" s="1" t="s">
        <v>104</v>
      </c>
      <c r="S359" s="1" t="s">
        <v>104</v>
      </c>
      <c r="T359" s="1" t="s">
        <v>104</v>
      </c>
      <c r="U359" s="1" t="s">
        <v>104</v>
      </c>
      <c r="V359" s="1" t="s">
        <v>104</v>
      </c>
      <c r="W359" s="1" t="s">
        <v>104</v>
      </c>
      <c r="X359" s="1" t="s">
        <v>729</v>
      </c>
      <c r="Y359" s="1"/>
      <c r="Z359" s="8"/>
      <c r="AA359" s="8"/>
      <c r="AB359" s="8"/>
      <c r="AC359" s="8"/>
      <c r="AD359" s="8"/>
      <c r="AE359" s="8"/>
      <c r="AF359" s="8"/>
      <c r="AG359" s="8">
        <v>1</v>
      </c>
      <c r="AH359" s="8">
        <v>1</v>
      </c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>
        <v>1</v>
      </c>
      <c r="AT359" s="8"/>
      <c r="AU359" s="8">
        <v>1</v>
      </c>
      <c r="AV359" s="8"/>
      <c r="AW359" s="8"/>
      <c r="AX359" s="8"/>
      <c r="AY359" s="8"/>
      <c r="AZ359" s="8"/>
      <c r="BA359" s="8"/>
      <c r="BB359" s="1"/>
      <c r="BL359" s="58"/>
      <c r="BP359" t="str">
        <f t="shared" si="13"/>
        <v>Fairy0</v>
      </c>
      <c r="BQ359" t="s">
        <v>2</v>
      </c>
      <c r="BR359">
        <v>6</v>
      </c>
    </row>
    <row r="360" spans="1:70" x14ac:dyDescent="0.25">
      <c r="A360">
        <f t="shared" si="14"/>
        <v>325</v>
      </c>
      <c r="B360" t="s">
        <v>437</v>
      </c>
      <c r="D360" s="1" t="s">
        <v>7</v>
      </c>
      <c r="E360" s="1">
        <v>0</v>
      </c>
      <c r="F360" s="1" t="s">
        <v>50</v>
      </c>
      <c r="G360" s="1" t="s">
        <v>50</v>
      </c>
      <c r="H360" s="1"/>
      <c r="I360" s="1" t="s">
        <v>50</v>
      </c>
      <c r="J360" s="1" t="s">
        <v>50</v>
      </c>
      <c r="K360" s="1" t="s">
        <v>50</v>
      </c>
      <c r="L360" s="1"/>
      <c r="M360" s="1" t="s">
        <v>104</v>
      </c>
      <c r="N360" s="1" t="s">
        <v>50</v>
      </c>
      <c r="O360" s="1" t="s">
        <v>50</v>
      </c>
      <c r="P360" s="1" t="s">
        <v>104</v>
      </c>
      <c r="Q360" s="1" t="s">
        <v>104</v>
      </c>
      <c r="R360" s="1" t="s">
        <v>104</v>
      </c>
      <c r="S360" s="1" t="s">
        <v>104</v>
      </c>
      <c r="T360" s="1" t="s">
        <v>104</v>
      </c>
      <c r="U360" s="1" t="s">
        <v>104</v>
      </c>
      <c r="V360" s="1" t="s">
        <v>104</v>
      </c>
      <c r="W360" s="1" t="s">
        <v>104</v>
      </c>
      <c r="X360" s="1" t="s">
        <v>729</v>
      </c>
      <c r="Y360" s="1"/>
      <c r="Z360" s="8"/>
      <c r="AA360" s="8"/>
      <c r="AB360" s="8"/>
      <c r="AC360" s="8"/>
      <c r="AD360" s="8"/>
      <c r="AE360" s="8"/>
      <c r="AF360" s="8"/>
      <c r="AG360" s="8">
        <v>1</v>
      </c>
      <c r="AH360" s="8">
        <v>1</v>
      </c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>
        <v>1</v>
      </c>
      <c r="AT360" s="8"/>
      <c r="AU360" s="8">
        <v>1</v>
      </c>
      <c r="AV360" s="8"/>
      <c r="AW360" s="8"/>
      <c r="AX360" s="8"/>
      <c r="AY360" s="8"/>
      <c r="AZ360" s="8"/>
      <c r="BA360" s="8"/>
      <c r="BB360" s="1"/>
      <c r="BL360" s="58"/>
      <c r="BP360" t="str">
        <f t="shared" si="13"/>
        <v>Fairy0</v>
      </c>
      <c r="BQ360" t="s">
        <v>2</v>
      </c>
      <c r="BR360">
        <v>6</v>
      </c>
    </row>
    <row r="361" spans="1:70" x14ac:dyDescent="0.25">
      <c r="A361">
        <f t="shared" si="14"/>
        <v>326</v>
      </c>
      <c r="B361" t="s">
        <v>339</v>
      </c>
      <c r="D361" s="1" t="s">
        <v>7</v>
      </c>
      <c r="E361" s="1" t="s">
        <v>6</v>
      </c>
      <c r="F361" s="1" t="s">
        <v>50</v>
      </c>
      <c r="G361" s="1" t="s">
        <v>50</v>
      </c>
      <c r="H361" s="1" t="s">
        <v>50</v>
      </c>
      <c r="I361" s="1" t="s">
        <v>50</v>
      </c>
      <c r="J361" s="1" t="s">
        <v>50</v>
      </c>
      <c r="K361" s="1" t="s">
        <v>50</v>
      </c>
      <c r="L361" s="1"/>
      <c r="M361" s="1" t="s">
        <v>104</v>
      </c>
      <c r="N361" s="1" t="s">
        <v>50</v>
      </c>
      <c r="O361" s="1" t="s">
        <v>50</v>
      </c>
      <c r="P361" s="1" t="s">
        <v>104</v>
      </c>
      <c r="Q361" s="1" t="s">
        <v>104</v>
      </c>
      <c r="R361" s="1" t="s">
        <v>104</v>
      </c>
      <c r="S361" s="1" t="s">
        <v>104</v>
      </c>
      <c r="T361" s="1" t="s">
        <v>104</v>
      </c>
      <c r="U361" s="1" t="s">
        <v>104</v>
      </c>
      <c r="V361" s="1" t="s">
        <v>104</v>
      </c>
      <c r="W361" s="1" t="s">
        <v>104</v>
      </c>
      <c r="X361" s="1" t="s">
        <v>729</v>
      </c>
      <c r="Y361" s="1"/>
      <c r="Z361" s="8"/>
      <c r="AA361" s="8"/>
      <c r="AB361" s="8"/>
      <c r="AC361" s="8"/>
      <c r="AD361" s="8"/>
      <c r="AE361" s="8"/>
      <c r="AF361" s="8"/>
      <c r="AG361" s="8">
        <v>1</v>
      </c>
      <c r="AH361" s="8">
        <v>1</v>
      </c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>
        <v>1</v>
      </c>
      <c r="AT361" s="8"/>
      <c r="AU361" s="8">
        <v>1</v>
      </c>
      <c r="AV361" s="8"/>
      <c r="AW361" s="8"/>
      <c r="AX361" s="8"/>
      <c r="AY361" s="8"/>
      <c r="AZ361" s="8"/>
      <c r="BA361" s="8"/>
      <c r="BB361" s="1"/>
      <c r="BJ361">
        <v>24</v>
      </c>
      <c r="BK361">
        <v>7</v>
      </c>
      <c r="BL361" s="58"/>
      <c r="BP361" t="str">
        <f t="shared" si="13"/>
        <v>FairySteel</v>
      </c>
      <c r="BR361">
        <v>6</v>
      </c>
    </row>
    <row r="362" spans="1:70" x14ac:dyDescent="0.25">
      <c r="A362" s="1" t="s">
        <v>50</v>
      </c>
      <c r="B362" t="s">
        <v>436</v>
      </c>
      <c r="C362" t="s">
        <v>101</v>
      </c>
      <c r="D362" s="1" t="s">
        <v>11</v>
      </c>
      <c r="E362" s="1">
        <v>0</v>
      </c>
      <c r="F362" s="1" t="s">
        <v>50</v>
      </c>
      <c r="G362" s="1" t="s">
        <v>50</v>
      </c>
      <c r="H362" s="1"/>
      <c r="I362" s="1" t="s">
        <v>50</v>
      </c>
      <c r="J362" s="1" t="s">
        <v>50</v>
      </c>
      <c r="K362" s="1" t="s">
        <v>50</v>
      </c>
      <c r="L362" s="1"/>
      <c r="M362" s="1" t="s">
        <v>50</v>
      </c>
      <c r="N362" s="1" t="s">
        <v>50</v>
      </c>
      <c r="O362" s="1" t="s">
        <v>50</v>
      </c>
      <c r="P362" s="1" t="s">
        <v>104</v>
      </c>
      <c r="Q362" s="1" t="s">
        <v>104</v>
      </c>
      <c r="R362" s="1" t="s">
        <v>104</v>
      </c>
      <c r="S362" s="1" t="s">
        <v>104</v>
      </c>
      <c r="T362" s="1" t="s">
        <v>104</v>
      </c>
      <c r="U362" s="1" t="s">
        <v>104</v>
      </c>
      <c r="V362" s="1" t="s">
        <v>104</v>
      </c>
      <c r="W362" s="1" t="s">
        <v>104</v>
      </c>
      <c r="X362" s="1" t="s">
        <v>729</v>
      </c>
      <c r="Y362" s="1"/>
      <c r="Z362" s="8">
        <v>1</v>
      </c>
      <c r="AA362" s="8">
        <v>1</v>
      </c>
      <c r="AB362" s="8"/>
      <c r="AC362" s="8"/>
      <c r="AD362" s="8"/>
      <c r="AE362" s="8"/>
      <c r="AF362" s="8"/>
      <c r="AG362" s="8">
        <v>1</v>
      </c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1"/>
      <c r="BL362" s="58"/>
      <c r="BP362" t="str">
        <f t="shared" si="13"/>
        <v>Grass0</v>
      </c>
      <c r="BQ362" t="s">
        <v>2</v>
      </c>
      <c r="BR362" s="1" t="s">
        <v>104</v>
      </c>
    </row>
    <row r="363" spans="1:70" x14ac:dyDescent="0.25">
      <c r="A363" s="1" t="s">
        <v>50</v>
      </c>
      <c r="B363" t="s">
        <v>437</v>
      </c>
      <c r="C363" t="s">
        <v>101</v>
      </c>
      <c r="D363" s="1" t="s">
        <v>11</v>
      </c>
      <c r="E363" s="1">
        <v>0</v>
      </c>
      <c r="F363" s="1" t="s">
        <v>50</v>
      </c>
      <c r="G363" s="1" t="s">
        <v>50</v>
      </c>
      <c r="H363" s="1"/>
      <c r="I363" s="1" t="s">
        <v>50</v>
      </c>
      <c r="J363" s="1" t="s">
        <v>50</v>
      </c>
      <c r="K363" s="1" t="s">
        <v>50</v>
      </c>
      <c r="L363" s="1"/>
      <c r="M363" s="1" t="s">
        <v>104</v>
      </c>
      <c r="N363" s="1" t="s">
        <v>50</v>
      </c>
      <c r="O363" s="1" t="s">
        <v>50</v>
      </c>
      <c r="P363" s="1" t="s">
        <v>104</v>
      </c>
      <c r="Q363" s="1" t="s">
        <v>104</v>
      </c>
      <c r="R363" s="1" t="s">
        <v>104</v>
      </c>
      <c r="S363" s="1" t="s">
        <v>104</v>
      </c>
      <c r="T363" s="1" t="s">
        <v>104</v>
      </c>
      <c r="U363" s="1" t="s">
        <v>104</v>
      </c>
      <c r="V363" s="1" t="s">
        <v>104</v>
      </c>
      <c r="W363" s="1" t="s">
        <v>104</v>
      </c>
      <c r="X363" s="1" t="s">
        <v>729</v>
      </c>
      <c r="Y363" s="1"/>
      <c r="Z363" s="8">
        <v>1</v>
      </c>
      <c r="AA363" s="8">
        <v>1</v>
      </c>
      <c r="AB363" s="8"/>
      <c r="AC363" s="8"/>
      <c r="AD363" s="8"/>
      <c r="AE363" s="8"/>
      <c r="AF363" s="8"/>
      <c r="AG363" s="8">
        <v>1</v>
      </c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1"/>
      <c r="BL363" s="58"/>
      <c r="BP363" t="str">
        <f t="shared" si="13"/>
        <v>Grass0</v>
      </c>
      <c r="BQ363" t="s">
        <v>2</v>
      </c>
      <c r="BR363" s="1" t="s">
        <v>104</v>
      </c>
    </row>
    <row r="364" spans="1:70" x14ac:dyDescent="0.25">
      <c r="A364" s="1" t="s">
        <v>50</v>
      </c>
      <c r="B364" t="s">
        <v>339</v>
      </c>
      <c r="C364" t="s">
        <v>101</v>
      </c>
      <c r="D364" s="1" t="s">
        <v>11</v>
      </c>
      <c r="E364" s="1" t="s">
        <v>6</v>
      </c>
      <c r="F364" s="1" t="s">
        <v>50</v>
      </c>
      <c r="G364" s="1" t="s">
        <v>50</v>
      </c>
      <c r="H364" s="1" t="s">
        <v>50</v>
      </c>
      <c r="I364" s="1" t="s">
        <v>50</v>
      </c>
      <c r="J364" s="1" t="s">
        <v>50</v>
      </c>
      <c r="K364" s="1" t="s">
        <v>50</v>
      </c>
      <c r="L364" s="1"/>
      <c r="M364" s="1" t="s">
        <v>104</v>
      </c>
      <c r="N364" s="1" t="s">
        <v>50</v>
      </c>
      <c r="O364" s="1" t="s">
        <v>50</v>
      </c>
      <c r="P364" s="1" t="s">
        <v>104</v>
      </c>
      <c r="Q364" s="1" t="s">
        <v>104</v>
      </c>
      <c r="R364" s="1" t="s">
        <v>104</v>
      </c>
      <c r="S364" s="1" t="s">
        <v>104</v>
      </c>
      <c r="T364" s="1" t="s">
        <v>104</v>
      </c>
      <c r="U364" s="1" t="s">
        <v>104</v>
      </c>
      <c r="V364" s="1" t="s">
        <v>104</v>
      </c>
      <c r="W364" s="1" t="s">
        <v>104</v>
      </c>
      <c r="X364" s="1" t="s">
        <v>729</v>
      </c>
      <c r="Y364" s="1"/>
      <c r="Z364" s="8">
        <v>1</v>
      </c>
      <c r="AA364" s="8">
        <v>1</v>
      </c>
      <c r="AB364" s="8"/>
      <c r="AC364" s="8"/>
      <c r="AD364" s="8"/>
      <c r="AE364" s="8"/>
      <c r="AF364" s="8"/>
      <c r="AG364" s="8">
        <v>1</v>
      </c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1"/>
      <c r="BJ364">
        <v>22</v>
      </c>
      <c r="BK364">
        <v>7</v>
      </c>
      <c r="BL364" s="58"/>
      <c r="BP364" t="str">
        <f t="shared" si="13"/>
        <v>GrassSteel</v>
      </c>
      <c r="BR364" s="1" t="s">
        <v>104</v>
      </c>
    </row>
    <row r="365" spans="1:70" x14ac:dyDescent="0.25">
      <c r="A365" s="1" t="s">
        <v>50</v>
      </c>
      <c r="B365" t="s">
        <v>436</v>
      </c>
      <c r="C365" t="s">
        <v>103</v>
      </c>
      <c r="D365" s="1" t="s">
        <v>13</v>
      </c>
      <c r="E365" s="1">
        <v>0</v>
      </c>
      <c r="F365" s="1" t="s">
        <v>50</v>
      </c>
      <c r="G365" s="1" t="s">
        <v>50</v>
      </c>
      <c r="H365" s="1"/>
      <c r="I365" s="1" t="s">
        <v>50</v>
      </c>
      <c r="J365" s="1" t="s">
        <v>50</v>
      </c>
      <c r="K365" s="1" t="s">
        <v>50</v>
      </c>
      <c r="L365" s="1"/>
      <c r="M365" s="1" t="s">
        <v>50</v>
      </c>
      <c r="N365" s="1" t="s">
        <v>50</v>
      </c>
      <c r="O365" s="1" t="s">
        <v>50</v>
      </c>
      <c r="P365" s="1" t="s">
        <v>104</v>
      </c>
      <c r="Q365" s="1" t="s">
        <v>104</v>
      </c>
      <c r="R365" s="1" t="s">
        <v>104</v>
      </c>
      <c r="S365" s="1" t="s">
        <v>104</v>
      </c>
      <c r="T365" s="1" t="s">
        <v>104</v>
      </c>
      <c r="U365" s="1" t="s">
        <v>104</v>
      </c>
      <c r="V365" s="1" t="s">
        <v>104</v>
      </c>
      <c r="W365" s="1" t="s">
        <v>104</v>
      </c>
      <c r="X365" s="1" t="s">
        <v>729</v>
      </c>
      <c r="Y365" s="1"/>
      <c r="Z365" s="8"/>
      <c r="AA365" s="8"/>
      <c r="AB365" s="8"/>
      <c r="AC365" s="8"/>
      <c r="AD365" s="8"/>
      <c r="AE365" s="8"/>
      <c r="AF365" s="8"/>
      <c r="AG365" s="8">
        <v>1</v>
      </c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>
        <v>1</v>
      </c>
      <c r="AW365" s="8">
        <v>1</v>
      </c>
      <c r="AX365" s="8"/>
      <c r="AY365" s="8"/>
      <c r="AZ365" s="8"/>
      <c r="BA365" s="8"/>
      <c r="BB365" s="1"/>
      <c r="BL365" s="58"/>
      <c r="BP365" t="str">
        <f t="shared" si="13"/>
        <v>Fire0</v>
      </c>
      <c r="BQ365" t="s">
        <v>2</v>
      </c>
      <c r="BR365" s="1" t="s">
        <v>104</v>
      </c>
    </row>
    <row r="366" spans="1:70" x14ac:dyDescent="0.25">
      <c r="A366" s="1" t="s">
        <v>50</v>
      </c>
      <c r="B366" t="s">
        <v>437</v>
      </c>
      <c r="C366" t="s">
        <v>103</v>
      </c>
      <c r="D366" s="1" t="s">
        <v>13</v>
      </c>
      <c r="E366" s="1">
        <v>0</v>
      </c>
      <c r="F366" s="1" t="s">
        <v>50</v>
      </c>
      <c r="G366" s="1" t="s">
        <v>50</v>
      </c>
      <c r="H366" s="1"/>
      <c r="I366" s="1" t="s">
        <v>50</v>
      </c>
      <c r="J366" s="1" t="s">
        <v>50</v>
      </c>
      <c r="K366" s="1" t="s">
        <v>50</v>
      </c>
      <c r="L366" s="1"/>
      <c r="M366" s="1" t="s">
        <v>104</v>
      </c>
      <c r="N366" s="1" t="s">
        <v>50</v>
      </c>
      <c r="O366" s="1" t="s">
        <v>50</v>
      </c>
      <c r="P366" s="1" t="s">
        <v>104</v>
      </c>
      <c r="Q366" s="1" t="s">
        <v>104</v>
      </c>
      <c r="R366" s="1" t="s">
        <v>104</v>
      </c>
      <c r="S366" s="1" t="s">
        <v>104</v>
      </c>
      <c r="T366" s="1" t="s">
        <v>104</v>
      </c>
      <c r="U366" s="1" t="s">
        <v>104</v>
      </c>
      <c r="V366" s="1" t="s">
        <v>104</v>
      </c>
      <c r="W366" s="1" t="s">
        <v>104</v>
      </c>
      <c r="X366" s="1" t="s">
        <v>729</v>
      </c>
      <c r="Y366" s="1"/>
      <c r="Z366" s="8"/>
      <c r="AA366" s="8"/>
      <c r="AB366" s="8"/>
      <c r="AC366" s="8"/>
      <c r="AD366" s="8"/>
      <c r="AE366" s="8"/>
      <c r="AF366" s="8"/>
      <c r="AG366" s="8">
        <v>1</v>
      </c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>
        <v>1</v>
      </c>
      <c r="AW366" s="8">
        <v>1</v>
      </c>
      <c r="AX366" s="8"/>
      <c r="AY366" s="8"/>
      <c r="AZ366" s="8"/>
      <c r="BA366" s="8"/>
      <c r="BB366" s="1"/>
      <c r="BL366" s="58"/>
      <c r="BP366" t="str">
        <f t="shared" si="13"/>
        <v>Fire0</v>
      </c>
      <c r="BQ366" t="s">
        <v>2</v>
      </c>
      <c r="BR366" s="1" t="s">
        <v>104</v>
      </c>
    </row>
    <row r="367" spans="1:70" x14ac:dyDescent="0.25">
      <c r="A367" s="1" t="s">
        <v>50</v>
      </c>
      <c r="B367" t="s">
        <v>339</v>
      </c>
      <c r="C367" t="s">
        <v>103</v>
      </c>
      <c r="D367" s="1" t="s">
        <v>13</v>
      </c>
      <c r="E367" s="1" t="s">
        <v>6</v>
      </c>
      <c r="F367" s="1" t="s">
        <v>50</v>
      </c>
      <c r="G367" s="1" t="s">
        <v>50</v>
      </c>
      <c r="H367" s="1" t="s">
        <v>50</v>
      </c>
      <c r="I367" s="1" t="s">
        <v>50</v>
      </c>
      <c r="J367" s="1" t="s">
        <v>50</v>
      </c>
      <c r="K367" s="1" t="s">
        <v>50</v>
      </c>
      <c r="L367" s="1"/>
      <c r="M367" s="1" t="s">
        <v>104</v>
      </c>
      <c r="N367" s="1" t="s">
        <v>50</v>
      </c>
      <c r="O367" s="1" t="s">
        <v>50</v>
      </c>
      <c r="P367" s="1" t="s">
        <v>104</v>
      </c>
      <c r="Q367" s="1" t="s">
        <v>104</v>
      </c>
      <c r="R367" s="1" t="s">
        <v>104</v>
      </c>
      <c r="S367" s="1" t="s">
        <v>104</v>
      </c>
      <c r="T367" s="1" t="s">
        <v>104</v>
      </c>
      <c r="U367" s="1" t="s">
        <v>104</v>
      </c>
      <c r="V367" s="1" t="s">
        <v>104</v>
      </c>
      <c r="W367" s="1" t="s">
        <v>104</v>
      </c>
      <c r="X367" s="1" t="s">
        <v>729</v>
      </c>
      <c r="Y367" s="1"/>
      <c r="Z367" s="8"/>
      <c r="AA367" s="8"/>
      <c r="AB367" s="8"/>
      <c r="AC367" s="8"/>
      <c r="AD367" s="8"/>
      <c r="AE367" s="8"/>
      <c r="AF367" s="8"/>
      <c r="AG367" s="8">
        <v>1</v>
      </c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>
        <v>1</v>
      </c>
      <c r="AW367" s="8">
        <v>1</v>
      </c>
      <c r="AX367" s="8"/>
      <c r="AY367" s="8"/>
      <c r="AZ367" s="8"/>
      <c r="BA367" s="8"/>
      <c r="BB367" s="1"/>
      <c r="BJ367">
        <v>16</v>
      </c>
      <c r="BK367">
        <v>2</v>
      </c>
      <c r="BL367" s="58"/>
      <c r="BP367" t="str">
        <f t="shared" si="13"/>
        <v>FireSteel</v>
      </c>
      <c r="BR367" s="1" t="s">
        <v>104</v>
      </c>
    </row>
    <row r="368" spans="1:70" x14ac:dyDescent="0.25">
      <c r="A368" s="1" t="s">
        <v>50</v>
      </c>
      <c r="B368" t="s">
        <v>436</v>
      </c>
      <c r="C368" t="s">
        <v>102</v>
      </c>
      <c r="D368" s="1" t="s">
        <v>8</v>
      </c>
      <c r="E368" s="1">
        <v>0</v>
      </c>
      <c r="F368" s="1" t="s">
        <v>50</v>
      </c>
      <c r="G368" s="1" t="s">
        <v>50</v>
      </c>
      <c r="H368" s="1"/>
      <c r="I368" s="1" t="s">
        <v>50</v>
      </c>
      <c r="J368" s="1" t="s">
        <v>50</v>
      </c>
      <c r="K368" s="1" t="s">
        <v>50</v>
      </c>
      <c r="L368" s="1"/>
      <c r="M368" s="1" t="s">
        <v>50</v>
      </c>
      <c r="N368" s="1" t="s">
        <v>50</v>
      </c>
      <c r="O368" s="1" t="s">
        <v>50</v>
      </c>
      <c r="P368" s="1" t="s">
        <v>104</v>
      </c>
      <c r="Q368" s="1" t="s">
        <v>104</v>
      </c>
      <c r="R368" s="1" t="s">
        <v>104</v>
      </c>
      <c r="S368" s="1" t="s">
        <v>104</v>
      </c>
      <c r="T368" s="1" t="s">
        <v>104</v>
      </c>
      <c r="U368" s="1" t="s">
        <v>104</v>
      </c>
      <c r="V368" s="1" t="s">
        <v>104</v>
      </c>
      <c r="W368" s="1" t="s">
        <v>104</v>
      </c>
      <c r="X368" s="1" t="s">
        <v>729</v>
      </c>
      <c r="Y368" s="1"/>
      <c r="Z368" s="8"/>
      <c r="AA368" s="8"/>
      <c r="AB368" s="8"/>
      <c r="AC368" s="8"/>
      <c r="AD368" s="8">
        <v>1</v>
      </c>
      <c r="AE368" s="8"/>
      <c r="AF368" s="8"/>
      <c r="AG368" s="8">
        <v>1</v>
      </c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X368" s="8">
        <v>1</v>
      </c>
      <c r="AY368" s="8">
        <v>1</v>
      </c>
      <c r="AZ368" s="8"/>
      <c r="BA368" s="8"/>
      <c r="BB368" s="1"/>
      <c r="BL368" s="58"/>
      <c r="BP368" t="str">
        <f t="shared" si="13"/>
        <v>Ground0</v>
      </c>
      <c r="BQ368" t="s">
        <v>2</v>
      </c>
      <c r="BR368" s="1" t="s">
        <v>104</v>
      </c>
    </row>
    <row r="369" spans="1:70" x14ac:dyDescent="0.25">
      <c r="A369" s="1" t="s">
        <v>50</v>
      </c>
      <c r="B369" t="s">
        <v>437</v>
      </c>
      <c r="C369" t="s">
        <v>102</v>
      </c>
      <c r="D369" s="1" t="s">
        <v>8</v>
      </c>
      <c r="E369" s="1">
        <v>0</v>
      </c>
      <c r="F369" s="1" t="s">
        <v>50</v>
      </c>
      <c r="G369" s="1" t="s">
        <v>50</v>
      </c>
      <c r="H369" s="1"/>
      <c r="I369" s="1" t="s">
        <v>50</v>
      </c>
      <c r="J369" s="1" t="s">
        <v>50</v>
      </c>
      <c r="K369" s="1" t="s">
        <v>50</v>
      </c>
      <c r="L369" s="1"/>
      <c r="M369" s="1" t="s">
        <v>104</v>
      </c>
      <c r="N369" s="1" t="s">
        <v>50</v>
      </c>
      <c r="O369" s="1" t="s">
        <v>50</v>
      </c>
      <c r="P369" s="1" t="s">
        <v>104</v>
      </c>
      <c r="Q369" s="1" t="s">
        <v>104</v>
      </c>
      <c r="R369" s="1" t="s">
        <v>104</v>
      </c>
      <c r="S369" s="1" t="s">
        <v>104</v>
      </c>
      <c r="T369" s="1" t="s">
        <v>104</v>
      </c>
      <c r="U369" s="1" t="s">
        <v>104</v>
      </c>
      <c r="V369" s="1" t="s">
        <v>104</v>
      </c>
      <c r="W369" s="1" t="s">
        <v>104</v>
      </c>
      <c r="X369" s="1" t="s">
        <v>729</v>
      </c>
      <c r="Y369" s="1"/>
      <c r="Z369" s="8"/>
      <c r="AA369" s="8"/>
      <c r="AB369" s="8"/>
      <c r="AC369" s="8"/>
      <c r="AD369" s="8">
        <v>1</v>
      </c>
      <c r="AE369" s="8"/>
      <c r="AF369" s="8"/>
      <c r="AG369" s="8">
        <v>1</v>
      </c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>
        <v>1</v>
      </c>
      <c r="AY369" s="8">
        <v>1</v>
      </c>
      <c r="AZ369" s="8"/>
      <c r="BA369" s="8"/>
      <c r="BB369" s="1"/>
      <c r="BL369" s="58"/>
      <c r="BP369" t="str">
        <f t="shared" si="13"/>
        <v>Ground0</v>
      </c>
      <c r="BQ369" t="s">
        <v>2</v>
      </c>
      <c r="BR369" s="1" t="s">
        <v>104</v>
      </c>
    </row>
    <row r="370" spans="1:70" x14ac:dyDescent="0.25">
      <c r="A370" s="1" t="s">
        <v>50</v>
      </c>
      <c r="B370" t="s">
        <v>339</v>
      </c>
      <c r="C370" t="s">
        <v>102</v>
      </c>
      <c r="D370" s="1" t="s">
        <v>8</v>
      </c>
      <c r="E370" s="1" t="s">
        <v>6</v>
      </c>
      <c r="F370" s="1" t="s">
        <v>50</v>
      </c>
      <c r="G370" s="1" t="s">
        <v>50</v>
      </c>
      <c r="H370" s="1" t="s">
        <v>50</v>
      </c>
      <c r="I370" s="1" t="s">
        <v>50</v>
      </c>
      <c r="J370" s="1" t="s">
        <v>50</v>
      </c>
      <c r="K370" s="1" t="s">
        <v>50</v>
      </c>
      <c r="L370" s="1"/>
      <c r="M370" s="1" t="s">
        <v>104</v>
      </c>
      <c r="N370" s="1" t="s">
        <v>50</v>
      </c>
      <c r="O370" s="1" t="s">
        <v>50</v>
      </c>
      <c r="P370" s="1" t="s">
        <v>104</v>
      </c>
      <c r="Q370" s="1" t="s">
        <v>104</v>
      </c>
      <c r="R370" s="1" t="s">
        <v>104</v>
      </c>
      <c r="S370" s="1" t="s">
        <v>104</v>
      </c>
      <c r="T370" s="1" t="s">
        <v>104</v>
      </c>
      <c r="U370" s="1" t="s">
        <v>104</v>
      </c>
      <c r="V370" s="1" t="s">
        <v>104</v>
      </c>
      <c r="W370" s="1" t="s">
        <v>104</v>
      </c>
      <c r="X370" s="1" t="s">
        <v>729</v>
      </c>
      <c r="Y370" s="1"/>
      <c r="Z370" s="8"/>
      <c r="AA370" s="8"/>
      <c r="AB370" s="8"/>
      <c r="AC370" s="8"/>
      <c r="AD370" s="8">
        <v>1</v>
      </c>
      <c r="AE370" s="8"/>
      <c r="AF370" s="8"/>
      <c r="AG370" s="8">
        <v>1</v>
      </c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>
        <v>1</v>
      </c>
      <c r="AY370" s="8">
        <v>1</v>
      </c>
      <c r="AZ370" s="8"/>
      <c r="BA370" s="8"/>
      <c r="BB370" s="1"/>
      <c r="BJ370">
        <v>5</v>
      </c>
      <c r="BK370">
        <v>2</v>
      </c>
      <c r="BL370" s="58"/>
      <c r="BP370" t="str">
        <f t="shared" si="13"/>
        <v>GroundSteel</v>
      </c>
      <c r="BR370" s="1" t="s">
        <v>104</v>
      </c>
    </row>
    <row r="371" spans="1:70" x14ac:dyDescent="0.25">
      <c r="A371">
        <f>A361+1</f>
        <v>327</v>
      </c>
      <c r="B371" t="s">
        <v>438</v>
      </c>
      <c r="D371" s="1" t="s">
        <v>42</v>
      </c>
      <c r="E371" s="1" t="s">
        <v>4</v>
      </c>
      <c r="F371" s="1" t="s">
        <v>50</v>
      </c>
      <c r="G371" s="1" t="s">
        <v>50</v>
      </c>
      <c r="H371" s="1"/>
      <c r="I371" s="1" t="s">
        <v>50</v>
      </c>
      <c r="J371" s="1" t="s">
        <v>50</v>
      </c>
      <c r="K371" s="1" t="s">
        <v>50</v>
      </c>
      <c r="L371" s="1"/>
      <c r="M371" s="1" t="s">
        <v>50</v>
      </c>
      <c r="N371" s="1" t="s">
        <v>50</v>
      </c>
      <c r="O371" s="1" t="s">
        <v>50</v>
      </c>
      <c r="P371" s="1" t="s">
        <v>104</v>
      </c>
      <c r="Q371" s="1" t="s">
        <v>104</v>
      </c>
      <c r="R371" s="1" t="s">
        <v>104</v>
      </c>
      <c r="S371" s="1" t="s">
        <v>104</v>
      </c>
      <c r="T371" s="1" t="s">
        <v>104</v>
      </c>
      <c r="U371" s="1" t="s">
        <v>104</v>
      </c>
      <c r="V371" s="1" t="s">
        <v>104</v>
      </c>
      <c r="W371" s="1" t="s">
        <v>104</v>
      </c>
      <c r="X371" s="1" t="s">
        <v>740</v>
      </c>
      <c r="Y371" s="1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>
        <v>1</v>
      </c>
      <c r="AT371" s="8"/>
      <c r="AU371" s="8">
        <v>1</v>
      </c>
      <c r="AV371" s="8"/>
      <c r="AW371" s="8"/>
      <c r="AX371" s="8"/>
      <c r="AY371" s="8"/>
      <c r="AZ371" s="8"/>
      <c r="BA371" s="8"/>
      <c r="BB371" s="1"/>
      <c r="BL371" s="58"/>
      <c r="BP371" t="str">
        <f t="shared" si="13"/>
        <v>CosmicPsychic</v>
      </c>
      <c r="BQ371" t="s">
        <v>2</v>
      </c>
      <c r="BR371">
        <v>3</v>
      </c>
    </row>
    <row r="372" spans="1:70" x14ac:dyDescent="0.25">
      <c r="A372">
        <f t="shared" ref="A372:A383" si="15">A371+1</f>
        <v>328</v>
      </c>
      <c r="B372" t="s">
        <v>340</v>
      </c>
      <c r="D372" s="1" t="s">
        <v>42</v>
      </c>
      <c r="E372" s="1" t="s">
        <v>4</v>
      </c>
      <c r="F372" s="1" t="s">
        <v>50</v>
      </c>
      <c r="G372" s="1" t="s">
        <v>50</v>
      </c>
      <c r="H372" s="1"/>
      <c r="I372" s="1" t="s">
        <v>50</v>
      </c>
      <c r="J372" s="1" t="s">
        <v>50</v>
      </c>
      <c r="K372" s="1" t="s">
        <v>50</v>
      </c>
      <c r="L372" s="1"/>
      <c r="M372" s="1" t="s">
        <v>104</v>
      </c>
      <c r="N372" s="1" t="s">
        <v>50</v>
      </c>
      <c r="O372" s="1" t="s">
        <v>50</v>
      </c>
      <c r="P372" s="1" t="s">
        <v>104</v>
      </c>
      <c r="Q372" s="1" t="s">
        <v>104</v>
      </c>
      <c r="R372" s="1" t="s">
        <v>104</v>
      </c>
      <c r="S372" s="1" t="s">
        <v>104</v>
      </c>
      <c r="T372" s="1" t="s">
        <v>104</v>
      </c>
      <c r="U372" s="1" t="s">
        <v>104</v>
      </c>
      <c r="V372" s="1" t="s">
        <v>104</v>
      </c>
      <c r="W372" s="1" t="s">
        <v>104</v>
      </c>
      <c r="X372" s="1" t="s">
        <v>740</v>
      </c>
      <c r="Y372" s="1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>
        <v>1</v>
      </c>
      <c r="AT372" s="8"/>
      <c r="AU372" s="8">
        <v>1</v>
      </c>
      <c r="AV372" s="8"/>
      <c r="AW372" s="8"/>
      <c r="AX372" s="8"/>
      <c r="AY372" s="8"/>
      <c r="AZ372" s="8"/>
      <c r="BA372" s="8"/>
      <c r="BB372" s="1"/>
      <c r="BL372" s="58"/>
      <c r="BP372" t="str">
        <f t="shared" si="13"/>
        <v>CosmicPsychic</v>
      </c>
      <c r="BQ372" t="s">
        <v>2</v>
      </c>
      <c r="BR372">
        <v>3</v>
      </c>
    </row>
    <row r="373" spans="1:70" x14ac:dyDescent="0.25">
      <c r="A373">
        <f t="shared" si="15"/>
        <v>329</v>
      </c>
      <c r="B373" t="s">
        <v>341</v>
      </c>
      <c r="D373" s="1" t="s">
        <v>42</v>
      </c>
      <c r="E373" s="1" t="s">
        <v>4</v>
      </c>
      <c r="F373" s="1" t="s">
        <v>50</v>
      </c>
      <c r="G373" s="1" t="s">
        <v>50</v>
      </c>
      <c r="H373" s="1" t="s">
        <v>50</v>
      </c>
      <c r="I373" s="1" t="s">
        <v>50</v>
      </c>
      <c r="J373" s="1" t="s">
        <v>50</v>
      </c>
      <c r="K373" s="1" t="s">
        <v>50</v>
      </c>
      <c r="L373" s="1"/>
      <c r="M373" s="1" t="s">
        <v>104</v>
      </c>
      <c r="N373" s="1" t="s">
        <v>50</v>
      </c>
      <c r="O373" s="1" t="s">
        <v>50</v>
      </c>
      <c r="P373" s="1" t="s">
        <v>104</v>
      </c>
      <c r="Q373" s="1" t="s">
        <v>50</v>
      </c>
      <c r="R373" s="1" t="s">
        <v>50</v>
      </c>
      <c r="S373" s="1" t="s">
        <v>50</v>
      </c>
      <c r="T373" s="1" t="s">
        <v>50</v>
      </c>
      <c r="U373" s="1" t="s">
        <v>50</v>
      </c>
      <c r="V373" s="1" t="s">
        <v>50</v>
      </c>
      <c r="W373" s="1" t="s">
        <v>50</v>
      </c>
      <c r="X373" s="1" t="s">
        <v>740</v>
      </c>
      <c r="Y373" s="1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>
        <v>1</v>
      </c>
      <c r="AT373" s="8"/>
      <c r="AU373" s="8">
        <v>1</v>
      </c>
      <c r="AV373" s="8"/>
      <c r="AW373" s="8"/>
      <c r="AX373" s="8"/>
      <c r="AY373" s="8"/>
      <c r="AZ373" s="8"/>
      <c r="BA373" s="8"/>
      <c r="BB373" s="1"/>
      <c r="BJ373">
        <v>13</v>
      </c>
      <c r="BK373">
        <v>5</v>
      </c>
      <c r="BL373" s="58"/>
      <c r="BP373" t="str">
        <f t="shared" si="13"/>
        <v>CosmicPsychic</v>
      </c>
      <c r="BR373">
        <v>3</v>
      </c>
    </row>
    <row r="374" spans="1:70" x14ac:dyDescent="0.25">
      <c r="A374">
        <f t="shared" si="15"/>
        <v>330</v>
      </c>
      <c r="B374" t="s">
        <v>439</v>
      </c>
      <c r="D374" s="1" t="s">
        <v>17</v>
      </c>
      <c r="E374" s="1" t="s">
        <v>10</v>
      </c>
      <c r="F374" s="1" t="s">
        <v>50</v>
      </c>
      <c r="G374" s="1" t="s">
        <v>50</v>
      </c>
      <c r="H374" s="1" t="s">
        <v>50</v>
      </c>
      <c r="I374" s="1" t="s">
        <v>50</v>
      </c>
      <c r="J374" s="1" t="s">
        <v>50</v>
      </c>
      <c r="K374" s="1" t="s">
        <v>50</v>
      </c>
      <c r="L374" s="1" t="s">
        <v>104</v>
      </c>
      <c r="M374" s="1" t="s">
        <v>50</v>
      </c>
      <c r="N374" s="1" t="s">
        <v>50</v>
      </c>
      <c r="O374" s="1" t="s">
        <v>50</v>
      </c>
      <c r="P374" s="13" t="s">
        <v>2071</v>
      </c>
      <c r="Q374" s="1" t="s">
        <v>104</v>
      </c>
      <c r="R374" s="1" t="s">
        <v>104</v>
      </c>
      <c r="S374" s="1" t="s">
        <v>104</v>
      </c>
      <c r="T374" s="1" t="s">
        <v>104</v>
      </c>
      <c r="U374" s="1" t="s">
        <v>104</v>
      </c>
      <c r="V374" s="1" t="s">
        <v>104</v>
      </c>
      <c r="W374" s="1" t="s">
        <v>104</v>
      </c>
      <c r="X374" s="1" t="s">
        <v>740</v>
      </c>
      <c r="Y374" s="1"/>
      <c r="Z374" s="8"/>
      <c r="AA374" s="8">
        <v>1</v>
      </c>
      <c r="AB374" s="8">
        <v>1</v>
      </c>
      <c r="AC374" s="8">
        <v>1</v>
      </c>
      <c r="AD374" s="8">
        <v>1</v>
      </c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>
        <v>1</v>
      </c>
      <c r="BA374" s="8"/>
      <c r="BB374" s="1"/>
      <c r="BL374" s="58"/>
      <c r="BP374" t="str">
        <f t="shared" si="13"/>
        <v>BugPoison</v>
      </c>
      <c r="BQ374" t="s">
        <v>2</v>
      </c>
      <c r="BR374">
        <v>2</v>
      </c>
    </row>
    <row r="375" spans="1:70" x14ac:dyDescent="0.25">
      <c r="A375">
        <f t="shared" si="15"/>
        <v>331</v>
      </c>
      <c r="B375" t="s">
        <v>440</v>
      </c>
      <c r="D375" s="1" t="s">
        <v>44</v>
      </c>
      <c r="E375" s="1" t="s">
        <v>18</v>
      </c>
      <c r="F375" s="1" t="s">
        <v>50</v>
      </c>
      <c r="G375" s="1" t="s">
        <v>50</v>
      </c>
      <c r="H375" s="1"/>
      <c r="I375" s="1" t="s">
        <v>50</v>
      </c>
      <c r="J375" s="1" t="s">
        <v>50</v>
      </c>
      <c r="K375" s="1" t="s">
        <v>50</v>
      </c>
      <c r="L375" s="1" t="s">
        <v>50</v>
      </c>
      <c r="M375" s="1" t="s">
        <v>50</v>
      </c>
      <c r="N375" s="1" t="s">
        <v>50</v>
      </c>
      <c r="O375" s="1" t="s">
        <v>50</v>
      </c>
      <c r="P375" s="13" t="s">
        <v>821</v>
      </c>
      <c r="Q375" s="1" t="s">
        <v>104</v>
      </c>
      <c r="R375" s="1" t="s">
        <v>104</v>
      </c>
      <c r="S375" s="1" t="s">
        <v>104</v>
      </c>
      <c r="T375" s="1" t="s">
        <v>104</v>
      </c>
      <c r="U375" s="1" t="s">
        <v>104</v>
      </c>
      <c r="V375" s="1" t="s">
        <v>104</v>
      </c>
      <c r="W375" s="1" t="s">
        <v>104</v>
      </c>
      <c r="X375" s="1" t="s">
        <v>727</v>
      </c>
      <c r="Y375" s="1"/>
      <c r="Z375" s="8"/>
      <c r="AA375" s="8"/>
      <c r="AB375" s="8"/>
      <c r="AC375" s="8"/>
      <c r="AD375" s="8"/>
      <c r="AE375" s="8">
        <v>1</v>
      </c>
      <c r="AF375" s="8">
        <v>1</v>
      </c>
      <c r="AG375" s="8">
        <v>1</v>
      </c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>
        <v>1</v>
      </c>
      <c r="AW375" s="8"/>
      <c r="AX375" s="8">
        <v>1</v>
      </c>
      <c r="AY375" s="8">
        <v>1</v>
      </c>
      <c r="AZ375" s="8"/>
      <c r="BA375" s="8"/>
      <c r="BB375" s="1"/>
      <c r="BL375" s="58"/>
      <c r="BP375" t="str">
        <f t="shared" si="13"/>
        <v>LightFighting</v>
      </c>
      <c r="BQ375" t="s">
        <v>2</v>
      </c>
      <c r="BR375">
        <v>3</v>
      </c>
    </row>
    <row r="376" spans="1:70" x14ac:dyDescent="0.25">
      <c r="A376">
        <f t="shared" si="15"/>
        <v>332</v>
      </c>
      <c r="B376" t="s">
        <v>441</v>
      </c>
      <c r="D376" s="1" t="s">
        <v>44</v>
      </c>
      <c r="E376" s="1" t="s">
        <v>18</v>
      </c>
      <c r="F376" s="1" t="s">
        <v>50</v>
      </c>
      <c r="G376" s="1" t="s">
        <v>50</v>
      </c>
      <c r="H376" s="1" t="s">
        <v>50</v>
      </c>
      <c r="I376" s="1" t="s">
        <v>50</v>
      </c>
      <c r="J376" s="1" t="s">
        <v>50</v>
      </c>
      <c r="K376" s="1" t="s">
        <v>50</v>
      </c>
      <c r="L376" s="1" t="s">
        <v>50</v>
      </c>
      <c r="M376" s="1" t="s">
        <v>104</v>
      </c>
      <c r="N376" s="1" t="s">
        <v>50</v>
      </c>
      <c r="O376" s="1" t="s">
        <v>50</v>
      </c>
      <c r="P376" s="13" t="s">
        <v>821</v>
      </c>
      <c r="Q376" s="1" t="s">
        <v>50</v>
      </c>
      <c r="R376" s="1" t="s">
        <v>50</v>
      </c>
      <c r="S376" s="1" t="s">
        <v>50</v>
      </c>
      <c r="T376" s="1" t="s">
        <v>50</v>
      </c>
      <c r="U376" s="1" t="s">
        <v>50</v>
      </c>
      <c r="V376" s="1" t="s">
        <v>50</v>
      </c>
      <c r="W376" s="1" t="s">
        <v>50</v>
      </c>
      <c r="X376" s="1" t="s">
        <v>727</v>
      </c>
      <c r="Y376" s="1"/>
      <c r="Z376" s="8"/>
      <c r="AA376" s="8"/>
      <c r="AB376" s="8"/>
      <c r="AC376" s="8"/>
      <c r="AD376" s="8"/>
      <c r="AE376" s="8">
        <v>1</v>
      </c>
      <c r="AF376" s="8">
        <v>1</v>
      </c>
      <c r="AG376" s="8">
        <v>1</v>
      </c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>
        <v>1</v>
      </c>
      <c r="AW376" s="8"/>
      <c r="AX376" s="8">
        <v>1</v>
      </c>
      <c r="AY376" s="8">
        <v>1</v>
      </c>
      <c r="AZ376" s="8"/>
      <c r="BA376" s="8"/>
      <c r="BB376" s="1"/>
      <c r="BJ376">
        <v>7</v>
      </c>
      <c r="BK376">
        <v>3</v>
      </c>
      <c r="BL376" s="58"/>
      <c r="BP376" t="str">
        <f t="shared" si="13"/>
        <v>LightFighting</v>
      </c>
      <c r="BR376">
        <v>3</v>
      </c>
    </row>
    <row r="377" spans="1:70" x14ac:dyDescent="0.25">
      <c r="A377">
        <f t="shared" si="15"/>
        <v>333</v>
      </c>
      <c r="B377" t="s">
        <v>442</v>
      </c>
      <c r="D377" s="1" t="s">
        <v>1</v>
      </c>
      <c r="E377" s="1" t="s">
        <v>17</v>
      </c>
      <c r="F377" s="1" t="s">
        <v>50</v>
      </c>
      <c r="G377" s="1" t="s">
        <v>50</v>
      </c>
      <c r="H377" s="1"/>
      <c r="I377" s="1" t="s">
        <v>50</v>
      </c>
      <c r="J377" s="1" t="s">
        <v>50</v>
      </c>
      <c r="K377" s="1" t="s">
        <v>50</v>
      </c>
      <c r="L377" s="1"/>
      <c r="M377" s="1" t="s">
        <v>50</v>
      </c>
      <c r="N377" s="1" t="s">
        <v>50</v>
      </c>
      <c r="O377" s="1" t="s">
        <v>50</v>
      </c>
      <c r="P377" s="13" t="s">
        <v>514</v>
      </c>
      <c r="Q377" s="1" t="s">
        <v>104</v>
      </c>
      <c r="R377" s="1" t="s">
        <v>104</v>
      </c>
      <c r="S377" s="1" t="s">
        <v>104</v>
      </c>
      <c r="T377" s="1" t="s">
        <v>104</v>
      </c>
      <c r="U377" s="1" t="s">
        <v>104</v>
      </c>
      <c r="V377" s="1" t="s">
        <v>104</v>
      </c>
      <c r="W377" s="1" t="s">
        <v>104</v>
      </c>
      <c r="X377" s="1" t="s">
        <v>727</v>
      </c>
      <c r="Y377" s="1"/>
      <c r="Z377" s="8">
        <v>1</v>
      </c>
      <c r="AA377" s="8">
        <v>1</v>
      </c>
      <c r="AB377" s="8"/>
      <c r="AC377" s="8"/>
      <c r="AD377" s="8">
        <v>1</v>
      </c>
      <c r="AE377" s="8"/>
      <c r="AF377" s="8"/>
      <c r="AG377" s="8">
        <v>1</v>
      </c>
      <c r="AH377" s="8">
        <v>1</v>
      </c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>
        <v>1</v>
      </c>
      <c r="AZ377" s="8"/>
      <c r="BA377" s="8"/>
      <c r="BB377" s="1"/>
      <c r="BL377" s="58"/>
      <c r="BP377" t="str">
        <f t="shared" si="13"/>
        <v>NormalBug</v>
      </c>
      <c r="BQ377" t="s">
        <v>2</v>
      </c>
      <c r="BR377">
        <v>3</v>
      </c>
    </row>
    <row r="378" spans="1:70" x14ac:dyDescent="0.25">
      <c r="A378">
        <f t="shared" si="15"/>
        <v>334</v>
      </c>
      <c r="B378" t="s">
        <v>342</v>
      </c>
      <c r="D378" s="1" t="s">
        <v>0</v>
      </c>
      <c r="E378" s="1" t="s">
        <v>17</v>
      </c>
      <c r="F378" s="1" t="s">
        <v>50</v>
      </c>
      <c r="G378" s="1" t="s">
        <v>50</v>
      </c>
      <c r="H378" s="1" t="s">
        <v>50</v>
      </c>
      <c r="I378" s="1" t="s">
        <v>50</v>
      </c>
      <c r="J378" s="1" t="s">
        <v>50</v>
      </c>
      <c r="K378" s="1" t="s">
        <v>50</v>
      </c>
      <c r="L378" s="1"/>
      <c r="M378" s="1" t="s">
        <v>104</v>
      </c>
      <c r="N378" s="1" t="s">
        <v>50</v>
      </c>
      <c r="O378" s="1" t="s">
        <v>50</v>
      </c>
      <c r="P378" s="1" t="s">
        <v>830</v>
      </c>
      <c r="Q378" s="1" t="s">
        <v>104</v>
      </c>
      <c r="R378" s="1" t="s">
        <v>104</v>
      </c>
      <c r="S378" s="1" t="s">
        <v>104</v>
      </c>
      <c r="T378" s="1" t="s">
        <v>104</v>
      </c>
      <c r="U378" s="1" t="s">
        <v>104</v>
      </c>
      <c r="V378" s="1" t="s">
        <v>104</v>
      </c>
      <c r="W378" s="1" t="s">
        <v>104</v>
      </c>
      <c r="X378" s="1" t="s">
        <v>727</v>
      </c>
      <c r="Y378" s="1"/>
      <c r="Z378" s="8"/>
      <c r="AA378" s="8"/>
      <c r="AB378" s="8">
        <v>1</v>
      </c>
      <c r="AC378" s="8">
        <v>1</v>
      </c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>
        <v>1</v>
      </c>
      <c r="AV378" s="8"/>
      <c r="AW378" s="8"/>
      <c r="AX378" s="8">
        <v>1</v>
      </c>
      <c r="AY378" s="8">
        <v>1</v>
      </c>
      <c r="AZ378" s="8">
        <v>1</v>
      </c>
      <c r="BA378" s="8"/>
      <c r="BB378" s="1"/>
      <c r="BJ378">
        <v>3</v>
      </c>
      <c r="BL378" s="58"/>
      <c r="BP378" t="str">
        <f t="shared" si="13"/>
        <v>DarkBug</v>
      </c>
      <c r="BR378">
        <v>3</v>
      </c>
    </row>
    <row r="379" spans="1:70" x14ac:dyDescent="0.25">
      <c r="A379">
        <f t="shared" si="15"/>
        <v>335</v>
      </c>
      <c r="B379" t="s">
        <v>443</v>
      </c>
      <c r="D379" s="1" t="s">
        <v>44</v>
      </c>
      <c r="E379" s="1" t="s">
        <v>17</v>
      </c>
      <c r="F379" s="1" t="s">
        <v>50</v>
      </c>
      <c r="G379" s="1" t="s">
        <v>50</v>
      </c>
      <c r="H379" s="1" t="s">
        <v>50</v>
      </c>
      <c r="I379" s="1" t="s">
        <v>50</v>
      </c>
      <c r="J379" s="1" t="s">
        <v>50</v>
      </c>
      <c r="K379" s="1" t="s">
        <v>50</v>
      </c>
      <c r="L379" s="1"/>
      <c r="M379" s="1" t="s">
        <v>104</v>
      </c>
      <c r="N379" s="1" t="s">
        <v>50</v>
      </c>
      <c r="O379" s="1" t="s">
        <v>50</v>
      </c>
      <c r="P379" s="13" t="s">
        <v>831</v>
      </c>
      <c r="Q379" s="1" t="s">
        <v>104</v>
      </c>
      <c r="R379" s="1" t="s">
        <v>104</v>
      </c>
      <c r="S379" s="1" t="s">
        <v>104</v>
      </c>
      <c r="T379" s="1" t="s">
        <v>104</v>
      </c>
      <c r="U379" s="1" t="s">
        <v>104</v>
      </c>
      <c r="V379" s="1" t="s">
        <v>104</v>
      </c>
      <c r="W379" s="1" t="s">
        <v>104</v>
      </c>
      <c r="X379" s="1" t="s">
        <v>727</v>
      </c>
      <c r="Y379" s="1"/>
      <c r="Z379" s="8"/>
      <c r="AA379" s="8"/>
      <c r="AB379" s="8"/>
      <c r="AC379" s="8">
        <v>1</v>
      </c>
      <c r="AD379" s="8"/>
      <c r="AE379" s="8"/>
      <c r="AF379" s="8"/>
      <c r="AG379" s="8">
        <v>1</v>
      </c>
      <c r="AH379" s="8">
        <v>1</v>
      </c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>
        <v>1</v>
      </c>
      <c r="AV379" s="8"/>
      <c r="AW379" s="8"/>
      <c r="AX379" s="8"/>
      <c r="AY379" s="8"/>
      <c r="AZ379" s="8"/>
      <c r="BA379" s="8"/>
      <c r="BB379" s="1"/>
      <c r="BJ379">
        <v>1</v>
      </c>
      <c r="BK379">
        <v>1</v>
      </c>
      <c r="BL379" s="58"/>
      <c r="BP379" t="str">
        <f t="shared" si="13"/>
        <v>LightBug</v>
      </c>
      <c r="BR379">
        <v>3</v>
      </c>
    </row>
    <row r="380" spans="1:70" x14ac:dyDescent="0.25">
      <c r="A380">
        <f t="shared" si="15"/>
        <v>336</v>
      </c>
      <c r="B380" t="s">
        <v>444</v>
      </c>
      <c r="D380" s="1" t="s">
        <v>4</v>
      </c>
      <c r="E380" s="1" t="s">
        <v>12</v>
      </c>
      <c r="F380" s="1" t="s">
        <v>50</v>
      </c>
      <c r="G380" s="1" t="s">
        <v>50</v>
      </c>
      <c r="H380" s="1"/>
      <c r="I380" s="1" t="s">
        <v>50</v>
      </c>
      <c r="J380" s="1" t="s">
        <v>50</v>
      </c>
      <c r="K380" s="1" t="s">
        <v>50</v>
      </c>
      <c r="L380" s="1"/>
      <c r="M380" s="1" t="s">
        <v>50</v>
      </c>
      <c r="N380" s="1" t="s">
        <v>50</v>
      </c>
      <c r="O380" s="1" t="s">
        <v>50</v>
      </c>
      <c r="P380" s="1" t="s">
        <v>811</v>
      </c>
      <c r="Q380" s="1" t="s">
        <v>104</v>
      </c>
      <c r="R380" s="1" t="s">
        <v>104</v>
      </c>
      <c r="S380" s="1" t="s">
        <v>104</v>
      </c>
      <c r="T380" s="1" t="s">
        <v>104</v>
      </c>
      <c r="U380" s="1" t="s">
        <v>104</v>
      </c>
      <c r="V380" s="1" t="s">
        <v>104</v>
      </c>
      <c r="W380" s="1" t="s">
        <v>104</v>
      </c>
      <c r="X380" s="1" t="s">
        <v>740</v>
      </c>
      <c r="Y380" s="1"/>
      <c r="Z380" s="8"/>
      <c r="AA380" s="8"/>
      <c r="AB380" s="8">
        <v>1</v>
      </c>
      <c r="AC380" s="8">
        <v>1</v>
      </c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1"/>
      <c r="BL380" s="58"/>
      <c r="BP380" t="str">
        <f t="shared" si="13"/>
        <v>PsychicDragon</v>
      </c>
      <c r="BQ380" t="s">
        <v>2</v>
      </c>
      <c r="BR380">
        <v>5</v>
      </c>
    </row>
    <row r="381" spans="1:70" x14ac:dyDescent="0.25">
      <c r="A381">
        <f t="shared" si="15"/>
        <v>337</v>
      </c>
      <c r="B381" t="s">
        <v>343</v>
      </c>
      <c r="D381" s="1" t="s">
        <v>4</v>
      </c>
      <c r="E381" s="1" t="s">
        <v>12</v>
      </c>
      <c r="F381" s="1" t="s">
        <v>50</v>
      </c>
      <c r="G381" s="1" t="s">
        <v>50</v>
      </c>
      <c r="H381" s="1"/>
      <c r="I381" s="1" t="s">
        <v>50</v>
      </c>
      <c r="J381" s="1" t="s">
        <v>50</v>
      </c>
      <c r="K381" s="1" t="s">
        <v>50</v>
      </c>
      <c r="L381" s="1"/>
      <c r="M381" s="1" t="s">
        <v>104</v>
      </c>
      <c r="N381" s="1" t="s">
        <v>50</v>
      </c>
      <c r="O381" s="1" t="s">
        <v>50</v>
      </c>
      <c r="P381" s="1" t="s">
        <v>811</v>
      </c>
      <c r="Q381" s="1" t="s">
        <v>104</v>
      </c>
      <c r="R381" s="1" t="s">
        <v>104</v>
      </c>
      <c r="S381" s="1" t="s">
        <v>104</v>
      </c>
      <c r="T381" s="1" t="s">
        <v>104</v>
      </c>
      <c r="U381" s="1" t="s">
        <v>104</v>
      </c>
      <c r="V381" s="1" t="s">
        <v>104</v>
      </c>
      <c r="W381" s="1" t="s">
        <v>104</v>
      </c>
      <c r="X381" s="1" t="s">
        <v>740</v>
      </c>
      <c r="Y381" s="1"/>
      <c r="Z381" s="8"/>
      <c r="AA381" s="8"/>
      <c r="AB381" s="8">
        <v>1</v>
      </c>
      <c r="AC381" s="8">
        <v>1</v>
      </c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1"/>
      <c r="BL381" s="58"/>
      <c r="BP381" t="str">
        <f t="shared" si="13"/>
        <v>PsychicDragon</v>
      </c>
      <c r="BQ381" t="s">
        <v>2</v>
      </c>
      <c r="BR381">
        <v>5</v>
      </c>
    </row>
    <row r="382" spans="1:70" x14ac:dyDescent="0.25">
      <c r="A382">
        <f t="shared" si="15"/>
        <v>338</v>
      </c>
      <c r="B382" t="s">
        <v>445</v>
      </c>
      <c r="D382" s="1" t="s">
        <v>4</v>
      </c>
      <c r="E382" s="1" t="s">
        <v>12</v>
      </c>
      <c r="F382" s="1" t="s">
        <v>50</v>
      </c>
      <c r="G382" s="1" t="s">
        <v>50</v>
      </c>
      <c r="H382" s="1" t="s">
        <v>50</v>
      </c>
      <c r="I382" s="1" t="s">
        <v>50</v>
      </c>
      <c r="J382" s="1" t="s">
        <v>50</v>
      </c>
      <c r="K382" s="1" t="s">
        <v>50</v>
      </c>
      <c r="L382" s="1"/>
      <c r="M382" s="1" t="s">
        <v>104</v>
      </c>
      <c r="N382" s="1" t="s">
        <v>50</v>
      </c>
      <c r="O382" s="1" t="s">
        <v>50</v>
      </c>
      <c r="P382" s="1" t="s">
        <v>811</v>
      </c>
      <c r="Q382" s="1" t="s">
        <v>104</v>
      </c>
      <c r="R382" s="1" t="s">
        <v>104</v>
      </c>
      <c r="S382" s="1" t="s">
        <v>104</v>
      </c>
      <c r="T382" s="1" t="s">
        <v>104</v>
      </c>
      <c r="U382" s="1" t="s">
        <v>104</v>
      </c>
      <c r="V382" s="1" t="s">
        <v>104</v>
      </c>
      <c r="W382" s="1" t="s">
        <v>104</v>
      </c>
      <c r="X382" s="1" t="s">
        <v>740</v>
      </c>
      <c r="Y382" s="1"/>
      <c r="Z382" s="8"/>
      <c r="AA382" s="8"/>
      <c r="AB382" s="8">
        <v>1</v>
      </c>
      <c r="AC382" s="8">
        <v>1</v>
      </c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1"/>
      <c r="BJ382">
        <v>7</v>
      </c>
      <c r="BK382">
        <v>3</v>
      </c>
      <c r="BL382" s="58"/>
      <c r="BP382" t="str">
        <f t="shared" si="13"/>
        <v>PsychicDragon</v>
      </c>
      <c r="BR382">
        <v>5</v>
      </c>
    </row>
    <row r="383" spans="1:70" x14ac:dyDescent="0.25">
      <c r="A383">
        <f t="shared" si="15"/>
        <v>339</v>
      </c>
      <c r="B383" t="s">
        <v>346</v>
      </c>
      <c r="D383" s="1" t="s">
        <v>11</v>
      </c>
      <c r="E383" s="1" t="s">
        <v>5</v>
      </c>
      <c r="F383" s="1" t="s">
        <v>50</v>
      </c>
      <c r="G383" s="1" t="s">
        <v>50</v>
      </c>
      <c r="H383" s="1"/>
      <c r="I383" s="1" t="s">
        <v>50</v>
      </c>
      <c r="J383" s="1" t="s">
        <v>50</v>
      </c>
      <c r="K383" s="1" t="s">
        <v>50</v>
      </c>
      <c r="L383" s="1" t="s">
        <v>1767</v>
      </c>
      <c r="M383" s="1" t="s">
        <v>50</v>
      </c>
      <c r="N383" s="1" t="s">
        <v>50</v>
      </c>
      <c r="O383" s="1" t="s">
        <v>50</v>
      </c>
      <c r="P383" s="13" t="s">
        <v>832</v>
      </c>
      <c r="Q383" s="1" t="s">
        <v>104</v>
      </c>
      <c r="R383" s="1" t="s">
        <v>104</v>
      </c>
      <c r="S383" s="1" t="s">
        <v>104</v>
      </c>
      <c r="T383" s="1" t="s">
        <v>104</v>
      </c>
      <c r="U383" s="1" t="s">
        <v>104</v>
      </c>
      <c r="V383" s="1" t="s">
        <v>104</v>
      </c>
      <c r="W383" s="1" t="s">
        <v>104</v>
      </c>
      <c r="X383" s="1" t="s">
        <v>727</v>
      </c>
      <c r="Y383" s="1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>
        <v>1</v>
      </c>
      <c r="AP383" s="8">
        <v>1</v>
      </c>
      <c r="AQ383" s="8">
        <v>1</v>
      </c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1"/>
      <c r="BL383" s="58"/>
      <c r="BP383" t="str">
        <f t="shared" si="13"/>
        <v>GrassIce</v>
      </c>
      <c r="BQ383" t="s">
        <v>2</v>
      </c>
      <c r="BR383">
        <v>4</v>
      </c>
    </row>
    <row r="384" spans="1:70" x14ac:dyDescent="0.25">
      <c r="A384" s="1" t="s">
        <v>50</v>
      </c>
      <c r="B384" t="s">
        <v>347</v>
      </c>
      <c r="C384" t="s">
        <v>109</v>
      </c>
      <c r="D384" s="1" t="s">
        <v>11</v>
      </c>
      <c r="E384" s="1" t="s">
        <v>5</v>
      </c>
      <c r="F384" s="1" t="s">
        <v>50</v>
      </c>
      <c r="G384" s="1" t="s">
        <v>50</v>
      </c>
      <c r="H384" s="1" t="s">
        <v>50</v>
      </c>
      <c r="I384" s="1" t="s">
        <v>50</v>
      </c>
      <c r="J384" s="1" t="s">
        <v>50</v>
      </c>
      <c r="K384" s="1" t="s">
        <v>50</v>
      </c>
      <c r="L384" s="1"/>
      <c r="M384" s="1" t="s">
        <v>104</v>
      </c>
      <c r="N384" s="1" t="s">
        <v>50</v>
      </c>
      <c r="O384" s="1" t="s">
        <v>50</v>
      </c>
      <c r="P384" s="13" t="s">
        <v>832</v>
      </c>
      <c r="Q384" s="1" t="s">
        <v>104</v>
      </c>
      <c r="R384" s="1" t="s">
        <v>104</v>
      </c>
      <c r="S384" s="1" t="s">
        <v>104</v>
      </c>
      <c r="T384" s="1" t="s">
        <v>104</v>
      </c>
      <c r="U384" s="1" t="s">
        <v>104</v>
      </c>
      <c r="V384" s="1" t="s">
        <v>104</v>
      </c>
      <c r="W384" s="1" t="s">
        <v>104</v>
      </c>
      <c r="X384" s="1" t="s">
        <v>727</v>
      </c>
      <c r="Y384" s="1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>
        <v>1</v>
      </c>
      <c r="AP384" s="8">
        <v>1</v>
      </c>
      <c r="AQ384" s="8">
        <v>1</v>
      </c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1"/>
      <c r="BJ384">
        <v>1</v>
      </c>
      <c r="BK384">
        <v>1</v>
      </c>
      <c r="BL384" s="58"/>
      <c r="BP384" t="str">
        <f t="shared" si="13"/>
        <v>GrassIce</v>
      </c>
      <c r="BR384" s="1" t="s">
        <v>104</v>
      </c>
    </row>
    <row r="385" spans="1:70" x14ac:dyDescent="0.25">
      <c r="A385">
        <f>A383+1</f>
        <v>340</v>
      </c>
      <c r="B385" t="s">
        <v>347</v>
      </c>
      <c r="D385" s="1" t="s">
        <v>7</v>
      </c>
      <c r="E385" s="1" t="s">
        <v>5</v>
      </c>
      <c r="F385" s="1" t="s">
        <v>50</v>
      </c>
      <c r="G385" s="1" t="s">
        <v>50</v>
      </c>
      <c r="H385" s="1" t="s">
        <v>50</v>
      </c>
      <c r="I385" s="1" t="s">
        <v>50</v>
      </c>
      <c r="J385" s="1" t="s">
        <v>50</v>
      </c>
      <c r="K385" s="1" t="s">
        <v>50</v>
      </c>
      <c r="L385" s="1"/>
      <c r="M385" s="1" t="s">
        <v>104</v>
      </c>
      <c r="N385" s="1" t="s">
        <v>50</v>
      </c>
      <c r="O385" s="1" t="s">
        <v>50</v>
      </c>
      <c r="P385" s="13" t="s">
        <v>832</v>
      </c>
      <c r="Q385" s="1" t="s">
        <v>104</v>
      </c>
      <c r="R385" s="1" t="s">
        <v>104</v>
      </c>
      <c r="S385" s="1" t="s">
        <v>104</v>
      </c>
      <c r="T385" s="1" t="s">
        <v>104</v>
      </c>
      <c r="U385" s="1" t="s">
        <v>104</v>
      </c>
      <c r="V385" s="1" t="s">
        <v>104</v>
      </c>
      <c r="W385" s="1" t="s">
        <v>104</v>
      </c>
      <c r="X385" s="1" t="s">
        <v>727</v>
      </c>
      <c r="Y385" s="1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>
        <v>1</v>
      </c>
      <c r="AP385" s="8">
        <v>1</v>
      </c>
      <c r="AQ385" s="8">
        <v>1</v>
      </c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1"/>
      <c r="BJ385">
        <f>BJ384</f>
        <v>1</v>
      </c>
      <c r="BK385">
        <v>1</v>
      </c>
      <c r="BL385" s="58"/>
      <c r="BP385" t="str">
        <f t="shared" si="13"/>
        <v>FairyIce</v>
      </c>
      <c r="BR385">
        <v>4</v>
      </c>
    </row>
    <row r="386" spans="1:70" x14ac:dyDescent="0.25">
      <c r="A386">
        <f>A385+1</f>
        <v>341</v>
      </c>
      <c r="B386" t="s">
        <v>348</v>
      </c>
      <c r="D386" s="1" t="s">
        <v>0</v>
      </c>
      <c r="E386" s="1" t="s">
        <v>11</v>
      </c>
      <c r="F386" s="1" t="s">
        <v>50</v>
      </c>
      <c r="G386" s="1" t="s">
        <v>50</v>
      </c>
      <c r="H386" s="1"/>
      <c r="I386" s="1" t="s">
        <v>50</v>
      </c>
      <c r="J386" s="1" t="s">
        <v>50</v>
      </c>
      <c r="K386" s="1" t="s">
        <v>50</v>
      </c>
      <c r="L386" s="1"/>
      <c r="M386" s="1" t="s">
        <v>50</v>
      </c>
      <c r="N386" s="1" t="s">
        <v>50</v>
      </c>
      <c r="O386" s="1" t="s">
        <v>50</v>
      </c>
      <c r="P386" s="1" t="s">
        <v>810</v>
      </c>
      <c r="Q386" s="1" t="s">
        <v>104</v>
      </c>
      <c r="R386" s="1" t="s">
        <v>104</v>
      </c>
      <c r="S386" s="1" t="s">
        <v>104</v>
      </c>
      <c r="T386" s="1" t="s">
        <v>104</v>
      </c>
      <c r="U386" s="1" t="s">
        <v>104</v>
      </c>
      <c r="V386" s="1" t="s">
        <v>104</v>
      </c>
      <c r="W386" s="1" t="s">
        <v>104</v>
      </c>
      <c r="X386" s="1" t="s">
        <v>727</v>
      </c>
      <c r="Y386" s="1"/>
      <c r="Z386" s="8"/>
      <c r="AA386" s="8"/>
      <c r="AB386" s="8">
        <v>1</v>
      </c>
      <c r="AC386" s="8">
        <v>1</v>
      </c>
      <c r="AD386" s="8"/>
      <c r="AE386" s="8"/>
      <c r="AF386" s="8"/>
      <c r="AG386" s="8"/>
      <c r="AH386" s="8">
        <v>1</v>
      </c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>
        <v>1</v>
      </c>
      <c r="AW386" s="8"/>
      <c r="AX386" s="8"/>
      <c r="AY386" s="8"/>
      <c r="AZ386" s="8">
        <v>1</v>
      </c>
      <c r="BA386" s="8"/>
      <c r="BB386" s="1"/>
      <c r="BL386" s="58"/>
      <c r="BP386" t="str">
        <f t="shared" ref="BP386:BP449" si="16">D386&amp;E386</f>
        <v>DarkGrass</v>
      </c>
      <c r="BQ386" t="s">
        <v>2</v>
      </c>
      <c r="BR386">
        <v>8</v>
      </c>
    </row>
    <row r="387" spans="1:70" x14ac:dyDescent="0.25">
      <c r="A387">
        <f>A386+1</f>
        <v>342</v>
      </c>
      <c r="B387" t="s">
        <v>446</v>
      </c>
      <c r="D387" s="1" t="s">
        <v>0</v>
      </c>
      <c r="E387" s="1" t="s">
        <v>11</v>
      </c>
      <c r="F387" s="1" t="s">
        <v>50</v>
      </c>
      <c r="G387" s="1" t="s">
        <v>50</v>
      </c>
      <c r="H387" s="1" t="s">
        <v>50</v>
      </c>
      <c r="I387" s="1" t="s">
        <v>50</v>
      </c>
      <c r="J387" s="1" t="s">
        <v>50</v>
      </c>
      <c r="K387" s="1" t="s">
        <v>50</v>
      </c>
      <c r="L387" s="1" t="s">
        <v>1767</v>
      </c>
      <c r="M387" s="1" t="s">
        <v>104</v>
      </c>
      <c r="N387" s="1" t="s">
        <v>50</v>
      </c>
      <c r="O387" s="1" t="s">
        <v>50</v>
      </c>
      <c r="P387" s="1" t="s">
        <v>810</v>
      </c>
      <c r="Q387" s="1" t="s">
        <v>104</v>
      </c>
      <c r="R387" s="1" t="s">
        <v>104</v>
      </c>
      <c r="S387" s="1" t="s">
        <v>104</v>
      </c>
      <c r="T387" s="1" t="s">
        <v>104</v>
      </c>
      <c r="U387" s="1" t="s">
        <v>104</v>
      </c>
      <c r="V387" s="1" t="s">
        <v>104</v>
      </c>
      <c r="W387" s="1" t="s">
        <v>104</v>
      </c>
      <c r="X387" s="1" t="s">
        <v>727</v>
      </c>
      <c r="Y387" s="1"/>
      <c r="Z387" s="8"/>
      <c r="AA387" s="8"/>
      <c r="AB387" s="8">
        <v>1</v>
      </c>
      <c r="AC387" s="8">
        <v>1</v>
      </c>
      <c r="AD387" s="8"/>
      <c r="AE387" s="8"/>
      <c r="AF387" s="8"/>
      <c r="AG387" s="8"/>
      <c r="AH387" s="8">
        <v>1</v>
      </c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>
        <v>1</v>
      </c>
      <c r="AW387" s="8"/>
      <c r="AX387" s="8"/>
      <c r="AY387" s="8"/>
      <c r="AZ387" s="8">
        <v>1</v>
      </c>
      <c r="BA387" s="8"/>
      <c r="BB387" s="1"/>
      <c r="BL387" s="58"/>
      <c r="BP387" t="str">
        <f t="shared" si="16"/>
        <v>DarkGrass</v>
      </c>
      <c r="BR387">
        <v>8</v>
      </c>
    </row>
    <row r="388" spans="1:70" x14ac:dyDescent="0.25">
      <c r="A388">
        <f>A387+1</f>
        <v>343</v>
      </c>
      <c r="B388" t="s">
        <v>349</v>
      </c>
      <c r="D388" s="1" t="s">
        <v>4</v>
      </c>
      <c r="E388" s="1" t="s">
        <v>14</v>
      </c>
      <c r="F388" s="1" t="s">
        <v>50</v>
      </c>
      <c r="G388" s="1" t="s">
        <v>50</v>
      </c>
      <c r="H388" s="1"/>
      <c r="I388" s="1" t="s">
        <v>50</v>
      </c>
      <c r="J388" s="1" t="s">
        <v>50</v>
      </c>
      <c r="K388" s="1" t="s">
        <v>50</v>
      </c>
      <c r="L388" s="1" t="s">
        <v>50</v>
      </c>
      <c r="M388" s="1" t="s">
        <v>50</v>
      </c>
      <c r="N388" s="1" t="s">
        <v>50</v>
      </c>
      <c r="O388" s="1" t="s">
        <v>50</v>
      </c>
      <c r="P388" s="1" t="s">
        <v>810</v>
      </c>
      <c r="Q388" s="1" t="s">
        <v>104</v>
      </c>
      <c r="R388" s="1" t="s">
        <v>104</v>
      </c>
      <c r="S388" s="1" t="s">
        <v>104</v>
      </c>
      <c r="T388" s="1" t="s">
        <v>104</v>
      </c>
      <c r="U388" s="1" t="s">
        <v>104</v>
      </c>
      <c r="V388" s="1" t="s">
        <v>104</v>
      </c>
      <c r="W388" s="1" t="s">
        <v>104</v>
      </c>
      <c r="X388" s="1" t="s">
        <v>727</v>
      </c>
      <c r="Y388" s="1"/>
      <c r="Z388" s="8"/>
      <c r="AA388" s="8"/>
      <c r="AB388" s="8"/>
      <c r="AC388" s="8"/>
      <c r="AD388" s="8"/>
      <c r="AE388" s="8"/>
      <c r="AF388" s="8"/>
      <c r="AG388" s="8">
        <v>1</v>
      </c>
      <c r="AH388" s="8">
        <v>1</v>
      </c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>
        <v>1</v>
      </c>
      <c r="AT388" s="8">
        <v>1</v>
      </c>
      <c r="AU388" s="8"/>
      <c r="AV388" s="8"/>
      <c r="AW388" s="8"/>
      <c r="AX388" s="8"/>
      <c r="AY388" s="8"/>
      <c r="AZ388" s="8"/>
      <c r="BA388" s="8"/>
      <c r="BB388" s="1"/>
      <c r="BL388" s="58"/>
      <c r="BP388" t="str">
        <f t="shared" si="16"/>
        <v>PsychicGhost</v>
      </c>
      <c r="BQ388" t="s">
        <v>2</v>
      </c>
      <c r="BR388">
        <v>6</v>
      </c>
    </row>
    <row r="389" spans="1:70" x14ac:dyDescent="0.25">
      <c r="A389">
        <f>A388+1</f>
        <v>344</v>
      </c>
      <c r="B389" t="s">
        <v>350</v>
      </c>
      <c r="D389" s="1" t="s">
        <v>4</v>
      </c>
      <c r="E389" s="1" t="s">
        <v>14</v>
      </c>
      <c r="F389" s="1" t="s">
        <v>50</v>
      </c>
      <c r="G389" s="1" t="s">
        <v>50</v>
      </c>
      <c r="H389" s="1" t="s">
        <v>50</v>
      </c>
      <c r="I389" s="1" t="s">
        <v>50</v>
      </c>
      <c r="J389" s="1" t="s">
        <v>50</v>
      </c>
      <c r="K389" s="1" t="s">
        <v>50</v>
      </c>
      <c r="L389" s="1"/>
      <c r="M389" s="1" t="s">
        <v>104</v>
      </c>
      <c r="N389" s="1" t="s">
        <v>50</v>
      </c>
      <c r="O389" s="1" t="s">
        <v>50</v>
      </c>
      <c r="P389" s="1" t="s">
        <v>810</v>
      </c>
      <c r="Q389" s="1" t="s">
        <v>50</v>
      </c>
      <c r="R389" s="1" t="s">
        <v>50</v>
      </c>
      <c r="S389" s="1" t="s">
        <v>50</v>
      </c>
      <c r="T389" s="1" t="s">
        <v>50</v>
      </c>
      <c r="U389" s="1" t="s">
        <v>50</v>
      </c>
      <c r="V389" s="1" t="s">
        <v>50</v>
      </c>
      <c r="W389" s="1" t="s">
        <v>50</v>
      </c>
      <c r="X389" s="1" t="s">
        <v>2553</v>
      </c>
      <c r="Y389" s="1"/>
      <c r="Z389" s="8"/>
      <c r="AA389" s="8"/>
      <c r="AB389" s="8"/>
      <c r="AC389" s="8"/>
      <c r="AD389" s="8"/>
      <c r="AE389" s="8"/>
      <c r="AF389" s="8"/>
      <c r="AG389" s="8">
        <v>1</v>
      </c>
      <c r="AH389" s="8">
        <v>1</v>
      </c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>
        <v>1</v>
      </c>
      <c r="AT389" s="8">
        <v>1</v>
      </c>
      <c r="AU389" s="8"/>
      <c r="AV389" s="8"/>
      <c r="AW389" s="8"/>
      <c r="AX389" s="8"/>
      <c r="AY389" s="8"/>
      <c r="AZ389" s="8"/>
      <c r="BA389" s="8"/>
      <c r="BB389" s="1"/>
      <c r="BJ389">
        <v>5</v>
      </c>
      <c r="BL389" s="58"/>
      <c r="BP389" t="str">
        <f t="shared" si="16"/>
        <v>PsychicGhost</v>
      </c>
      <c r="BR389">
        <v>6</v>
      </c>
    </row>
    <row r="390" spans="1:70" x14ac:dyDescent="0.25">
      <c r="A390" s="1" t="s">
        <v>50</v>
      </c>
      <c r="B390" t="s">
        <v>349</v>
      </c>
      <c r="C390" t="s">
        <v>108</v>
      </c>
      <c r="D390" s="1" t="s">
        <v>4</v>
      </c>
      <c r="E390" s="1" t="s">
        <v>13</v>
      </c>
      <c r="F390" s="1" t="s">
        <v>50</v>
      </c>
      <c r="G390" s="1" t="s">
        <v>50</v>
      </c>
      <c r="H390" s="1"/>
      <c r="I390" s="1" t="s">
        <v>50</v>
      </c>
      <c r="J390" s="1" t="s">
        <v>50</v>
      </c>
      <c r="K390" s="1" t="s">
        <v>50</v>
      </c>
      <c r="L390" s="1"/>
      <c r="M390" s="1" t="s">
        <v>50</v>
      </c>
      <c r="N390" s="1" t="s">
        <v>50</v>
      </c>
      <c r="O390" s="1" t="s">
        <v>50</v>
      </c>
      <c r="P390" s="1" t="s">
        <v>810</v>
      </c>
      <c r="Q390" s="1" t="s">
        <v>104</v>
      </c>
      <c r="R390" s="1" t="s">
        <v>104</v>
      </c>
      <c r="S390" s="1" t="s">
        <v>104</v>
      </c>
      <c r="T390" s="1" t="s">
        <v>104</v>
      </c>
      <c r="U390" s="1" t="s">
        <v>104</v>
      </c>
      <c r="V390" s="1" t="s">
        <v>104</v>
      </c>
      <c r="W390" s="1" t="s">
        <v>104</v>
      </c>
      <c r="X390" s="1" t="s">
        <v>727</v>
      </c>
      <c r="Y390" s="1"/>
      <c r="Z390" s="8"/>
      <c r="AA390" s="8"/>
      <c r="AB390" s="8"/>
      <c r="AC390" s="8"/>
      <c r="AD390" s="8"/>
      <c r="AE390" s="8"/>
      <c r="AF390" s="8"/>
      <c r="AG390" s="8">
        <v>1</v>
      </c>
      <c r="AH390" s="8">
        <v>1</v>
      </c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>
        <v>1</v>
      </c>
      <c r="AU390" s="8">
        <v>1</v>
      </c>
      <c r="AV390" s="8"/>
      <c r="AW390" s="8"/>
      <c r="AX390" s="8"/>
      <c r="AY390" s="8"/>
      <c r="AZ390" s="8"/>
      <c r="BA390" s="8"/>
      <c r="BB390" s="1"/>
      <c r="BL390" s="58"/>
      <c r="BP390" t="str">
        <f t="shared" si="16"/>
        <v>PsychicFire</v>
      </c>
      <c r="BQ390" t="s">
        <v>2</v>
      </c>
      <c r="BR390" s="1" t="s">
        <v>104</v>
      </c>
    </row>
    <row r="391" spans="1:70" x14ac:dyDescent="0.25">
      <c r="A391" s="1" t="s">
        <v>50</v>
      </c>
      <c r="B391" t="s">
        <v>350</v>
      </c>
      <c r="C391" t="s">
        <v>108</v>
      </c>
      <c r="D391" s="1" t="s">
        <v>4</v>
      </c>
      <c r="E391" s="1" t="s">
        <v>13</v>
      </c>
      <c r="F391" s="1" t="s">
        <v>50</v>
      </c>
      <c r="G391" s="1" t="s">
        <v>50</v>
      </c>
      <c r="H391" s="1" t="s">
        <v>50</v>
      </c>
      <c r="I391" s="1" t="s">
        <v>50</v>
      </c>
      <c r="J391" s="1" t="s">
        <v>50</v>
      </c>
      <c r="K391" s="1" t="s">
        <v>50</v>
      </c>
      <c r="L391" s="1"/>
      <c r="M391" s="1" t="s">
        <v>104</v>
      </c>
      <c r="N391" s="1" t="s">
        <v>50</v>
      </c>
      <c r="O391" s="1" t="s">
        <v>50</v>
      </c>
      <c r="P391" s="1" t="s">
        <v>810</v>
      </c>
      <c r="Q391" s="1" t="s">
        <v>50</v>
      </c>
      <c r="R391" s="1" t="s">
        <v>50</v>
      </c>
      <c r="S391" s="1" t="s">
        <v>50</v>
      </c>
      <c r="T391" s="1" t="s">
        <v>50</v>
      </c>
      <c r="U391" s="1" t="s">
        <v>50</v>
      </c>
      <c r="V391" s="1" t="s">
        <v>50</v>
      </c>
      <c r="W391" s="1" t="s">
        <v>50</v>
      </c>
      <c r="X391" s="1" t="s">
        <v>2553</v>
      </c>
      <c r="Y391" s="1"/>
      <c r="Z391" s="8"/>
      <c r="AA391" s="8"/>
      <c r="AB391" s="8"/>
      <c r="AC391" s="8"/>
      <c r="AD391" s="8"/>
      <c r="AE391" s="8"/>
      <c r="AF391" s="8"/>
      <c r="AG391" s="8">
        <v>1</v>
      </c>
      <c r="AH391" s="8">
        <v>1</v>
      </c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>
        <v>1</v>
      </c>
      <c r="AU391" s="8">
        <v>1</v>
      </c>
      <c r="AV391" s="8"/>
      <c r="AW391" s="8"/>
      <c r="AX391" s="8"/>
      <c r="AY391" s="8"/>
      <c r="AZ391" s="8"/>
      <c r="BA391" s="8"/>
      <c r="BB391" s="1"/>
      <c r="BJ391">
        <v>7</v>
      </c>
      <c r="BK391">
        <v>2</v>
      </c>
      <c r="BL391" s="58">
        <v>1</v>
      </c>
      <c r="BP391" t="str">
        <f t="shared" si="16"/>
        <v>PsychicFire</v>
      </c>
      <c r="BR391" s="1" t="s">
        <v>104</v>
      </c>
    </row>
    <row r="392" spans="1:70" x14ac:dyDescent="0.25">
      <c r="A392">
        <f>A389+1</f>
        <v>345</v>
      </c>
      <c r="B392" t="s">
        <v>351</v>
      </c>
      <c r="D392" s="1" t="s">
        <v>15</v>
      </c>
      <c r="E392" s="1" t="s">
        <v>10</v>
      </c>
      <c r="F392" s="1" t="s">
        <v>50</v>
      </c>
      <c r="G392" s="1" t="s">
        <v>50</v>
      </c>
      <c r="H392" s="1"/>
      <c r="I392" s="1" t="s">
        <v>50</v>
      </c>
      <c r="J392" s="1" t="s">
        <v>50</v>
      </c>
      <c r="K392" s="1" t="s">
        <v>50</v>
      </c>
      <c r="L392" s="1" t="s">
        <v>50</v>
      </c>
      <c r="M392" s="1" t="s">
        <v>50</v>
      </c>
      <c r="N392" s="1" t="s">
        <v>50</v>
      </c>
      <c r="O392" s="1" t="s">
        <v>50</v>
      </c>
      <c r="P392" s="1" t="s">
        <v>810</v>
      </c>
      <c r="Q392" s="1" t="s">
        <v>104</v>
      </c>
      <c r="R392" s="1" t="s">
        <v>104</v>
      </c>
      <c r="S392" s="1" t="s">
        <v>104</v>
      </c>
      <c r="T392" s="1" t="s">
        <v>104</v>
      </c>
      <c r="U392" s="1" t="s">
        <v>104</v>
      </c>
      <c r="V392" s="1" t="s">
        <v>104</v>
      </c>
      <c r="W392" s="1" t="s">
        <v>104</v>
      </c>
      <c r="X392" s="1" t="s">
        <v>727</v>
      </c>
      <c r="Y392" s="1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>
        <v>1</v>
      </c>
      <c r="AK392" s="8">
        <v>1</v>
      </c>
      <c r="AL392" s="8">
        <v>1</v>
      </c>
      <c r="AM392" s="8">
        <v>1</v>
      </c>
      <c r="AN392" s="8"/>
      <c r="AO392" s="8"/>
      <c r="AP392" s="8"/>
      <c r="AQ392" s="8"/>
      <c r="AR392" s="8"/>
      <c r="AS392" s="8"/>
      <c r="AT392" s="8">
        <v>1</v>
      </c>
      <c r="AU392" s="8"/>
      <c r="AV392" s="8"/>
      <c r="AW392" s="8"/>
      <c r="AX392" s="8"/>
      <c r="AY392" s="8"/>
      <c r="AZ392" s="8"/>
      <c r="BA392" s="8"/>
      <c r="BB392" s="1"/>
      <c r="BL392" s="58"/>
      <c r="BP392" t="str">
        <f t="shared" si="16"/>
        <v>WaterPoison</v>
      </c>
      <c r="BQ392" t="s">
        <v>2</v>
      </c>
      <c r="BR392">
        <v>2</v>
      </c>
    </row>
    <row r="393" spans="1:70" x14ac:dyDescent="0.25">
      <c r="A393">
        <f t="shared" ref="A393:A456" si="17">A392+1</f>
        <v>346</v>
      </c>
      <c r="B393" t="s">
        <v>352</v>
      </c>
      <c r="D393" s="1" t="s">
        <v>15</v>
      </c>
      <c r="E393" s="1" t="s">
        <v>10</v>
      </c>
      <c r="F393" s="1" t="s">
        <v>50</v>
      </c>
      <c r="G393" s="1" t="s">
        <v>50</v>
      </c>
      <c r="H393" s="1" t="s">
        <v>50</v>
      </c>
      <c r="I393" s="1" t="s">
        <v>50</v>
      </c>
      <c r="J393" s="1" t="s">
        <v>50</v>
      </c>
      <c r="K393" s="1" t="s">
        <v>50</v>
      </c>
      <c r="L393" s="1"/>
      <c r="M393" s="1" t="s">
        <v>104</v>
      </c>
      <c r="N393" s="1" t="s">
        <v>50</v>
      </c>
      <c r="O393" s="1" t="s">
        <v>50</v>
      </c>
      <c r="P393" s="1" t="s">
        <v>810</v>
      </c>
      <c r="Q393" s="1" t="s">
        <v>104</v>
      </c>
      <c r="R393" s="1" t="s">
        <v>104</v>
      </c>
      <c r="S393" s="1" t="s">
        <v>104</v>
      </c>
      <c r="T393" s="1" t="s">
        <v>104</v>
      </c>
      <c r="U393" s="1" t="s">
        <v>104</v>
      </c>
      <c r="V393" s="1" t="s">
        <v>104</v>
      </c>
      <c r="W393" s="1" t="s">
        <v>104</v>
      </c>
      <c r="X393" s="1" t="s">
        <v>727</v>
      </c>
      <c r="Y393" s="1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>
        <v>1</v>
      </c>
      <c r="AK393" s="8">
        <v>1</v>
      </c>
      <c r="AL393" s="8">
        <v>1</v>
      </c>
      <c r="AM393" s="8">
        <v>1</v>
      </c>
      <c r="AN393" s="8"/>
      <c r="AO393" s="8"/>
      <c r="AP393" s="8"/>
      <c r="AQ393" s="8"/>
      <c r="AR393" s="8"/>
      <c r="AS393" s="8"/>
      <c r="AT393" s="8">
        <v>1</v>
      </c>
      <c r="AU393" s="8"/>
      <c r="AV393" s="8"/>
      <c r="AW393" s="8"/>
      <c r="AX393" s="8"/>
      <c r="AY393" s="8"/>
      <c r="AZ393" s="8"/>
      <c r="BA393" s="8"/>
      <c r="BB393" s="1"/>
      <c r="BJ393">
        <v>3</v>
      </c>
      <c r="BK393">
        <v>1</v>
      </c>
      <c r="BL393" s="58"/>
      <c r="BP393" t="str">
        <f t="shared" si="16"/>
        <v>WaterPoison</v>
      </c>
      <c r="BR393">
        <v>8</v>
      </c>
    </row>
    <row r="394" spans="1:70" x14ac:dyDescent="0.25">
      <c r="A394">
        <f t="shared" si="17"/>
        <v>347</v>
      </c>
      <c r="B394" t="s">
        <v>447</v>
      </c>
      <c r="D394" s="1" t="s">
        <v>5</v>
      </c>
      <c r="E394" s="1" t="s">
        <v>16</v>
      </c>
      <c r="F394" s="1" t="s">
        <v>50</v>
      </c>
      <c r="G394" s="1" t="s">
        <v>50</v>
      </c>
      <c r="H394" s="1"/>
      <c r="I394" s="1" t="s">
        <v>50</v>
      </c>
      <c r="J394" s="1" t="s">
        <v>50</v>
      </c>
      <c r="K394" s="1" t="s">
        <v>50</v>
      </c>
      <c r="L394" s="1" t="s">
        <v>50</v>
      </c>
      <c r="M394" s="1" t="s">
        <v>50</v>
      </c>
      <c r="N394" s="1" t="s">
        <v>50</v>
      </c>
      <c r="O394" s="1" t="s">
        <v>50</v>
      </c>
      <c r="P394" s="1" t="s">
        <v>833</v>
      </c>
      <c r="Q394" s="1" t="s">
        <v>104</v>
      </c>
      <c r="R394" s="1" t="s">
        <v>104</v>
      </c>
      <c r="S394" s="1" t="s">
        <v>104</v>
      </c>
      <c r="T394" s="1" t="s">
        <v>104</v>
      </c>
      <c r="U394" s="1" t="s">
        <v>104</v>
      </c>
      <c r="V394" s="1" t="s">
        <v>104</v>
      </c>
      <c r="W394" s="1" t="s">
        <v>104</v>
      </c>
      <c r="X394" s="1" t="s">
        <v>727</v>
      </c>
      <c r="Y394" s="1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>
        <v>1</v>
      </c>
      <c r="AO394" s="8">
        <v>1</v>
      </c>
      <c r="AP394" s="8">
        <v>1</v>
      </c>
      <c r="AQ394" s="8">
        <v>1</v>
      </c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1"/>
      <c r="BL394" s="58"/>
      <c r="BP394" t="str">
        <f t="shared" si="16"/>
        <v>IceFlying</v>
      </c>
      <c r="BQ394" t="s">
        <v>2</v>
      </c>
      <c r="BR394">
        <v>1</v>
      </c>
    </row>
    <row r="395" spans="1:70" x14ac:dyDescent="0.25">
      <c r="A395">
        <f t="shared" si="17"/>
        <v>348</v>
      </c>
      <c r="B395" t="s">
        <v>448</v>
      </c>
      <c r="D395" s="1" t="s">
        <v>5</v>
      </c>
      <c r="E395" s="1" t="s">
        <v>16</v>
      </c>
      <c r="F395" s="1" t="s">
        <v>50</v>
      </c>
      <c r="G395" s="1" t="s">
        <v>50</v>
      </c>
      <c r="H395" s="1"/>
      <c r="I395" s="1" t="s">
        <v>50</v>
      </c>
      <c r="J395" s="1" t="s">
        <v>50</v>
      </c>
      <c r="K395" s="1" t="s">
        <v>50</v>
      </c>
      <c r="L395" s="1" t="s">
        <v>50</v>
      </c>
      <c r="M395" s="1" t="s">
        <v>104</v>
      </c>
      <c r="N395" s="1" t="s">
        <v>50</v>
      </c>
      <c r="O395" s="1" t="s">
        <v>50</v>
      </c>
      <c r="P395" s="1" t="s">
        <v>833</v>
      </c>
      <c r="Q395" s="1" t="s">
        <v>104</v>
      </c>
      <c r="R395" s="1" t="s">
        <v>104</v>
      </c>
      <c r="S395" s="1" t="s">
        <v>104</v>
      </c>
      <c r="T395" s="1" t="s">
        <v>104</v>
      </c>
      <c r="U395" s="1" t="s">
        <v>104</v>
      </c>
      <c r="V395" s="1" t="s">
        <v>104</v>
      </c>
      <c r="W395" s="1" t="s">
        <v>104</v>
      </c>
      <c r="X395" s="1" t="s">
        <v>727</v>
      </c>
      <c r="Y395" s="1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>
        <v>1</v>
      </c>
      <c r="AO395" s="8">
        <v>1</v>
      </c>
      <c r="AP395" s="8">
        <v>1</v>
      </c>
      <c r="AQ395" s="8">
        <v>1</v>
      </c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1"/>
      <c r="BL395" s="58"/>
      <c r="BP395" t="str">
        <f t="shared" si="16"/>
        <v>IceFlying</v>
      </c>
      <c r="BQ395" t="s">
        <v>2</v>
      </c>
      <c r="BR395">
        <v>1</v>
      </c>
    </row>
    <row r="396" spans="1:70" x14ac:dyDescent="0.25">
      <c r="A396">
        <f t="shared" si="17"/>
        <v>349</v>
      </c>
      <c r="B396" t="s">
        <v>449</v>
      </c>
      <c r="D396" s="1" t="s">
        <v>5</v>
      </c>
      <c r="E396" s="1" t="s">
        <v>16</v>
      </c>
      <c r="F396" s="1" t="s">
        <v>50</v>
      </c>
      <c r="G396" s="1" t="s">
        <v>50</v>
      </c>
      <c r="H396" s="1" t="s">
        <v>50</v>
      </c>
      <c r="I396" s="1" t="s">
        <v>50</v>
      </c>
      <c r="J396" s="1" t="s">
        <v>50</v>
      </c>
      <c r="K396" s="1" t="s">
        <v>50</v>
      </c>
      <c r="L396" s="1" t="s">
        <v>50</v>
      </c>
      <c r="M396" s="1" t="s">
        <v>104</v>
      </c>
      <c r="N396" s="1" t="s">
        <v>50</v>
      </c>
      <c r="O396" s="1" t="s">
        <v>50</v>
      </c>
      <c r="P396" s="1" t="s">
        <v>833</v>
      </c>
      <c r="Q396" s="1" t="s">
        <v>50</v>
      </c>
      <c r="R396" s="1" t="s">
        <v>50</v>
      </c>
      <c r="S396" s="1" t="s">
        <v>50</v>
      </c>
      <c r="T396" s="1" t="s">
        <v>50</v>
      </c>
      <c r="U396" s="1" t="s">
        <v>50</v>
      </c>
      <c r="V396" s="1" t="s">
        <v>50</v>
      </c>
      <c r="W396" s="1" t="s">
        <v>50</v>
      </c>
      <c r="X396" s="1" t="s">
        <v>727</v>
      </c>
      <c r="Y396" s="1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>
        <v>1</v>
      </c>
      <c r="AO396" s="8">
        <v>1</v>
      </c>
      <c r="AP396" s="8">
        <v>1</v>
      </c>
      <c r="AQ396" s="8">
        <v>1</v>
      </c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1"/>
      <c r="BJ396">
        <v>4</v>
      </c>
      <c r="BL396" s="58"/>
      <c r="BP396" t="str">
        <f t="shared" si="16"/>
        <v>IceFlying</v>
      </c>
      <c r="BR396">
        <v>1</v>
      </c>
    </row>
    <row r="397" spans="1:70" x14ac:dyDescent="0.25">
      <c r="A397">
        <f t="shared" si="17"/>
        <v>350</v>
      </c>
      <c r="B397" t="s">
        <v>353</v>
      </c>
      <c r="D397" s="1" t="s">
        <v>15</v>
      </c>
      <c r="E397" s="1" t="s">
        <v>3</v>
      </c>
      <c r="F397" s="1" t="s">
        <v>50</v>
      </c>
      <c r="G397" s="1" t="s">
        <v>50</v>
      </c>
      <c r="H397" s="1"/>
      <c r="I397" s="1" t="s">
        <v>50</v>
      </c>
      <c r="J397" s="1" t="s">
        <v>50</v>
      </c>
      <c r="K397" s="1" t="s">
        <v>50</v>
      </c>
      <c r="L397" s="1" t="s">
        <v>50</v>
      </c>
      <c r="M397" s="1" t="s">
        <v>50</v>
      </c>
      <c r="N397" s="1" t="s">
        <v>50</v>
      </c>
      <c r="O397" s="1" t="s">
        <v>50</v>
      </c>
      <c r="P397" s="13" t="s">
        <v>1716</v>
      </c>
      <c r="Q397" s="1" t="s">
        <v>104</v>
      </c>
      <c r="R397" s="1" t="s">
        <v>104</v>
      </c>
      <c r="S397" s="1" t="s">
        <v>104</v>
      </c>
      <c r="T397" s="1" t="s">
        <v>104</v>
      </c>
      <c r="U397" s="1" t="s">
        <v>104</v>
      </c>
      <c r="V397" s="1" t="s">
        <v>104</v>
      </c>
      <c r="W397" s="1" t="s">
        <v>104</v>
      </c>
      <c r="X397" s="1" t="s">
        <v>727</v>
      </c>
      <c r="Y397" s="1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>
        <v>1</v>
      </c>
      <c r="AL397" s="8">
        <v>1</v>
      </c>
      <c r="AM397" s="8">
        <v>1</v>
      </c>
      <c r="AN397" s="8">
        <v>1</v>
      </c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1"/>
      <c r="BL397" s="58"/>
      <c r="BP397" t="str">
        <f t="shared" si="16"/>
        <v>WaterElectric</v>
      </c>
      <c r="BQ397" t="s">
        <v>2</v>
      </c>
      <c r="BR397">
        <v>4</v>
      </c>
    </row>
    <row r="398" spans="1:70" x14ac:dyDescent="0.25">
      <c r="A398">
        <f t="shared" si="17"/>
        <v>351</v>
      </c>
      <c r="B398" t="s">
        <v>354</v>
      </c>
      <c r="D398" s="1" t="s">
        <v>15</v>
      </c>
      <c r="E398" s="1" t="s">
        <v>3</v>
      </c>
      <c r="F398" s="1" t="s">
        <v>50</v>
      </c>
      <c r="G398" s="1" t="s">
        <v>50</v>
      </c>
      <c r="H398" s="1" t="s">
        <v>50</v>
      </c>
      <c r="I398" s="1" t="s">
        <v>50</v>
      </c>
      <c r="J398" s="1" t="s">
        <v>50</v>
      </c>
      <c r="K398" s="1" t="s">
        <v>50</v>
      </c>
      <c r="L398" s="1" t="s">
        <v>50</v>
      </c>
      <c r="M398" s="1" t="s">
        <v>104</v>
      </c>
      <c r="N398" s="1" t="s">
        <v>50</v>
      </c>
      <c r="O398" s="1" t="s">
        <v>50</v>
      </c>
      <c r="P398" s="13" t="s">
        <v>1716</v>
      </c>
      <c r="Q398" s="1" t="s">
        <v>104</v>
      </c>
      <c r="R398" s="1" t="s">
        <v>104</v>
      </c>
      <c r="S398" s="1" t="s">
        <v>104</v>
      </c>
      <c r="T398" s="1" t="s">
        <v>104</v>
      </c>
      <c r="U398" s="1" t="s">
        <v>104</v>
      </c>
      <c r="V398" s="1" t="s">
        <v>104</v>
      </c>
      <c r="W398" s="1" t="s">
        <v>104</v>
      </c>
      <c r="X398" s="1" t="s">
        <v>2563</v>
      </c>
      <c r="Y398" s="1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>
        <v>1</v>
      </c>
      <c r="AL398" s="8">
        <v>1</v>
      </c>
      <c r="AM398" s="8">
        <v>1</v>
      </c>
      <c r="AN398" s="8">
        <v>1</v>
      </c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1"/>
      <c r="BJ398">
        <v>3</v>
      </c>
      <c r="BK398">
        <v>2</v>
      </c>
      <c r="BL398" s="58"/>
      <c r="BP398" t="str">
        <f t="shared" si="16"/>
        <v>WaterElectric</v>
      </c>
      <c r="BR398">
        <v>2</v>
      </c>
    </row>
    <row r="399" spans="1:70" x14ac:dyDescent="0.25">
      <c r="A399">
        <f t="shared" si="17"/>
        <v>352</v>
      </c>
      <c r="B399" t="s">
        <v>358</v>
      </c>
      <c r="D399" s="1" t="s">
        <v>1</v>
      </c>
      <c r="E399" s="1" t="s">
        <v>16</v>
      </c>
      <c r="F399" s="1" t="s">
        <v>50</v>
      </c>
      <c r="G399" s="1" t="s">
        <v>50</v>
      </c>
      <c r="H399" s="1"/>
      <c r="I399" s="1" t="s">
        <v>50</v>
      </c>
      <c r="J399" s="1" t="s">
        <v>50</v>
      </c>
      <c r="K399" s="1" t="s">
        <v>50</v>
      </c>
      <c r="L399" s="1"/>
      <c r="M399" s="1" t="s">
        <v>50</v>
      </c>
      <c r="N399" s="1" t="s">
        <v>50</v>
      </c>
      <c r="O399" s="1" t="s">
        <v>50</v>
      </c>
      <c r="P399" s="1" t="s">
        <v>104</v>
      </c>
      <c r="Q399" s="1" t="s">
        <v>104</v>
      </c>
      <c r="R399" s="1" t="s">
        <v>104</v>
      </c>
      <c r="S399" s="1" t="s">
        <v>104</v>
      </c>
      <c r="T399" s="1" t="s">
        <v>104</v>
      </c>
      <c r="U399" s="1" t="s">
        <v>104</v>
      </c>
      <c r="V399" s="1" t="s">
        <v>104</v>
      </c>
      <c r="W399" s="1" t="s">
        <v>104</v>
      </c>
      <c r="X399" s="1" t="s">
        <v>729</v>
      </c>
      <c r="Y399" s="1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>
        <v>1</v>
      </c>
      <c r="AR399" s="8"/>
      <c r="AS399" s="8"/>
      <c r="AT399" s="8"/>
      <c r="AU399" s="8"/>
      <c r="AV399" s="8"/>
      <c r="AW399" s="8"/>
      <c r="AX399" s="8">
        <v>1</v>
      </c>
      <c r="AY399" s="8"/>
      <c r="AZ399" s="8"/>
      <c r="BA399" s="8"/>
      <c r="BB399" s="1"/>
      <c r="BL399" s="58"/>
      <c r="BP399" t="str">
        <f t="shared" si="16"/>
        <v>NormalFlying</v>
      </c>
      <c r="BQ399" t="s">
        <v>2</v>
      </c>
      <c r="BR399">
        <v>3</v>
      </c>
    </row>
    <row r="400" spans="1:70" x14ac:dyDescent="0.25">
      <c r="A400">
        <f t="shared" si="17"/>
        <v>353</v>
      </c>
      <c r="B400" t="s">
        <v>452</v>
      </c>
      <c r="D400" s="1" t="s">
        <v>1</v>
      </c>
      <c r="E400" s="1" t="s">
        <v>16</v>
      </c>
      <c r="F400" s="1" t="s">
        <v>50</v>
      </c>
      <c r="G400" s="1" t="s">
        <v>50</v>
      </c>
      <c r="H400" s="1" t="s">
        <v>50</v>
      </c>
      <c r="I400" s="1" t="s">
        <v>50</v>
      </c>
      <c r="J400" s="1" t="s">
        <v>50</v>
      </c>
      <c r="K400" s="1" t="s">
        <v>50</v>
      </c>
      <c r="L400" s="1"/>
      <c r="M400" s="1" t="s">
        <v>104</v>
      </c>
      <c r="N400" s="1" t="s">
        <v>50</v>
      </c>
      <c r="O400" s="1" t="s">
        <v>50</v>
      </c>
      <c r="P400" s="1" t="s">
        <v>104</v>
      </c>
      <c r="Q400" s="1" t="s">
        <v>104</v>
      </c>
      <c r="R400" s="1" t="s">
        <v>104</v>
      </c>
      <c r="S400" s="1" t="s">
        <v>104</v>
      </c>
      <c r="T400" s="1" t="s">
        <v>104</v>
      </c>
      <c r="U400" s="1" t="s">
        <v>104</v>
      </c>
      <c r="V400" s="1" t="s">
        <v>104</v>
      </c>
      <c r="W400" s="1" t="s">
        <v>104</v>
      </c>
      <c r="X400" s="1" t="s">
        <v>729</v>
      </c>
      <c r="Y400" s="1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>
        <v>1</v>
      </c>
      <c r="AR400" s="8"/>
      <c r="AS400" s="8"/>
      <c r="AT400" s="8"/>
      <c r="AU400" s="8"/>
      <c r="AV400" s="8"/>
      <c r="AW400" s="8"/>
      <c r="AX400" s="8">
        <v>1</v>
      </c>
      <c r="AY400" s="8"/>
      <c r="AZ400" s="8"/>
      <c r="BA400" s="8"/>
      <c r="BB400" s="1"/>
      <c r="BJ400">
        <v>3</v>
      </c>
      <c r="BK400">
        <v>1</v>
      </c>
      <c r="BL400" s="58"/>
      <c r="BP400" t="str">
        <f t="shared" si="16"/>
        <v>NormalFlying</v>
      </c>
      <c r="BR400">
        <v>3</v>
      </c>
    </row>
    <row r="401" spans="1:70" x14ac:dyDescent="0.25">
      <c r="A401">
        <f t="shared" si="17"/>
        <v>354</v>
      </c>
      <c r="B401" t="s">
        <v>359</v>
      </c>
      <c r="D401" s="1" t="s">
        <v>1</v>
      </c>
      <c r="E401" s="1" t="s">
        <v>16</v>
      </c>
      <c r="F401" s="1" t="s">
        <v>50</v>
      </c>
      <c r="G401" s="1" t="s">
        <v>50</v>
      </c>
      <c r="H401" s="1"/>
      <c r="I401" s="1" t="s">
        <v>50</v>
      </c>
      <c r="J401" s="1" t="s">
        <v>50</v>
      </c>
      <c r="K401" s="1" t="s">
        <v>50</v>
      </c>
      <c r="L401" s="1"/>
      <c r="M401" s="1" t="s">
        <v>50</v>
      </c>
      <c r="N401" s="1" t="s">
        <v>50</v>
      </c>
      <c r="O401" s="1" t="s">
        <v>50</v>
      </c>
      <c r="P401" s="1" t="s">
        <v>104</v>
      </c>
      <c r="Q401" s="1" t="s">
        <v>104</v>
      </c>
      <c r="R401" s="1" t="s">
        <v>104</v>
      </c>
      <c r="S401" s="1" t="s">
        <v>104</v>
      </c>
      <c r="T401" s="1" t="s">
        <v>104</v>
      </c>
      <c r="U401" s="1" t="s">
        <v>104</v>
      </c>
      <c r="V401" s="1" t="s">
        <v>104</v>
      </c>
      <c r="W401" s="1" t="s">
        <v>104</v>
      </c>
      <c r="X401" s="1" t="s">
        <v>727</v>
      </c>
      <c r="Y401" s="1"/>
      <c r="Z401" s="8">
        <v>1</v>
      </c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>
        <v>1</v>
      </c>
      <c r="AT401" s="8"/>
      <c r="AU401" s="8"/>
      <c r="AV401" s="8"/>
      <c r="AW401" s="8"/>
      <c r="AX401" s="8"/>
      <c r="AY401" s="8">
        <v>1</v>
      </c>
      <c r="AZ401" s="8"/>
      <c r="BA401" s="8"/>
      <c r="BB401" s="1"/>
      <c r="BJ401">
        <v>1</v>
      </c>
      <c r="BL401" s="58"/>
      <c r="BP401" t="str">
        <f t="shared" si="16"/>
        <v>NormalFlying</v>
      </c>
      <c r="BQ401" t="s">
        <v>2</v>
      </c>
      <c r="BR401">
        <v>2</v>
      </c>
    </row>
    <row r="402" spans="1:70" x14ac:dyDescent="0.25">
      <c r="A402">
        <f t="shared" si="17"/>
        <v>355</v>
      </c>
      <c r="B402" t="s">
        <v>360</v>
      </c>
      <c r="D402" s="1" t="s">
        <v>1</v>
      </c>
      <c r="E402" s="1" t="s">
        <v>16</v>
      </c>
      <c r="F402" s="1" t="s">
        <v>50</v>
      </c>
      <c r="G402" s="1" t="s">
        <v>50</v>
      </c>
      <c r="H402" s="1" t="s">
        <v>50</v>
      </c>
      <c r="I402" s="1" t="s">
        <v>50</v>
      </c>
      <c r="J402" s="1" t="s">
        <v>50</v>
      </c>
      <c r="K402" s="1" t="s">
        <v>50</v>
      </c>
      <c r="L402" s="1"/>
      <c r="M402" s="1" t="s">
        <v>104</v>
      </c>
      <c r="N402" s="1" t="s">
        <v>50</v>
      </c>
      <c r="O402" s="1" t="s">
        <v>50</v>
      </c>
      <c r="P402" s="1" t="s">
        <v>104</v>
      </c>
      <c r="Q402" s="1" t="s">
        <v>104</v>
      </c>
      <c r="R402" s="1" t="s">
        <v>104</v>
      </c>
      <c r="S402" s="1" t="s">
        <v>104</v>
      </c>
      <c r="T402" s="1" t="s">
        <v>104</v>
      </c>
      <c r="U402" s="1" t="s">
        <v>104</v>
      </c>
      <c r="V402" s="1" t="s">
        <v>104</v>
      </c>
      <c r="W402" s="1" t="s">
        <v>104</v>
      </c>
      <c r="X402" s="1" t="s">
        <v>727</v>
      </c>
      <c r="Y402" s="1"/>
      <c r="Z402" s="8">
        <v>1</v>
      </c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>
        <v>1</v>
      </c>
      <c r="AT402" s="8"/>
      <c r="AU402" s="8"/>
      <c r="AV402" s="8"/>
      <c r="AW402" s="8"/>
      <c r="AX402" s="8"/>
      <c r="AY402" s="8">
        <v>1</v>
      </c>
      <c r="AZ402" s="8"/>
      <c r="BA402" s="8"/>
      <c r="BB402" s="1"/>
      <c r="BJ402">
        <v>4</v>
      </c>
      <c r="BK402">
        <v>1</v>
      </c>
      <c r="BL402" s="58"/>
      <c r="BP402" t="str">
        <f t="shared" si="16"/>
        <v>NormalFlying</v>
      </c>
      <c r="BR402">
        <v>4</v>
      </c>
    </row>
    <row r="403" spans="1:70" x14ac:dyDescent="0.25">
      <c r="A403">
        <f t="shared" si="17"/>
        <v>356</v>
      </c>
      <c r="B403" t="s">
        <v>364</v>
      </c>
      <c r="D403" s="1" t="s">
        <v>5</v>
      </c>
      <c r="E403" s="1" t="s">
        <v>18</v>
      </c>
      <c r="F403" s="1" t="s">
        <v>50</v>
      </c>
      <c r="G403" s="1" t="s">
        <v>50</v>
      </c>
      <c r="H403" s="1"/>
      <c r="I403" s="1" t="s">
        <v>50</v>
      </c>
      <c r="J403" s="1" t="s">
        <v>50</v>
      </c>
      <c r="K403" s="1" t="s">
        <v>50</v>
      </c>
      <c r="L403" s="1"/>
      <c r="M403" s="1" t="s">
        <v>50</v>
      </c>
      <c r="N403" s="1" t="s">
        <v>50</v>
      </c>
      <c r="O403" s="1" t="s">
        <v>50</v>
      </c>
      <c r="P403" s="1" t="s">
        <v>104</v>
      </c>
      <c r="Q403" s="1" t="s">
        <v>104</v>
      </c>
      <c r="R403" s="1" t="s">
        <v>104</v>
      </c>
      <c r="S403" s="1" t="s">
        <v>104</v>
      </c>
      <c r="T403" s="1" t="s">
        <v>104</v>
      </c>
      <c r="U403" s="1" t="s">
        <v>104</v>
      </c>
      <c r="V403" s="1" t="s">
        <v>104</v>
      </c>
      <c r="W403" s="1" t="s">
        <v>104</v>
      </c>
      <c r="X403" s="1" t="s">
        <v>739</v>
      </c>
      <c r="Y403" s="1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>
        <v>1</v>
      </c>
      <c r="AP403" s="8">
        <v>1</v>
      </c>
      <c r="AQ403" s="8">
        <v>1</v>
      </c>
      <c r="AR403" s="8">
        <v>1</v>
      </c>
      <c r="AS403" s="8"/>
      <c r="AT403" s="8"/>
      <c r="AU403" s="8"/>
      <c r="AV403" s="8"/>
      <c r="AW403" s="8"/>
      <c r="AX403" s="8"/>
      <c r="AY403" s="8"/>
      <c r="AZ403" s="8"/>
      <c r="BA403" s="8"/>
      <c r="BB403" s="1"/>
      <c r="BL403" s="58"/>
      <c r="BP403" t="str">
        <f t="shared" si="16"/>
        <v>IceFighting</v>
      </c>
      <c r="BQ403" t="s">
        <v>2</v>
      </c>
      <c r="BR403">
        <v>3</v>
      </c>
    </row>
    <row r="404" spans="1:70" x14ac:dyDescent="0.25">
      <c r="A404">
        <f t="shared" si="17"/>
        <v>357</v>
      </c>
      <c r="B404" t="s">
        <v>365</v>
      </c>
      <c r="D404" s="1" t="s">
        <v>5</v>
      </c>
      <c r="E404" s="1" t="s">
        <v>18</v>
      </c>
      <c r="F404" s="1" t="s">
        <v>50</v>
      </c>
      <c r="G404" s="1" t="s">
        <v>50</v>
      </c>
      <c r="H404" s="1" t="s">
        <v>50</v>
      </c>
      <c r="I404" s="1" t="s">
        <v>50</v>
      </c>
      <c r="J404" s="1" t="s">
        <v>50</v>
      </c>
      <c r="K404" s="1" t="s">
        <v>50</v>
      </c>
      <c r="L404" s="1"/>
      <c r="M404" s="1" t="s">
        <v>104</v>
      </c>
      <c r="N404" s="1" t="s">
        <v>50</v>
      </c>
      <c r="O404" s="1" t="s">
        <v>50</v>
      </c>
      <c r="P404" s="1" t="s">
        <v>104</v>
      </c>
      <c r="Q404" s="1" t="s">
        <v>104</v>
      </c>
      <c r="R404" s="1" t="s">
        <v>104</v>
      </c>
      <c r="S404" s="1" t="s">
        <v>104</v>
      </c>
      <c r="T404" s="1" t="s">
        <v>104</v>
      </c>
      <c r="U404" s="1" t="s">
        <v>104</v>
      </c>
      <c r="V404" s="1" t="s">
        <v>104</v>
      </c>
      <c r="W404" s="1" t="s">
        <v>104</v>
      </c>
      <c r="X404" s="1" t="s">
        <v>739</v>
      </c>
      <c r="Y404" s="1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>
        <v>1</v>
      </c>
      <c r="AP404" s="8">
        <v>1</v>
      </c>
      <c r="AQ404" s="8">
        <v>1</v>
      </c>
      <c r="AR404" s="8">
        <v>1</v>
      </c>
      <c r="AS404" s="8"/>
      <c r="AT404" s="8"/>
      <c r="AU404" s="8"/>
      <c r="AV404" s="8"/>
      <c r="AW404" s="8"/>
      <c r="AX404" s="8"/>
      <c r="AY404" s="8"/>
      <c r="AZ404" s="8"/>
      <c r="BA404" s="8"/>
      <c r="BB404" s="1"/>
      <c r="BJ404">
        <v>2</v>
      </c>
      <c r="BL404" s="58"/>
      <c r="BP404" t="str">
        <f t="shared" si="16"/>
        <v>IceFighting</v>
      </c>
      <c r="BR404">
        <v>3</v>
      </c>
    </row>
    <row r="405" spans="1:70" x14ac:dyDescent="0.25">
      <c r="A405">
        <f t="shared" si="17"/>
        <v>358</v>
      </c>
      <c r="B405" t="s">
        <v>368</v>
      </c>
      <c r="D405" s="1" t="s">
        <v>1</v>
      </c>
      <c r="E405" s="1" t="s">
        <v>6</v>
      </c>
      <c r="F405" s="1" t="s">
        <v>50</v>
      </c>
      <c r="G405" s="1" t="s">
        <v>50</v>
      </c>
      <c r="H405" s="1"/>
      <c r="I405" s="1" t="s">
        <v>50</v>
      </c>
      <c r="J405" s="1" t="s">
        <v>50</v>
      </c>
      <c r="K405" s="1" t="s">
        <v>50</v>
      </c>
      <c r="L405" s="1"/>
      <c r="M405" s="1" t="s">
        <v>50</v>
      </c>
      <c r="N405" s="1" t="s">
        <v>50</v>
      </c>
      <c r="O405" s="1" t="s">
        <v>50</v>
      </c>
      <c r="P405" s="13" t="s">
        <v>1792</v>
      </c>
      <c r="Q405" s="1" t="s">
        <v>104</v>
      </c>
      <c r="R405" s="1" t="s">
        <v>104</v>
      </c>
      <c r="S405" s="1" t="s">
        <v>104</v>
      </c>
      <c r="T405" s="1" t="s">
        <v>104</v>
      </c>
      <c r="U405" s="1" t="s">
        <v>104</v>
      </c>
      <c r="V405" s="1" t="s">
        <v>104</v>
      </c>
      <c r="W405" s="1" t="s">
        <v>104</v>
      </c>
      <c r="X405" s="1" t="s">
        <v>727</v>
      </c>
      <c r="Y405" s="1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>
        <v>1</v>
      </c>
      <c r="AT405" s="8"/>
      <c r="AU405" s="8">
        <v>1</v>
      </c>
      <c r="AV405" s="8"/>
      <c r="AW405" s="8"/>
      <c r="AX405" s="8"/>
      <c r="AY405" s="8"/>
      <c r="AZ405" s="8"/>
      <c r="BA405" s="8"/>
      <c r="BB405" s="1"/>
      <c r="BL405" s="58"/>
      <c r="BP405" t="str">
        <f t="shared" si="16"/>
        <v>NormalSteel</v>
      </c>
      <c r="BQ405" t="s">
        <v>2</v>
      </c>
      <c r="BR405">
        <v>4</v>
      </c>
    </row>
    <row r="406" spans="1:70" x14ac:dyDescent="0.25">
      <c r="A406">
        <f t="shared" si="17"/>
        <v>359</v>
      </c>
      <c r="B406" t="s">
        <v>369</v>
      </c>
      <c r="D406" s="1" t="s">
        <v>1</v>
      </c>
      <c r="E406" s="1" t="s">
        <v>6</v>
      </c>
      <c r="F406" s="1" t="s">
        <v>50</v>
      </c>
      <c r="G406" s="1" t="s">
        <v>50</v>
      </c>
      <c r="H406" s="1"/>
      <c r="I406" s="1" t="s">
        <v>50</v>
      </c>
      <c r="J406" s="1" t="s">
        <v>50</v>
      </c>
      <c r="K406" s="1" t="s">
        <v>50</v>
      </c>
      <c r="L406" s="1"/>
      <c r="M406" s="1" t="s">
        <v>104</v>
      </c>
      <c r="N406" s="1" t="s">
        <v>50</v>
      </c>
      <c r="O406" s="1" t="s">
        <v>50</v>
      </c>
      <c r="P406" s="13" t="s">
        <v>1792</v>
      </c>
      <c r="Q406" s="1" t="s">
        <v>104</v>
      </c>
      <c r="R406" s="1" t="s">
        <v>104</v>
      </c>
      <c r="S406" s="1" t="s">
        <v>104</v>
      </c>
      <c r="T406" s="1" t="s">
        <v>104</v>
      </c>
      <c r="U406" s="1" t="s">
        <v>104</v>
      </c>
      <c r="V406" s="1" t="s">
        <v>104</v>
      </c>
      <c r="W406" s="1" t="s">
        <v>104</v>
      </c>
      <c r="X406" s="1" t="s">
        <v>727</v>
      </c>
      <c r="Y406" s="1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>
        <v>1</v>
      </c>
      <c r="AT406" s="8"/>
      <c r="AU406" s="8">
        <v>1</v>
      </c>
      <c r="AV406" s="8"/>
      <c r="AW406" s="8"/>
      <c r="AX406" s="8"/>
      <c r="AY406" s="8"/>
      <c r="AZ406" s="8"/>
      <c r="BA406" s="8"/>
      <c r="BB406" s="1"/>
      <c r="BL406" s="58"/>
      <c r="BP406" t="str">
        <f t="shared" si="16"/>
        <v>NormalSteel</v>
      </c>
      <c r="BQ406" t="s">
        <v>2</v>
      </c>
      <c r="BR406">
        <v>1</v>
      </c>
    </row>
    <row r="407" spans="1:70" x14ac:dyDescent="0.25">
      <c r="A407">
        <f t="shared" si="17"/>
        <v>360</v>
      </c>
      <c r="B407" t="s">
        <v>370</v>
      </c>
      <c r="D407" s="1" t="s">
        <v>1</v>
      </c>
      <c r="E407" s="1" t="s">
        <v>6</v>
      </c>
      <c r="F407" s="1" t="s">
        <v>50</v>
      </c>
      <c r="G407" s="1" t="s">
        <v>50</v>
      </c>
      <c r="H407" s="1" t="s">
        <v>50</v>
      </c>
      <c r="I407" s="1" t="s">
        <v>50</v>
      </c>
      <c r="J407" s="1" t="s">
        <v>50</v>
      </c>
      <c r="K407" s="1" t="s">
        <v>50</v>
      </c>
      <c r="L407" s="1" t="s">
        <v>50</v>
      </c>
      <c r="M407" s="1" t="s">
        <v>104</v>
      </c>
      <c r="N407" s="1" t="s">
        <v>50</v>
      </c>
      <c r="O407" s="1" t="s">
        <v>50</v>
      </c>
      <c r="P407" s="13" t="s">
        <v>1792</v>
      </c>
      <c r="Q407" s="1" t="s">
        <v>50</v>
      </c>
      <c r="R407" s="1" t="s">
        <v>50</v>
      </c>
      <c r="S407" s="1" t="s">
        <v>50</v>
      </c>
      <c r="T407" s="1" t="s">
        <v>50</v>
      </c>
      <c r="U407" s="1" t="s">
        <v>50</v>
      </c>
      <c r="V407" s="1" t="s">
        <v>50</v>
      </c>
      <c r="W407" s="1" t="s">
        <v>50</v>
      </c>
      <c r="X407" s="1" t="s">
        <v>727</v>
      </c>
      <c r="Y407" s="1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>
        <v>1</v>
      </c>
      <c r="AT407" s="8"/>
      <c r="AU407" s="8">
        <v>1</v>
      </c>
      <c r="AV407" s="8"/>
      <c r="AW407" s="8"/>
      <c r="AX407" s="8"/>
      <c r="AY407" s="8"/>
      <c r="AZ407" s="8"/>
      <c r="BA407" s="8"/>
      <c r="BB407" s="1"/>
      <c r="BJ407">
        <v>2</v>
      </c>
      <c r="BL407" s="58"/>
      <c r="BP407" t="str">
        <f t="shared" si="16"/>
        <v>NormalSteel</v>
      </c>
      <c r="BR407">
        <v>2</v>
      </c>
    </row>
    <row r="408" spans="1:70" x14ac:dyDescent="0.25">
      <c r="A408">
        <f t="shared" si="17"/>
        <v>361</v>
      </c>
      <c r="B408" t="s">
        <v>373</v>
      </c>
      <c r="D408" s="1" t="s">
        <v>42</v>
      </c>
      <c r="E408" s="1" t="s">
        <v>15</v>
      </c>
      <c r="F408" s="1" t="s">
        <v>50</v>
      </c>
      <c r="G408" s="1" t="s">
        <v>50</v>
      </c>
      <c r="H408" s="1"/>
      <c r="I408" s="1" t="s">
        <v>50</v>
      </c>
      <c r="J408" s="1" t="s">
        <v>50</v>
      </c>
      <c r="K408" s="1" t="s">
        <v>50</v>
      </c>
      <c r="L408" s="1" t="s">
        <v>50</v>
      </c>
      <c r="M408" s="1" t="s">
        <v>50</v>
      </c>
      <c r="N408" s="1" t="s">
        <v>50</v>
      </c>
      <c r="O408" s="1" t="s">
        <v>50</v>
      </c>
      <c r="P408" s="1" t="s">
        <v>104</v>
      </c>
      <c r="Q408" s="1" t="s">
        <v>104</v>
      </c>
      <c r="R408" s="1" t="s">
        <v>104</v>
      </c>
      <c r="S408" s="1" t="s">
        <v>104</v>
      </c>
      <c r="T408" s="1" t="s">
        <v>104</v>
      </c>
      <c r="U408" s="1" t="s">
        <v>104</v>
      </c>
      <c r="V408" s="1" t="s">
        <v>104</v>
      </c>
      <c r="W408" s="1" t="s">
        <v>104</v>
      </c>
      <c r="X408" s="1" t="s">
        <v>727</v>
      </c>
      <c r="Y408" s="1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>
        <v>1</v>
      </c>
      <c r="AL408" s="8">
        <v>1</v>
      </c>
      <c r="AM408" s="8">
        <v>1</v>
      </c>
      <c r="AN408" s="8">
        <v>1</v>
      </c>
      <c r="AO408" s="8"/>
      <c r="AP408" s="8"/>
      <c r="AQ408" s="8"/>
      <c r="AR408" s="8"/>
      <c r="AS408" s="8"/>
      <c r="AT408" s="8"/>
      <c r="AU408" s="8">
        <v>1</v>
      </c>
      <c r="AV408" s="8"/>
      <c r="AW408" s="8"/>
      <c r="AX408" s="8"/>
      <c r="AY408" s="8"/>
      <c r="AZ408" s="8"/>
      <c r="BA408" s="8"/>
      <c r="BB408" s="1"/>
      <c r="BL408" s="58"/>
      <c r="BP408" t="str">
        <f t="shared" si="16"/>
        <v>CosmicWater</v>
      </c>
      <c r="BQ408" t="s">
        <v>2</v>
      </c>
      <c r="BR408">
        <v>1</v>
      </c>
    </row>
    <row r="409" spans="1:70" x14ac:dyDescent="0.25">
      <c r="A409">
        <f t="shared" si="17"/>
        <v>362</v>
      </c>
      <c r="B409" t="s">
        <v>374</v>
      </c>
      <c r="D409" s="1" t="s">
        <v>42</v>
      </c>
      <c r="E409" s="1" t="s">
        <v>15</v>
      </c>
      <c r="F409" s="1" t="s">
        <v>50</v>
      </c>
      <c r="G409" s="1" t="s">
        <v>50</v>
      </c>
      <c r="H409" s="1" t="s">
        <v>50</v>
      </c>
      <c r="I409" s="1" t="s">
        <v>50</v>
      </c>
      <c r="J409" s="1" t="s">
        <v>50</v>
      </c>
      <c r="K409" s="1" t="s">
        <v>50</v>
      </c>
      <c r="L409" s="1" t="s">
        <v>50</v>
      </c>
      <c r="M409" s="1" t="s">
        <v>104</v>
      </c>
      <c r="N409" s="1" t="s">
        <v>50</v>
      </c>
      <c r="O409" s="1" t="s">
        <v>50</v>
      </c>
      <c r="P409" s="1" t="s">
        <v>104</v>
      </c>
      <c r="Q409" s="1" t="s">
        <v>50</v>
      </c>
      <c r="R409" s="1" t="s">
        <v>50</v>
      </c>
      <c r="S409" s="1" t="s">
        <v>50</v>
      </c>
      <c r="T409" s="1" t="s">
        <v>50</v>
      </c>
      <c r="U409" s="1" t="s">
        <v>50</v>
      </c>
      <c r="V409" s="1" t="s">
        <v>50</v>
      </c>
      <c r="W409" s="1" t="s">
        <v>50</v>
      </c>
      <c r="X409" s="1" t="s">
        <v>727</v>
      </c>
      <c r="Y409" s="1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>
        <v>1</v>
      </c>
      <c r="AL409" s="8">
        <v>1</v>
      </c>
      <c r="AM409" s="8">
        <v>1</v>
      </c>
      <c r="AN409" s="8">
        <v>1</v>
      </c>
      <c r="AO409" s="8"/>
      <c r="AP409" s="8"/>
      <c r="AQ409" s="8"/>
      <c r="AR409" s="8"/>
      <c r="AS409" s="8"/>
      <c r="AT409" s="8"/>
      <c r="AU409" s="8">
        <v>1</v>
      </c>
      <c r="AV409" s="8"/>
      <c r="AW409" s="8"/>
      <c r="AX409" s="8"/>
      <c r="AY409" s="8"/>
      <c r="AZ409" s="8"/>
      <c r="BA409" s="8"/>
      <c r="BB409" s="1"/>
      <c r="BJ409">
        <v>2</v>
      </c>
      <c r="BL409" s="58"/>
      <c r="BP409" t="str">
        <f t="shared" si="16"/>
        <v>CosmicWater</v>
      </c>
      <c r="BR409">
        <v>1</v>
      </c>
    </row>
    <row r="410" spans="1:70" x14ac:dyDescent="0.25">
      <c r="A410">
        <f t="shared" si="17"/>
        <v>363</v>
      </c>
      <c r="B410" t="s">
        <v>453</v>
      </c>
      <c r="D410" s="1" t="s">
        <v>44</v>
      </c>
      <c r="E410" s="1" t="s">
        <v>0</v>
      </c>
      <c r="F410" s="1" t="s">
        <v>50</v>
      </c>
      <c r="G410" s="1" t="s">
        <v>50</v>
      </c>
      <c r="H410" s="1"/>
      <c r="I410" s="1" t="s">
        <v>50</v>
      </c>
      <c r="J410" s="1" t="s">
        <v>50</v>
      </c>
      <c r="K410" s="1" t="s">
        <v>50</v>
      </c>
      <c r="L410" s="1"/>
      <c r="M410" s="1" t="s">
        <v>50</v>
      </c>
      <c r="N410" s="1" t="s">
        <v>50</v>
      </c>
      <c r="O410" s="1" t="s">
        <v>50</v>
      </c>
      <c r="P410" s="1" t="s">
        <v>811</v>
      </c>
      <c r="Q410" s="1" t="s">
        <v>104</v>
      </c>
      <c r="R410" s="1" t="s">
        <v>104</v>
      </c>
      <c r="S410" s="1" t="s">
        <v>104</v>
      </c>
      <c r="T410" s="1" t="s">
        <v>104</v>
      </c>
      <c r="U410" s="1" t="s">
        <v>104</v>
      </c>
      <c r="V410" s="1" t="s">
        <v>104</v>
      </c>
      <c r="W410" s="1" t="s">
        <v>104</v>
      </c>
      <c r="X410" s="1" t="s">
        <v>729</v>
      </c>
      <c r="Y410" s="1"/>
      <c r="Z410" s="8"/>
      <c r="AA410" s="8"/>
      <c r="AB410" s="8"/>
      <c r="AC410" s="8"/>
      <c r="AD410" s="8"/>
      <c r="AE410" s="8"/>
      <c r="AF410" s="8"/>
      <c r="AG410" s="8"/>
      <c r="AH410" s="8">
        <v>1</v>
      </c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>
        <v>1</v>
      </c>
      <c r="AV410" s="8"/>
      <c r="AW410" s="8"/>
      <c r="AX410" s="8"/>
      <c r="AY410" s="8"/>
      <c r="AZ410" s="8"/>
      <c r="BA410" s="8"/>
      <c r="BB410" s="1"/>
      <c r="BL410" s="58"/>
      <c r="BP410" t="str">
        <f t="shared" si="16"/>
        <v>LightDark</v>
      </c>
      <c r="BQ410" t="s">
        <v>2</v>
      </c>
      <c r="BR410">
        <v>7</v>
      </c>
    </row>
    <row r="411" spans="1:70" x14ac:dyDescent="0.25">
      <c r="A411">
        <f t="shared" si="17"/>
        <v>364</v>
      </c>
      <c r="B411" t="s">
        <v>454</v>
      </c>
      <c r="D411" s="1" t="s">
        <v>44</v>
      </c>
      <c r="E411" s="1" t="s">
        <v>0</v>
      </c>
      <c r="F411" s="1" t="s">
        <v>50</v>
      </c>
      <c r="G411" s="1" t="s">
        <v>50</v>
      </c>
      <c r="H411" s="1"/>
      <c r="I411" s="1" t="s">
        <v>50</v>
      </c>
      <c r="J411" s="1" t="s">
        <v>50</v>
      </c>
      <c r="K411" s="1" t="s">
        <v>50</v>
      </c>
      <c r="L411" s="1"/>
      <c r="M411" s="1" t="s">
        <v>104</v>
      </c>
      <c r="N411" s="1" t="s">
        <v>50</v>
      </c>
      <c r="O411" s="1" t="s">
        <v>50</v>
      </c>
      <c r="P411" s="1" t="s">
        <v>811</v>
      </c>
      <c r="Q411" s="1" t="s">
        <v>104</v>
      </c>
      <c r="R411" s="1" t="s">
        <v>104</v>
      </c>
      <c r="S411" s="1" t="s">
        <v>104</v>
      </c>
      <c r="T411" s="1" t="s">
        <v>104</v>
      </c>
      <c r="U411" s="1" t="s">
        <v>104</v>
      </c>
      <c r="V411" s="1" t="s">
        <v>104</v>
      </c>
      <c r="W411" s="1" t="s">
        <v>104</v>
      </c>
      <c r="X411" s="1" t="s">
        <v>729</v>
      </c>
      <c r="Y411" s="1"/>
      <c r="Z411" s="8"/>
      <c r="AA411" s="8"/>
      <c r="AB411" s="8"/>
      <c r="AC411" s="8"/>
      <c r="AD411" s="8"/>
      <c r="AE411" s="8"/>
      <c r="AF411" s="8"/>
      <c r="AG411" s="8"/>
      <c r="AH411" s="8">
        <v>1</v>
      </c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>
        <v>1</v>
      </c>
      <c r="AV411" s="8"/>
      <c r="AW411" s="8"/>
      <c r="AX411" s="8"/>
      <c r="AY411" s="8"/>
      <c r="AZ411" s="8"/>
      <c r="BA411" s="8"/>
      <c r="BB411" s="1"/>
      <c r="BL411" s="58"/>
      <c r="BP411" t="str">
        <f t="shared" si="16"/>
        <v>LightDark</v>
      </c>
      <c r="BQ411" t="s">
        <v>2</v>
      </c>
      <c r="BR411">
        <v>7</v>
      </c>
    </row>
    <row r="412" spans="1:70" x14ac:dyDescent="0.25">
      <c r="A412">
        <f t="shared" si="17"/>
        <v>365</v>
      </c>
      <c r="B412" t="s">
        <v>455</v>
      </c>
      <c r="D412" s="1" t="s">
        <v>44</v>
      </c>
      <c r="E412" s="1" t="s">
        <v>0</v>
      </c>
      <c r="F412" s="1" t="s">
        <v>50</v>
      </c>
      <c r="G412" s="1" t="s">
        <v>50</v>
      </c>
      <c r="H412" s="1" t="s">
        <v>50</v>
      </c>
      <c r="I412" s="1" t="s">
        <v>50</v>
      </c>
      <c r="J412" s="1" t="s">
        <v>50</v>
      </c>
      <c r="K412" s="1" t="s">
        <v>50</v>
      </c>
      <c r="L412" s="1"/>
      <c r="M412" s="1" t="s">
        <v>104</v>
      </c>
      <c r="N412" s="1" t="s">
        <v>50</v>
      </c>
      <c r="O412" s="1" t="s">
        <v>50</v>
      </c>
      <c r="P412" s="1" t="s">
        <v>811</v>
      </c>
      <c r="Q412" s="1" t="s">
        <v>1724</v>
      </c>
      <c r="R412" s="1" t="s">
        <v>1724</v>
      </c>
      <c r="S412" s="1" t="s">
        <v>1724</v>
      </c>
      <c r="T412" s="1" t="s">
        <v>1724</v>
      </c>
      <c r="U412" s="1" t="s">
        <v>1724</v>
      </c>
      <c r="V412" s="1" t="s">
        <v>1724</v>
      </c>
      <c r="W412" s="1" t="s">
        <v>1724</v>
      </c>
      <c r="X412" s="1" t="s">
        <v>729</v>
      </c>
      <c r="Y412" s="1"/>
      <c r="Z412" s="8"/>
      <c r="AA412" s="8"/>
      <c r="AB412" s="8"/>
      <c r="AC412" s="8"/>
      <c r="AD412" s="8"/>
      <c r="AE412" s="8"/>
      <c r="AF412" s="8"/>
      <c r="AG412" s="8"/>
      <c r="AH412" s="8">
        <v>1</v>
      </c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>
        <v>1</v>
      </c>
      <c r="AV412" s="8"/>
      <c r="AW412" s="8"/>
      <c r="AX412" s="8"/>
      <c r="AY412" s="8"/>
      <c r="AZ412" s="8"/>
      <c r="BA412" s="8"/>
      <c r="BB412" s="1"/>
      <c r="BJ412">
        <v>39</v>
      </c>
      <c r="BK412">
        <v>4</v>
      </c>
      <c r="BL412" s="58">
        <v>1</v>
      </c>
      <c r="BP412" t="str">
        <f t="shared" si="16"/>
        <v>LightDark</v>
      </c>
      <c r="BR412">
        <v>7</v>
      </c>
    </row>
    <row r="413" spans="1:70" x14ac:dyDescent="0.25">
      <c r="A413">
        <f t="shared" si="17"/>
        <v>366</v>
      </c>
      <c r="B413" t="s">
        <v>456</v>
      </c>
      <c r="D413" s="1" t="s">
        <v>42</v>
      </c>
      <c r="E413" s="1" t="s">
        <v>12</v>
      </c>
      <c r="F413" s="1" t="s">
        <v>50</v>
      </c>
      <c r="G413" s="1" t="s">
        <v>50</v>
      </c>
      <c r="H413" s="1"/>
      <c r="I413" s="1" t="s">
        <v>50</v>
      </c>
      <c r="J413" s="1" t="s">
        <v>50</v>
      </c>
      <c r="K413" s="1" t="s">
        <v>50</v>
      </c>
      <c r="L413" s="1" t="s">
        <v>50</v>
      </c>
      <c r="M413" s="1" t="s">
        <v>50</v>
      </c>
      <c r="N413" s="1" t="s">
        <v>50</v>
      </c>
      <c r="O413" s="1" t="s">
        <v>50</v>
      </c>
      <c r="P413" s="1" t="s">
        <v>811</v>
      </c>
      <c r="Q413" s="1" t="s">
        <v>104</v>
      </c>
      <c r="R413" s="1" t="s">
        <v>104</v>
      </c>
      <c r="S413" s="1" t="s">
        <v>104</v>
      </c>
      <c r="T413" s="1" t="s">
        <v>104</v>
      </c>
      <c r="U413" s="1" t="s">
        <v>104</v>
      </c>
      <c r="V413" s="1" t="s">
        <v>104</v>
      </c>
      <c r="W413" s="1" t="s">
        <v>104</v>
      </c>
      <c r="X413" s="1" t="s">
        <v>729</v>
      </c>
      <c r="Y413" s="1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>
        <v>1</v>
      </c>
      <c r="AV413" s="8"/>
      <c r="AW413" s="8"/>
      <c r="AX413" s="8"/>
      <c r="AY413" s="8"/>
      <c r="AZ413" s="8"/>
      <c r="BA413" s="8"/>
      <c r="BB413" s="1"/>
      <c r="BL413" s="58"/>
      <c r="BP413" t="str">
        <f t="shared" si="16"/>
        <v>CosmicDragon</v>
      </c>
      <c r="BQ413" t="s">
        <v>2</v>
      </c>
      <c r="BR413">
        <v>1</v>
      </c>
    </row>
    <row r="414" spans="1:70" x14ac:dyDescent="0.25">
      <c r="A414">
        <f t="shared" si="17"/>
        <v>367</v>
      </c>
      <c r="B414" t="s">
        <v>457</v>
      </c>
      <c r="D414" s="1" t="s">
        <v>42</v>
      </c>
      <c r="E414" s="1" t="s">
        <v>12</v>
      </c>
      <c r="F414" s="1" t="s">
        <v>50</v>
      </c>
      <c r="G414" s="1" t="s">
        <v>50</v>
      </c>
      <c r="H414" s="1" t="s">
        <v>50</v>
      </c>
      <c r="I414" s="1" t="s">
        <v>50</v>
      </c>
      <c r="J414" s="1" t="s">
        <v>50</v>
      </c>
      <c r="K414" s="1" t="s">
        <v>50</v>
      </c>
      <c r="L414" s="1" t="s">
        <v>50</v>
      </c>
      <c r="M414" s="1" t="s">
        <v>104</v>
      </c>
      <c r="N414" s="1" t="s">
        <v>50</v>
      </c>
      <c r="O414" s="1" t="s">
        <v>50</v>
      </c>
      <c r="P414" s="1" t="s">
        <v>811</v>
      </c>
      <c r="Q414" s="1" t="s">
        <v>104</v>
      </c>
      <c r="R414" s="1" t="s">
        <v>104</v>
      </c>
      <c r="S414" s="1" t="s">
        <v>104</v>
      </c>
      <c r="T414" s="1" t="s">
        <v>104</v>
      </c>
      <c r="U414" s="1" t="s">
        <v>104</v>
      </c>
      <c r="V414" s="1" t="s">
        <v>104</v>
      </c>
      <c r="W414" s="1" t="s">
        <v>104</v>
      </c>
      <c r="X414" s="1" t="s">
        <v>729</v>
      </c>
      <c r="Y414" s="1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>
        <v>1</v>
      </c>
      <c r="AV414" s="8"/>
      <c r="AW414" s="8"/>
      <c r="AX414" s="8"/>
      <c r="AY414" s="8"/>
      <c r="AZ414" s="8"/>
      <c r="BA414" s="8"/>
      <c r="BB414" s="1"/>
      <c r="BJ414">
        <v>14</v>
      </c>
      <c r="BK414">
        <v>3</v>
      </c>
      <c r="BL414" s="58">
        <v>2</v>
      </c>
      <c r="BP414" t="str">
        <f t="shared" si="16"/>
        <v>CosmicDragon</v>
      </c>
      <c r="BR414">
        <v>1</v>
      </c>
    </row>
    <row r="415" spans="1:70" x14ac:dyDescent="0.25">
      <c r="A415">
        <f t="shared" si="17"/>
        <v>368</v>
      </c>
      <c r="B415" t="s">
        <v>459</v>
      </c>
      <c r="D415" s="1" t="s">
        <v>42</v>
      </c>
      <c r="E415" s="1" t="s">
        <v>0</v>
      </c>
      <c r="F415" s="1" t="s">
        <v>50</v>
      </c>
      <c r="G415" s="1" t="s">
        <v>50</v>
      </c>
      <c r="H415" s="1"/>
      <c r="I415" s="1" t="s">
        <v>50</v>
      </c>
      <c r="J415" s="1" t="s">
        <v>50</v>
      </c>
      <c r="K415" s="1" t="s">
        <v>50</v>
      </c>
      <c r="L415" s="1"/>
      <c r="M415" s="1" t="s">
        <v>50</v>
      </c>
      <c r="N415" s="1" t="s">
        <v>50</v>
      </c>
      <c r="O415" s="1" t="s">
        <v>50</v>
      </c>
      <c r="P415" s="1" t="s">
        <v>104</v>
      </c>
      <c r="Q415" s="1" t="s">
        <v>104</v>
      </c>
      <c r="R415" s="1" t="s">
        <v>104</v>
      </c>
      <c r="S415" s="1" t="s">
        <v>104</v>
      </c>
      <c r="T415" s="1" t="s">
        <v>104</v>
      </c>
      <c r="U415" s="1" t="s">
        <v>104</v>
      </c>
      <c r="V415" s="1" t="s">
        <v>104</v>
      </c>
      <c r="W415" s="1" t="s">
        <v>104</v>
      </c>
      <c r="X415" s="1" t="s">
        <v>727</v>
      </c>
      <c r="Y415" s="1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>
        <v>1</v>
      </c>
      <c r="AV415" s="8"/>
      <c r="AW415" s="8"/>
      <c r="AX415" s="8"/>
      <c r="AY415" s="8"/>
      <c r="AZ415" s="8"/>
      <c r="BA415" s="8"/>
      <c r="BB415" s="1"/>
      <c r="BL415" s="58"/>
      <c r="BP415" t="str">
        <f t="shared" si="16"/>
        <v>CosmicDark</v>
      </c>
      <c r="BQ415" t="s">
        <v>2</v>
      </c>
      <c r="BR415">
        <v>5</v>
      </c>
    </row>
    <row r="416" spans="1:70" x14ac:dyDescent="0.25">
      <c r="A416">
        <f t="shared" si="17"/>
        <v>369</v>
      </c>
      <c r="B416" t="s">
        <v>460</v>
      </c>
      <c r="D416" s="1" t="s">
        <v>42</v>
      </c>
      <c r="E416" s="1" t="s">
        <v>0</v>
      </c>
      <c r="F416" s="1" t="s">
        <v>50</v>
      </c>
      <c r="G416" s="1" t="s">
        <v>50</v>
      </c>
      <c r="H416" s="1" t="s">
        <v>50</v>
      </c>
      <c r="I416" s="1" t="s">
        <v>50</v>
      </c>
      <c r="J416" s="1" t="s">
        <v>50</v>
      </c>
      <c r="K416" s="1" t="s">
        <v>50</v>
      </c>
      <c r="L416" s="1" t="s">
        <v>50</v>
      </c>
      <c r="M416" s="1" t="s">
        <v>104</v>
      </c>
      <c r="N416" s="1" t="s">
        <v>50</v>
      </c>
      <c r="O416" s="1" t="s">
        <v>50</v>
      </c>
      <c r="P416" s="1" t="s">
        <v>104</v>
      </c>
      <c r="Q416" s="1" t="s">
        <v>50</v>
      </c>
      <c r="R416" s="1" t="s">
        <v>50</v>
      </c>
      <c r="S416" s="1" t="s">
        <v>50</v>
      </c>
      <c r="T416" s="1" t="s">
        <v>50</v>
      </c>
      <c r="U416" s="1" t="s">
        <v>50</v>
      </c>
      <c r="V416" s="1" t="s">
        <v>50</v>
      </c>
      <c r="W416" s="1" t="s">
        <v>50</v>
      </c>
      <c r="X416" s="1" t="s">
        <v>2065</v>
      </c>
      <c r="Y416" s="1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>
        <v>1</v>
      </c>
      <c r="AV416" s="8"/>
      <c r="AW416" s="8"/>
      <c r="AX416" s="8"/>
      <c r="AY416" s="8"/>
      <c r="AZ416" s="8"/>
      <c r="BA416" s="8"/>
      <c r="BB416" s="1"/>
      <c r="BJ416">
        <v>3</v>
      </c>
      <c r="BK416">
        <v>1</v>
      </c>
      <c r="BL416" s="58"/>
      <c r="BP416" t="str">
        <f t="shared" si="16"/>
        <v>CosmicDark</v>
      </c>
      <c r="BR416">
        <v>5</v>
      </c>
    </row>
    <row r="417" spans="1:70" x14ac:dyDescent="0.25">
      <c r="A417">
        <f t="shared" si="17"/>
        <v>370</v>
      </c>
      <c r="B417" t="s">
        <v>464</v>
      </c>
      <c r="D417" s="1" t="s">
        <v>15</v>
      </c>
      <c r="E417" s="1">
        <v>0</v>
      </c>
      <c r="F417" s="1" t="s">
        <v>50</v>
      </c>
      <c r="G417" s="1" t="s">
        <v>50</v>
      </c>
      <c r="H417" s="1"/>
      <c r="I417" s="1" t="s">
        <v>50</v>
      </c>
      <c r="J417" s="1" t="s">
        <v>50</v>
      </c>
      <c r="K417" s="1" t="s">
        <v>50</v>
      </c>
      <c r="L417" s="1"/>
      <c r="M417" s="1" t="s">
        <v>50</v>
      </c>
      <c r="N417" s="1" t="s">
        <v>50</v>
      </c>
      <c r="O417" s="1" t="s">
        <v>50</v>
      </c>
      <c r="P417" s="1" t="s">
        <v>104</v>
      </c>
      <c r="Q417" s="1" t="s">
        <v>104</v>
      </c>
      <c r="R417" s="1" t="s">
        <v>104</v>
      </c>
      <c r="S417" s="1" t="s">
        <v>104</v>
      </c>
      <c r="T417" s="1" t="s">
        <v>104</v>
      </c>
      <c r="U417" s="1" t="s">
        <v>104</v>
      </c>
      <c r="V417" s="1" t="s">
        <v>104</v>
      </c>
      <c r="W417" s="1" t="s">
        <v>104</v>
      </c>
      <c r="X417" s="1" t="s">
        <v>733</v>
      </c>
      <c r="Y417" s="1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>
        <v>1</v>
      </c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1"/>
      <c r="BL417" s="58"/>
      <c r="BP417" t="str">
        <f t="shared" si="16"/>
        <v>Water0</v>
      </c>
      <c r="BQ417" t="s">
        <v>2</v>
      </c>
      <c r="BR417">
        <v>8</v>
      </c>
    </row>
    <row r="418" spans="1:70" x14ac:dyDescent="0.25">
      <c r="A418">
        <f t="shared" si="17"/>
        <v>371</v>
      </c>
      <c r="B418" t="s">
        <v>465</v>
      </c>
      <c r="D418" s="1" t="s">
        <v>15</v>
      </c>
      <c r="E418" s="1">
        <v>0</v>
      </c>
      <c r="F418" s="1" t="s">
        <v>50</v>
      </c>
      <c r="G418" s="1" t="s">
        <v>50</v>
      </c>
      <c r="H418" s="1" t="s">
        <v>50</v>
      </c>
      <c r="I418" s="1" t="s">
        <v>50</v>
      </c>
      <c r="J418" s="1" t="s">
        <v>50</v>
      </c>
      <c r="K418" s="1" t="s">
        <v>50</v>
      </c>
      <c r="L418" s="1"/>
      <c r="M418" s="1" t="s">
        <v>104</v>
      </c>
      <c r="N418" s="1" t="s">
        <v>50</v>
      </c>
      <c r="O418" s="1" t="s">
        <v>50</v>
      </c>
      <c r="P418" s="1" t="s">
        <v>104</v>
      </c>
      <c r="Q418" s="1" t="s">
        <v>50</v>
      </c>
      <c r="R418" s="1" t="s">
        <v>50</v>
      </c>
      <c r="S418" s="1" t="s">
        <v>50</v>
      </c>
      <c r="T418" s="1" t="s">
        <v>50</v>
      </c>
      <c r="U418" s="1" t="s">
        <v>50</v>
      </c>
      <c r="V418" s="1" t="s">
        <v>50</v>
      </c>
      <c r="W418" s="1" t="s">
        <v>50</v>
      </c>
      <c r="X418" s="1" t="s">
        <v>733</v>
      </c>
      <c r="Y418" s="1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>
        <v>1</v>
      </c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1"/>
      <c r="BJ418">
        <v>1</v>
      </c>
      <c r="BL418" s="58"/>
      <c r="BP418" t="str">
        <f t="shared" si="16"/>
        <v>Water0</v>
      </c>
      <c r="BR418">
        <v>8</v>
      </c>
    </row>
    <row r="419" spans="1:70" x14ac:dyDescent="0.25">
      <c r="A419">
        <f t="shared" si="17"/>
        <v>372</v>
      </c>
      <c r="B419" t="s">
        <v>466</v>
      </c>
      <c r="D419" s="1" t="s">
        <v>41</v>
      </c>
      <c r="E419" s="1" t="s">
        <v>6</v>
      </c>
      <c r="F419" s="1" t="s">
        <v>50</v>
      </c>
      <c r="G419" s="1" t="s">
        <v>50</v>
      </c>
      <c r="H419" s="1"/>
      <c r="I419" s="1" t="s">
        <v>50</v>
      </c>
      <c r="J419" s="1" t="s">
        <v>50</v>
      </c>
      <c r="K419" s="1" t="s">
        <v>50</v>
      </c>
      <c r="L419" s="1" t="s">
        <v>50</v>
      </c>
      <c r="M419" s="1" t="s">
        <v>50</v>
      </c>
      <c r="N419" s="1" t="s">
        <v>50</v>
      </c>
      <c r="O419" s="1" t="s">
        <v>50</v>
      </c>
      <c r="P419" s="1" t="s">
        <v>104</v>
      </c>
      <c r="Q419" s="1" t="s">
        <v>104</v>
      </c>
      <c r="R419" s="1" t="s">
        <v>104</v>
      </c>
      <c r="S419" s="1" t="s">
        <v>104</v>
      </c>
      <c r="T419" s="1" t="s">
        <v>104</v>
      </c>
      <c r="U419" s="1" t="s">
        <v>104</v>
      </c>
      <c r="V419" s="1" t="s">
        <v>104</v>
      </c>
      <c r="W419" s="1" t="s">
        <v>104</v>
      </c>
      <c r="X419" s="1" t="s">
        <v>729</v>
      </c>
      <c r="Y419" s="1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>
        <v>1</v>
      </c>
      <c r="AT419" s="8">
        <v>1</v>
      </c>
      <c r="AU419" s="8"/>
      <c r="AV419" s="8"/>
      <c r="AW419" s="8"/>
      <c r="AX419" s="8"/>
      <c r="AY419" s="8"/>
      <c r="AZ419" s="8"/>
      <c r="BA419" s="8"/>
      <c r="BB419" s="1"/>
      <c r="BL419" s="58"/>
      <c r="BP419" t="str">
        <f t="shared" si="16"/>
        <v>SoundSteel</v>
      </c>
      <c r="BQ419" t="s">
        <v>2</v>
      </c>
      <c r="BR419">
        <v>2</v>
      </c>
    </row>
    <row r="420" spans="1:70" x14ac:dyDescent="0.25">
      <c r="A420">
        <f t="shared" si="17"/>
        <v>373</v>
      </c>
      <c r="B420" t="s">
        <v>467</v>
      </c>
      <c r="D420" s="1" t="s">
        <v>41</v>
      </c>
      <c r="E420" s="1" t="s">
        <v>6</v>
      </c>
      <c r="F420" s="1" t="s">
        <v>50</v>
      </c>
      <c r="G420" s="1" t="s">
        <v>50</v>
      </c>
      <c r="H420" s="1"/>
      <c r="I420" s="1" t="s">
        <v>50</v>
      </c>
      <c r="J420" s="1" t="s">
        <v>50</v>
      </c>
      <c r="K420" s="1" t="s">
        <v>50</v>
      </c>
      <c r="L420" s="1"/>
      <c r="M420" s="1" t="s">
        <v>104</v>
      </c>
      <c r="N420" s="1" t="s">
        <v>50</v>
      </c>
      <c r="O420" s="1" t="s">
        <v>50</v>
      </c>
      <c r="P420" s="1" t="s">
        <v>104</v>
      </c>
      <c r="Q420" s="1" t="s">
        <v>104</v>
      </c>
      <c r="R420" s="1" t="s">
        <v>104</v>
      </c>
      <c r="S420" s="1" t="s">
        <v>104</v>
      </c>
      <c r="T420" s="1" t="s">
        <v>104</v>
      </c>
      <c r="U420" s="1" t="s">
        <v>104</v>
      </c>
      <c r="V420" s="1" t="s">
        <v>104</v>
      </c>
      <c r="W420" s="1" t="s">
        <v>104</v>
      </c>
      <c r="X420" s="1" t="s">
        <v>729</v>
      </c>
      <c r="Y420" s="1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>
        <v>1</v>
      </c>
      <c r="AT420" s="8">
        <v>1</v>
      </c>
      <c r="AU420" s="8"/>
      <c r="AV420" s="8"/>
      <c r="AW420" s="8"/>
      <c r="AX420" s="8"/>
      <c r="AY420" s="8"/>
      <c r="AZ420" s="8"/>
      <c r="BA420" s="8"/>
      <c r="BB420" s="1"/>
      <c r="BL420" s="58"/>
      <c r="BP420" t="str">
        <f t="shared" si="16"/>
        <v>SoundSteel</v>
      </c>
      <c r="BQ420" t="s">
        <v>2</v>
      </c>
      <c r="BR420">
        <v>1</v>
      </c>
    </row>
    <row r="421" spans="1:70" x14ac:dyDescent="0.25">
      <c r="A421">
        <f t="shared" si="17"/>
        <v>374</v>
      </c>
      <c r="B421" t="s">
        <v>468</v>
      </c>
      <c r="D421" s="1" t="s">
        <v>41</v>
      </c>
      <c r="E421" s="1" t="s">
        <v>6</v>
      </c>
      <c r="F421" s="1" t="s">
        <v>50</v>
      </c>
      <c r="G421" s="1" t="s">
        <v>50</v>
      </c>
      <c r="H421" s="1" t="s">
        <v>50</v>
      </c>
      <c r="I421" s="1" t="s">
        <v>50</v>
      </c>
      <c r="J421" s="1" t="s">
        <v>50</v>
      </c>
      <c r="K421" s="1" t="s">
        <v>50</v>
      </c>
      <c r="L421" s="1"/>
      <c r="M421" s="1" t="s">
        <v>104</v>
      </c>
      <c r="N421" s="1" t="s">
        <v>50</v>
      </c>
      <c r="O421" s="1" t="s">
        <v>50</v>
      </c>
      <c r="P421" s="1" t="s">
        <v>104</v>
      </c>
      <c r="Q421" s="1" t="s">
        <v>50</v>
      </c>
      <c r="R421" s="1" t="s">
        <v>50</v>
      </c>
      <c r="S421" s="1" t="s">
        <v>50</v>
      </c>
      <c r="T421" s="1" t="s">
        <v>50</v>
      </c>
      <c r="U421" s="1" t="s">
        <v>50</v>
      </c>
      <c r="V421" s="1" t="s">
        <v>50</v>
      </c>
      <c r="W421" s="1" t="s">
        <v>50</v>
      </c>
      <c r="X421" s="1" t="s">
        <v>2064</v>
      </c>
      <c r="Y421" s="1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>
        <v>1</v>
      </c>
      <c r="AT421" s="8">
        <v>1</v>
      </c>
      <c r="AU421" s="8"/>
      <c r="AV421" s="8"/>
      <c r="AW421" s="8"/>
      <c r="AX421" s="8"/>
      <c r="AY421" s="8"/>
      <c r="AZ421" s="8"/>
      <c r="BA421" s="8"/>
      <c r="BB421" s="1"/>
      <c r="BJ421">
        <v>13</v>
      </c>
      <c r="BK421">
        <v>2</v>
      </c>
      <c r="BL421" s="58"/>
      <c r="BP421" t="str">
        <f t="shared" si="16"/>
        <v>SoundSteel</v>
      </c>
      <c r="BR421">
        <v>2</v>
      </c>
    </row>
    <row r="422" spans="1:70" x14ac:dyDescent="0.25">
      <c r="A422">
        <f t="shared" si="17"/>
        <v>375</v>
      </c>
      <c r="B422" t="s">
        <v>469</v>
      </c>
      <c r="D422" s="1" t="s">
        <v>41</v>
      </c>
      <c r="E422" s="1" t="s">
        <v>14</v>
      </c>
      <c r="F422" s="1" t="s">
        <v>50</v>
      </c>
      <c r="G422" s="1" t="s">
        <v>50</v>
      </c>
      <c r="H422" s="1"/>
      <c r="I422" s="1" t="s">
        <v>50</v>
      </c>
      <c r="J422" s="1" t="s">
        <v>50</v>
      </c>
      <c r="K422" s="1" t="s">
        <v>50</v>
      </c>
      <c r="L422" s="1"/>
      <c r="M422" s="1" t="s">
        <v>50</v>
      </c>
      <c r="N422" s="1" t="s">
        <v>50</v>
      </c>
      <c r="O422" s="1" t="s">
        <v>50</v>
      </c>
      <c r="P422" s="1" t="s">
        <v>104</v>
      </c>
      <c r="Q422" s="1" t="s">
        <v>104</v>
      </c>
      <c r="R422" s="1" t="s">
        <v>104</v>
      </c>
      <c r="S422" s="1" t="s">
        <v>104</v>
      </c>
      <c r="T422" s="1" t="s">
        <v>104</v>
      </c>
      <c r="U422" s="1" t="s">
        <v>104</v>
      </c>
      <c r="V422" s="1" t="s">
        <v>104</v>
      </c>
      <c r="W422" s="1" t="s">
        <v>104</v>
      </c>
      <c r="X422" s="1" t="s">
        <v>733</v>
      </c>
      <c r="Y422" s="1"/>
      <c r="Z422" s="8"/>
      <c r="AA422" s="8"/>
      <c r="AB422" s="8">
        <v>1</v>
      </c>
      <c r="AC422" s="8">
        <v>1</v>
      </c>
      <c r="AD422" s="8"/>
      <c r="AE422" s="8"/>
      <c r="AF422" s="8"/>
      <c r="AG422" s="8">
        <v>1</v>
      </c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1"/>
      <c r="BL422" s="58"/>
      <c r="BP422" t="str">
        <f t="shared" si="16"/>
        <v>SoundGhost</v>
      </c>
      <c r="BQ422" t="s">
        <v>2</v>
      </c>
      <c r="BR422">
        <v>5</v>
      </c>
    </row>
    <row r="423" spans="1:70" x14ac:dyDescent="0.25">
      <c r="A423">
        <f t="shared" si="17"/>
        <v>376</v>
      </c>
      <c r="B423" t="s">
        <v>470</v>
      </c>
      <c r="D423" s="1" t="s">
        <v>41</v>
      </c>
      <c r="E423" s="1" t="s">
        <v>14</v>
      </c>
      <c r="F423" s="1" t="s">
        <v>50</v>
      </c>
      <c r="G423" s="1" t="s">
        <v>50</v>
      </c>
      <c r="H423" s="1" t="s">
        <v>50</v>
      </c>
      <c r="I423" s="1" t="s">
        <v>50</v>
      </c>
      <c r="J423" s="1" t="s">
        <v>50</v>
      </c>
      <c r="K423" s="1" t="s">
        <v>50</v>
      </c>
      <c r="L423" s="1"/>
      <c r="M423" s="1" t="s">
        <v>104</v>
      </c>
      <c r="N423" s="1" t="s">
        <v>50</v>
      </c>
      <c r="O423" s="1" t="s">
        <v>50</v>
      </c>
      <c r="P423" s="1" t="s">
        <v>104</v>
      </c>
      <c r="Q423" s="1" t="s">
        <v>50</v>
      </c>
      <c r="R423" s="1" t="s">
        <v>50</v>
      </c>
      <c r="S423" s="1" t="s">
        <v>50</v>
      </c>
      <c r="T423" s="1" t="s">
        <v>50</v>
      </c>
      <c r="U423" s="1" t="s">
        <v>50</v>
      </c>
      <c r="V423" s="1" t="s">
        <v>50</v>
      </c>
      <c r="W423" s="1" t="s">
        <v>50</v>
      </c>
      <c r="X423" s="1" t="s">
        <v>733</v>
      </c>
      <c r="Y423" s="1"/>
      <c r="Z423" s="8"/>
      <c r="AA423" s="8"/>
      <c r="AB423" s="8">
        <v>1</v>
      </c>
      <c r="AC423" s="8">
        <v>1</v>
      </c>
      <c r="AD423" s="8"/>
      <c r="AE423" s="8"/>
      <c r="AF423" s="8"/>
      <c r="AG423" s="8">
        <v>1</v>
      </c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1"/>
      <c r="BJ423">
        <v>3</v>
      </c>
      <c r="BL423" s="58"/>
      <c r="BP423" t="str">
        <f t="shared" si="16"/>
        <v>SoundGhost</v>
      </c>
      <c r="BR423">
        <v>5</v>
      </c>
    </row>
    <row r="424" spans="1:70" x14ac:dyDescent="0.25">
      <c r="A424">
        <f t="shared" si="17"/>
        <v>377</v>
      </c>
      <c r="B424" t="s">
        <v>471</v>
      </c>
      <c r="D424" s="1" t="s">
        <v>15</v>
      </c>
      <c r="E424" s="1" t="s">
        <v>10</v>
      </c>
      <c r="F424" s="1" t="s">
        <v>50</v>
      </c>
      <c r="G424" s="1" t="s">
        <v>50</v>
      </c>
      <c r="H424" s="1"/>
      <c r="I424" s="1" t="s">
        <v>50</v>
      </c>
      <c r="J424" s="1" t="s">
        <v>50</v>
      </c>
      <c r="K424" s="1" t="s">
        <v>50</v>
      </c>
      <c r="L424" s="1"/>
      <c r="M424" s="1" t="s">
        <v>50</v>
      </c>
      <c r="N424" s="1" t="s">
        <v>50</v>
      </c>
      <c r="O424" s="1" t="s">
        <v>50</v>
      </c>
      <c r="P424" s="1" t="s">
        <v>1707</v>
      </c>
      <c r="Q424" s="1" t="s">
        <v>104</v>
      </c>
      <c r="R424" s="1" t="s">
        <v>104</v>
      </c>
      <c r="S424" s="1" t="s">
        <v>104</v>
      </c>
      <c r="T424" s="1" t="s">
        <v>104</v>
      </c>
      <c r="U424" s="1" t="s">
        <v>104</v>
      </c>
      <c r="V424" s="1" t="s">
        <v>104</v>
      </c>
      <c r="W424" s="1" t="s">
        <v>104</v>
      </c>
      <c r="X424" s="1" t="s">
        <v>733</v>
      </c>
      <c r="Y424" s="1"/>
      <c r="Z424" s="8"/>
      <c r="AA424" s="8"/>
      <c r="AB424" s="8"/>
      <c r="AC424" s="8"/>
      <c r="AD424" s="8"/>
      <c r="AE424" s="8"/>
      <c r="AF424" s="8"/>
      <c r="AG424" s="8">
        <v>1</v>
      </c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>
        <v>1</v>
      </c>
      <c r="AT424" s="8">
        <v>1</v>
      </c>
      <c r="AU424" s="8"/>
      <c r="AV424" s="8"/>
      <c r="AW424" s="8"/>
      <c r="AX424" s="8"/>
      <c r="AY424" s="8"/>
      <c r="AZ424" s="8"/>
      <c r="BA424" s="8"/>
      <c r="BB424" s="1"/>
      <c r="BL424" s="58"/>
      <c r="BP424" t="str">
        <f t="shared" si="16"/>
        <v>WaterPoison</v>
      </c>
      <c r="BQ424" t="s">
        <v>2</v>
      </c>
      <c r="BR424">
        <v>8</v>
      </c>
    </row>
    <row r="425" spans="1:70" x14ac:dyDescent="0.25">
      <c r="A425">
        <f t="shared" si="17"/>
        <v>378</v>
      </c>
      <c r="B425" t="s">
        <v>472</v>
      </c>
      <c r="D425" s="1" t="s">
        <v>15</v>
      </c>
      <c r="E425" s="1" t="s">
        <v>10</v>
      </c>
      <c r="F425" s="1" t="s">
        <v>50</v>
      </c>
      <c r="G425" s="1" t="s">
        <v>50</v>
      </c>
      <c r="H425" s="1" t="s">
        <v>50</v>
      </c>
      <c r="I425" s="1" t="s">
        <v>50</v>
      </c>
      <c r="J425" s="1" t="s">
        <v>50</v>
      </c>
      <c r="K425" s="1" t="s">
        <v>50</v>
      </c>
      <c r="L425" s="1"/>
      <c r="M425" s="1" t="s">
        <v>104</v>
      </c>
      <c r="N425" s="1" t="s">
        <v>50</v>
      </c>
      <c r="O425" s="1" t="s">
        <v>50</v>
      </c>
      <c r="P425" s="1" t="s">
        <v>1707</v>
      </c>
      <c r="Q425" s="1" t="s">
        <v>104</v>
      </c>
      <c r="R425" s="1" t="s">
        <v>104</v>
      </c>
      <c r="S425" s="1" t="s">
        <v>104</v>
      </c>
      <c r="T425" s="1" t="s">
        <v>104</v>
      </c>
      <c r="U425" s="1" t="s">
        <v>104</v>
      </c>
      <c r="V425" s="1" t="s">
        <v>104</v>
      </c>
      <c r="W425" s="1" t="s">
        <v>104</v>
      </c>
      <c r="X425" s="1" t="s">
        <v>733</v>
      </c>
      <c r="Y425" s="1"/>
      <c r="Z425" s="8"/>
      <c r="AA425" s="8"/>
      <c r="AB425" s="8"/>
      <c r="AC425" s="8"/>
      <c r="AD425" s="8"/>
      <c r="AE425" s="8"/>
      <c r="AF425" s="8"/>
      <c r="AG425" s="8">
        <v>1</v>
      </c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>
        <v>1</v>
      </c>
      <c r="AT425" s="8">
        <v>1</v>
      </c>
      <c r="AU425" s="8"/>
      <c r="AV425" s="8"/>
      <c r="AW425" s="8"/>
      <c r="AX425" s="8"/>
      <c r="AY425" s="8"/>
      <c r="AZ425" s="8"/>
      <c r="BA425" s="8"/>
      <c r="BB425" s="1"/>
      <c r="BJ425">
        <v>1</v>
      </c>
      <c r="BL425" s="58"/>
      <c r="BP425" t="str">
        <f t="shared" si="16"/>
        <v>WaterPoison</v>
      </c>
      <c r="BR425">
        <v>8</v>
      </c>
    </row>
    <row r="426" spans="1:70" x14ac:dyDescent="0.25">
      <c r="A426">
        <f t="shared" si="17"/>
        <v>379</v>
      </c>
      <c r="B426" t="s">
        <v>473</v>
      </c>
      <c r="D426" s="1" t="s">
        <v>9</v>
      </c>
      <c r="E426" s="1" t="s">
        <v>18</v>
      </c>
      <c r="F426" s="1" t="s">
        <v>50</v>
      </c>
      <c r="G426" s="1" t="s">
        <v>50</v>
      </c>
      <c r="H426" s="1" t="s">
        <v>50</v>
      </c>
      <c r="I426" s="1" t="s">
        <v>50</v>
      </c>
      <c r="J426" s="1" t="s">
        <v>50</v>
      </c>
      <c r="K426" s="1" t="s">
        <v>50</v>
      </c>
      <c r="L426" s="1"/>
      <c r="M426" s="1" t="s">
        <v>50</v>
      </c>
      <c r="N426" s="1" t="s">
        <v>50</v>
      </c>
      <c r="O426" s="1" t="s">
        <v>50</v>
      </c>
      <c r="P426" s="1" t="s">
        <v>104</v>
      </c>
      <c r="Q426" s="1" t="s">
        <v>104</v>
      </c>
      <c r="R426" s="1" t="s">
        <v>104</v>
      </c>
      <c r="S426" s="1" t="s">
        <v>104</v>
      </c>
      <c r="T426" s="1" t="s">
        <v>104</v>
      </c>
      <c r="U426" s="1" t="s">
        <v>104</v>
      </c>
      <c r="V426" s="1" t="s">
        <v>104</v>
      </c>
      <c r="W426" s="1" t="s">
        <v>104</v>
      </c>
      <c r="X426" s="1" t="s">
        <v>739</v>
      </c>
      <c r="Y426" s="1"/>
      <c r="Z426" s="8"/>
      <c r="AA426" s="8"/>
      <c r="AB426" s="8"/>
      <c r="AC426" s="8">
        <v>1</v>
      </c>
      <c r="AD426" s="8">
        <v>1</v>
      </c>
      <c r="AE426" s="8"/>
      <c r="AF426" s="8">
        <v>1</v>
      </c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>
        <v>1</v>
      </c>
      <c r="AW426" s="8">
        <v>1</v>
      </c>
      <c r="AX426" s="8">
        <v>1</v>
      </c>
      <c r="AY426" s="8">
        <v>1</v>
      </c>
      <c r="AZ426" s="8">
        <v>1</v>
      </c>
      <c r="BA426" s="8"/>
      <c r="BB426" s="1"/>
      <c r="BK426">
        <v>1</v>
      </c>
      <c r="BL426" s="58"/>
      <c r="BP426" t="str">
        <f t="shared" si="16"/>
        <v>RockFighting</v>
      </c>
      <c r="BR426">
        <v>5</v>
      </c>
    </row>
    <row r="427" spans="1:70" x14ac:dyDescent="0.25">
      <c r="A427">
        <f t="shared" si="17"/>
        <v>380</v>
      </c>
      <c r="B427" t="s">
        <v>474</v>
      </c>
      <c r="D427" s="1" t="s">
        <v>9</v>
      </c>
      <c r="E427" s="1" t="s">
        <v>18</v>
      </c>
      <c r="F427" s="1" t="s">
        <v>50</v>
      </c>
      <c r="G427" s="1" t="s">
        <v>50</v>
      </c>
      <c r="H427" s="1" t="s">
        <v>50</v>
      </c>
      <c r="I427" s="1" t="s">
        <v>50</v>
      </c>
      <c r="J427" s="1" t="s">
        <v>50</v>
      </c>
      <c r="K427" s="1" t="s">
        <v>50</v>
      </c>
      <c r="L427" s="1"/>
      <c r="M427" s="1" t="s">
        <v>50</v>
      </c>
      <c r="N427" s="1" t="s">
        <v>50</v>
      </c>
      <c r="O427" s="1" t="s">
        <v>50</v>
      </c>
      <c r="P427" s="1" t="s">
        <v>104</v>
      </c>
      <c r="Q427" s="1" t="s">
        <v>104</v>
      </c>
      <c r="R427" s="1" t="s">
        <v>104</v>
      </c>
      <c r="S427" s="1" t="s">
        <v>104</v>
      </c>
      <c r="T427" s="1" t="s">
        <v>104</v>
      </c>
      <c r="U427" s="1" t="s">
        <v>104</v>
      </c>
      <c r="V427" s="1" t="s">
        <v>104</v>
      </c>
      <c r="W427" s="1" t="s">
        <v>104</v>
      </c>
      <c r="X427" s="1" t="s">
        <v>727</v>
      </c>
      <c r="Y427" s="1"/>
      <c r="Z427" s="8"/>
      <c r="AA427" s="8"/>
      <c r="AB427" s="8"/>
      <c r="AC427" s="8">
        <v>1</v>
      </c>
      <c r="AD427" s="8">
        <v>1</v>
      </c>
      <c r="AE427" s="8"/>
      <c r="AF427" s="8">
        <v>1</v>
      </c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>
        <v>1</v>
      </c>
      <c r="AW427" s="8">
        <v>1</v>
      </c>
      <c r="AX427" s="8">
        <v>1</v>
      </c>
      <c r="AY427" s="8">
        <v>1</v>
      </c>
      <c r="AZ427" s="8">
        <v>1</v>
      </c>
      <c r="BA427" s="8"/>
      <c r="BB427" s="1"/>
      <c r="BL427" s="58"/>
      <c r="BP427" t="str">
        <f t="shared" si="16"/>
        <v>RockFighting</v>
      </c>
      <c r="BR427">
        <v>5</v>
      </c>
    </row>
    <row r="428" spans="1:70" x14ac:dyDescent="0.25">
      <c r="A428">
        <f t="shared" si="17"/>
        <v>381</v>
      </c>
      <c r="B428" t="s">
        <v>475</v>
      </c>
      <c r="D428" s="1" t="s">
        <v>15</v>
      </c>
      <c r="E428" s="1" t="s">
        <v>0</v>
      </c>
      <c r="F428" s="1" t="s">
        <v>50</v>
      </c>
      <c r="G428" s="1" t="s">
        <v>50</v>
      </c>
      <c r="H428" s="1"/>
      <c r="I428" s="1" t="s">
        <v>50</v>
      </c>
      <c r="J428" s="1" t="s">
        <v>50</v>
      </c>
      <c r="K428" s="1" t="s">
        <v>50</v>
      </c>
      <c r="L428" s="1"/>
      <c r="M428" s="1" t="s">
        <v>50</v>
      </c>
      <c r="N428" s="1" t="s">
        <v>50</v>
      </c>
      <c r="O428" s="1" t="s">
        <v>50</v>
      </c>
      <c r="P428" s="1" t="s">
        <v>104</v>
      </c>
      <c r="Q428" s="1" t="s">
        <v>104</v>
      </c>
      <c r="R428" s="1" t="s">
        <v>104</v>
      </c>
      <c r="S428" s="1" t="s">
        <v>104</v>
      </c>
      <c r="T428" s="1" t="s">
        <v>104</v>
      </c>
      <c r="U428" s="1" t="s">
        <v>104</v>
      </c>
      <c r="V428" s="1" t="s">
        <v>104</v>
      </c>
      <c r="W428" s="1" t="s">
        <v>104</v>
      </c>
      <c r="X428" s="1" t="s">
        <v>740</v>
      </c>
      <c r="Y428" s="1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>
        <v>1</v>
      </c>
      <c r="AK428" s="8">
        <v>1</v>
      </c>
      <c r="AL428" s="8">
        <v>1</v>
      </c>
      <c r="AM428" s="8">
        <v>1</v>
      </c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1"/>
      <c r="BL428" s="58"/>
      <c r="BP428" t="str">
        <f t="shared" si="16"/>
        <v>WaterDark</v>
      </c>
      <c r="BQ428" t="s">
        <v>2</v>
      </c>
      <c r="BR428">
        <v>5</v>
      </c>
    </row>
    <row r="429" spans="1:70" x14ac:dyDescent="0.25">
      <c r="A429">
        <f t="shared" si="17"/>
        <v>382</v>
      </c>
      <c r="B429" t="s">
        <v>476</v>
      </c>
      <c r="D429" s="1" t="s">
        <v>15</v>
      </c>
      <c r="E429" s="1" t="s">
        <v>0</v>
      </c>
      <c r="F429" s="1" t="s">
        <v>50</v>
      </c>
      <c r="G429" s="1" t="s">
        <v>50</v>
      </c>
      <c r="H429" s="1"/>
      <c r="I429" s="1" t="s">
        <v>50</v>
      </c>
      <c r="J429" s="1" t="s">
        <v>50</v>
      </c>
      <c r="K429" s="1" t="s">
        <v>50</v>
      </c>
      <c r="L429" s="1"/>
      <c r="M429" s="1" t="s">
        <v>104</v>
      </c>
      <c r="N429" s="1" t="s">
        <v>50</v>
      </c>
      <c r="O429" s="1" t="s">
        <v>50</v>
      </c>
      <c r="P429" s="1" t="s">
        <v>104</v>
      </c>
      <c r="Q429" s="1" t="s">
        <v>104</v>
      </c>
      <c r="R429" s="1" t="s">
        <v>104</v>
      </c>
      <c r="S429" s="1" t="s">
        <v>104</v>
      </c>
      <c r="T429" s="1" t="s">
        <v>104</v>
      </c>
      <c r="U429" s="1" t="s">
        <v>104</v>
      </c>
      <c r="V429" s="1" t="s">
        <v>104</v>
      </c>
      <c r="W429" s="1" t="s">
        <v>104</v>
      </c>
      <c r="X429" s="1" t="s">
        <v>740</v>
      </c>
      <c r="Y429" s="1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>
        <v>1</v>
      </c>
      <c r="AK429" s="8">
        <v>1</v>
      </c>
      <c r="AL429" s="8">
        <v>1</v>
      </c>
      <c r="AM429" s="8">
        <v>1</v>
      </c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1"/>
      <c r="BL429" s="58"/>
      <c r="BP429" t="str">
        <f t="shared" si="16"/>
        <v>WaterDark</v>
      </c>
      <c r="BQ429" t="s">
        <v>2</v>
      </c>
      <c r="BR429">
        <v>5</v>
      </c>
    </row>
    <row r="430" spans="1:70" x14ac:dyDescent="0.25">
      <c r="A430">
        <f t="shared" si="17"/>
        <v>383</v>
      </c>
      <c r="B430" t="s">
        <v>477</v>
      </c>
      <c r="D430" s="1" t="s">
        <v>15</v>
      </c>
      <c r="E430" s="1" t="s">
        <v>0</v>
      </c>
      <c r="F430" s="1" t="s">
        <v>50</v>
      </c>
      <c r="G430" s="1" t="s">
        <v>50</v>
      </c>
      <c r="H430" s="1" t="s">
        <v>50</v>
      </c>
      <c r="I430" s="1" t="s">
        <v>50</v>
      </c>
      <c r="J430" s="1" t="s">
        <v>50</v>
      </c>
      <c r="K430" s="1" t="s">
        <v>50</v>
      </c>
      <c r="L430" s="1"/>
      <c r="M430" s="1" t="s">
        <v>104</v>
      </c>
      <c r="N430" s="1" t="s">
        <v>50</v>
      </c>
      <c r="O430" s="1" t="s">
        <v>50</v>
      </c>
      <c r="P430" s="1" t="s">
        <v>104</v>
      </c>
      <c r="Q430" s="1" t="s">
        <v>104</v>
      </c>
      <c r="R430" s="1" t="s">
        <v>104</v>
      </c>
      <c r="S430" s="1" t="s">
        <v>104</v>
      </c>
      <c r="T430" s="1" t="s">
        <v>104</v>
      </c>
      <c r="U430" s="1" t="s">
        <v>104</v>
      </c>
      <c r="V430" s="1" t="s">
        <v>104</v>
      </c>
      <c r="W430" s="1" t="s">
        <v>104</v>
      </c>
      <c r="X430" s="1" t="s">
        <v>740</v>
      </c>
      <c r="Y430" s="1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>
        <v>1</v>
      </c>
      <c r="AK430" s="8">
        <v>1</v>
      </c>
      <c r="AL430" s="8">
        <v>1</v>
      </c>
      <c r="AM430" s="8">
        <v>1</v>
      </c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1"/>
      <c r="BJ430">
        <v>7</v>
      </c>
      <c r="BK430">
        <v>3</v>
      </c>
      <c r="BL430" s="58"/>
      <c r="BP430" t="str">
        <f t="shared" si="16"/>
        <v>WaterDark</v>
      </c>
      <c r="BR430">
        <v>5</v>
      </c>
    </row>
    <row r="431" spans="1:70" x14ac:dyDescent="0.25">
      <c r="A431">
        <f t="shared" si="17"/>
        <v>384</v>
      </c>
      <c r="B431" t="s">
        <v>478</v>
      </c>
      <c r="D431" s="1" t="s">
        <v>42</v>
      </c>
      <c r="E431" s="1" t="s">
        <v>13</v>
      </c>
      <c r="F431" s="1" t="s">
        <v>50</v>
      </c>
      <c r="G431" s="1" t="s">
        <v>50</v>
      </c>
      <c r="H431" s="1"/>
      <c r="I431" s="1" t="s">
        <v>50</v>
      </c>
      <c r="J431" s="1" t="s">
        <v>50</v>
      </c>
      <c r="K431" s="1" t="s">
        <v>50</v>
      </c>
      <c r="L431" s="1"/>
      <c r="M431" s="1" t="s">
        <v>50</v>
      </c>
      <c r="N431" s="1" t="s">
        <v>50</v>
      </c>
      <c r="O431" s="1" t="s">
        <v>50</v>
      </c>
      <c r="P431" s="1" t="s">
        <v>811</v>
      </c>
      <c r="Q431" s="1" t="s">
        <v>104</v>
      </c>
      <c r="R431" s="1" t="s">
        <v>104</v>
      </c>
      <c r="S431" s="1" t="s">
        <v>104</v>
      </c>
      <c r="T431" s="1" t="s">
        <v>104</v>
      </c>
      <c r="U431" s="1" t="s">
        <v>104</v>
      </c>
      <c r="V431" s="1" t="s">
        <v>104</v>
      </c>
      <c r="W431" s="1" t="s">
        <v>104</v>
      </c>
      <c r="X431" s="1" t="s">
        <v>729</v>
      </c>
      <c r="Y431" s="1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>
        <v>1</v>
      </c>
      <c r="AV431" s="8">
        <v>1</v>
      </c>
      <c r="AW431" s="8">
        <v>1</v>
      </c>
      <c r="AX431" s="8"/>
      <c r="AY431" s="8"/>
      <c r="AZ431" s="8"/>
      <c r="BA431" s="8"/>
      <c r="BB431" s="1"/>
      <c r="BL431" s="58"/>
      <c r="BP431" t="str">
        <f t="shared" si="16"/>
        <v>CosmicFire</v>
      </c>
      <c r="BQ431" t="s">
        <v>2</v>
      </c>
      <c r="BR431">
        <v>3</v>
      </c>
    </row>
    <row r="432" spans="1:70" x14ac:dyDescent="0.25">
      <c r="A432">
        <f t="shared" si="17"/>
        <v>385</v>
      </c>
      <c r="B432" t="s">
        <v>479</v>
      </c>
      <c r="D432" s="1" t="s">
        <v>42</v>
      </c>
      <c r="E432" s="1" t="s">
        <v>13</v>
      </c>
      <c r="F432" s="1" t="s">
        <v>50</v>
      </c>
      <c r="G432" s="1" t="s">
        <v>50</v>
      </c>
      <c r="H432" s="1"/>
      <c r="I432" s="1" t="s">
        <v>50</v>
      </c>
      <c r="J432" s="1" t="s">
        <v>50</v>
      </c>
      <c r="K432" s="1" t="s">
        <v>50</v>
      </c>
      <c r="L432" s="1"/>
      <c r="M432" s="1" t="s">
        <v>104</v>
      </c>
      <c r="N432" s="1" t="s">
        <v>50</v>
      </c>
      <c r="O432" s="1" t="s">
        <v>50</v>
      </c>
      <c r="P432" s="1" t="s">
        <v>811</v>
      </c>
      <c r="Q432" s="1" t="s">
        <v>104</v>
      </c>
      <c r="R432" s="1" t="s">
        <v>104</v>
      </c>
      <c r="S432" s="1" t="s">
        <v>104</v>
      </c>
      <c r="T432" s="1" t="s">
        <v>104</v>
      </c>
      <c r="U432" s="1" t="s">
        <v>104</v>
      </c>
      <c r="V432" s="1" t="s">
        <v>104</v>
      </c>
      <c r="W432" s="1" t="s">
        <v>104</v>
      </c>
      <c r="X432" s="1" t="s">
        <v>729</v>
      </c>
      <c r="Y432" s="1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>
        <v>1</v>
      </c>
      <c r="AV432" s="8">
        <v>1</v>
      </c>
      <c r="AW432" s="8">
        <v>1</v>
      </c>
      <c r="AX432" s="8"/>
      <c r="AY432" s="8"/>
      <c r="AZ432" s="8"/>
      <c r="BA432" s="8"/>
      <c r="BB432" s="1"/>
      <c r="BL432" s="58"/>
      <c r="BP432" t="str">
        <f t="shared" si="16"/>
        <v>CosmicFire</v>
      </c>
      <c r="BQ432" t="s">
        <v>2</v>
      </c>
      <c r="BR432">
        <v>3</v>
      </c>
    </row>
    <row r="433" spans="1:70" x14ac:dyDescent="0.25">
      <c r="A433">
        <f t="shared" si="17"/>
        <v>386</v>
      </c>
      <c r="B433" t="s">
        <v>480</v>
      </c>
      <c r="D433" s="1" t="s">
        <v>42</v>
      </c>
      <c r="E433" s="1" t="s">
        <v>13</v>
      </c>
      <c r="F433" s="1" t="s">
        <v>50</v>
      </c>
      <c r="G433" s="1" t="s">
        <v>50</v>
      </c>
      <c r="H433" s="1" t="s">
        <v>50</v>
      </c>
      <c r="I433" s="1" t="s">
        <v>50</v>
      </c>
      <c r="J433" s="1" t="s">
        <v>50</v>
      </c>
      <c r="K433" s="1" t="s">
        <v>50</v>
      </c>
      <c r="L433" s="1"/>
      <c r="M433" s="1" t="s">
        <v>104</v>
      </c>
      <c r="N433" s="1" t="s">
        <v>50</v>
      </c>
      <c r="O433" s="1" t="s">
        <v>50</v>
      </c>
      <c r="P433" s="1" t="s">
        <v>811</v>
      </c>
      <c r="Q433" s="1" t="s">
        <v>50</v>
      </c>
      <c r="R433" s="1" t="s">
        <v>50</v>
      </c>
      <c r="S433" s="1" t="s">
        <v>50</v>
      </c>
      <c r="T433" s="1" t="s">
        <v>50</v>
      </c>
      <c r="U433" s="1" t="s">
        <v>50</v>
      </c>
      <c r="V433" s="1" t="s">
        <v>50</v>
      </c>
      <c r="W433" s="1" t="s">
        <v>50</v>
      </c>
      <c r="X433" s="1" t="s">
        <v>2064</v>
      </c>
      <c r="Y433" s="1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>
        <v>1</v>
      </c>
      <c r="AV433" s="8">
        <v>1</v>
      </c>
      <c r="AW433" s="8">
        <v>1</v>
      </c>
      <c r="AX433" s="8"/>
      <c r="AY433" s="8"/>
      <c r="AZ433" s="8"/>
      <c r="BA433" s="8"/>
      <c r="BB433" s="1"/>
      <c r="BJ433">
        <v>11</v>
      </c>
      <c r="BK433">
        <v>6</v>
      </c>
      <c r="BL433" s="58"/>
      <c r="BP433" t="str">
        <f t="shared" si="16"/>
        <v>CosmicFire</v>
      </c>
      <c r="BR433">
        <v>3</v>
      </c>
    </row>
    <row r="434" spans="1:70" x14ac:dyDescent="0.25">
      <c r="A434">
        <f t="shared" si="17"/>
        <v>387</v>
      </c>
      <c r="B434" t="s">
        <v>481</v>
      </c>
      <c r="D434" s="1" t="s">
        <v>10</v>
      </c>
      <c r="E434" s="1" t="s">
        <v>15</v>
      </c>
      <c r="F434" s="1" t="s">
        <v>50</v>
      </c>
      <c r="G434" s="1" t="s">
        <v>50</v>
      </c>
      <c r="H434" s="1"/>
      <c r="I434" s="1" t="s">
        <v>50</v>
      </c>
      <c r="J434" s="1" t="s">
        <v>50</v>
      </c>
      <c r="K434" s="1" t="s">
        <v>50</v>
      </c>
      <c r="L434" s="1"/>
      <c r="M434" s="1" t="s">
        <v>50</v>
      </c>
      <c r="N434" s="1" t="s">
        <v>50</v>
      </c>
      <c r="O434" s="1" t="s">
        <v>50</v>
      </c>
      <c r="P434" s="1" t="s">
        <v>104</v>
      </c>
      <c r="Q434" s="1" t="s">
        <v>104</v>
      </c>
      <c r="R434" s="1" t="s">
        <v>104</v>
      </c>
      <c r="S434" s="1" t="s">
        <v>104</v>
      </c>
      <c r="T434" s="1" t="s">
        <v>104</v>
      </c>
      <c r="U434" s="1" t="s">
        <v>104</v>
      </c>
      <c r="V434" s="1" t="s">
        <v>104</v>
      </c>
      <c r="W434" s="1" t="s">
        <v>104</v>
      </c>
      <c r="X434" s="1" t="s">
        <v>738</v>
      </c>
      <c r="Y434" s="1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>
        <v>1</v>
      </c>
      <c r="AU434" s="8"/>
      <c r="AV434" s="8"/>
      <c r="AW434" s="8"/>
      <c r="AX434" s="8"/>
      <c r="AY434" s="8"/>
      <c r="AZ434" s="8">
        <v>1</v>
      </c>
      <c r="BA434" s="8"/>
      <c r="BB434" s="1"/>
      <c r="BL434" s="58"/>
      <c r="BP434" t="str">
        <f t="shared" si="16"/>
        <v>PoisonWater</v>
      </c>
      <c r="BQ434" t="s">
        <v>2</v>
      </c>
      <c r="BR434">
        <v>1</v>
      </c>
    </row>
    <row r="435" spans="1:70" x14ac:dyDescent="0.25">
      <c r="A435">
        <f t="shared" si="17"/>
        <v>388</v>
      </c>
      <c r="B435" t="s">
        <v>482</v>
      </c>
      <c r="D435" s="1" t="s">
        <v>10</v>
      </c>
      <c r="E435" s="1" t="s">
        <v>15</v>
      </c>
      <c r="F435" s="1" t="s">
        <v>50</v>
      </c>
      <c r="G435" s="1" t="s">
        <v>50</v>
      </c>
      <c r="H435" s="1" t="s">
        <v>50</v>
      </c>
      <c r="I435" s="1" t="s">
        <v>50</v>
      </c>
      <c r="J435" s="1" t="s">
        <v>50</v>
      </c>
      <c r="K435" s="1" t="s">
        <v>50</v>
      </c>
      <c r="L435" s="1" t="s">
        <v>50</v>
      </c>
      <c r="M435" s="1" t="s">
        <v>104</v>
      </c>
      <c r="N435" s="1" t="s">
        <v>50</v>
      </c>
      <c r="O435" s="1" t="s">
        <v>50</v>
      </c>
      <c r="P435" s="1" t="s">
        <v>104</v>
      </c>
      <c r="Q435" s="1" t="s">
        <v>104</v>
      </c>
      <c r="R435" s="1" t="s">
        <v>104</v>
      </c>
      <c r="S435" s="1" t="s">
        <v>104</v>
      </c>
      <c r="T435" s="1" t="s">
        <v>104</v>
      </c>
      <c r="U435" s="1" t="s">
        <v>104</v>
      </c>
      <c r="V435" s="1" t="s">
        <v>104</v>
      </c>
      <c r="W435" s="1" t="s">
        <v>104</v>
      </c>
      <c r="X435" s="1" t="s">
        <v>738</v>
      </c>
      <c r="Y435" s="1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>
        <v>1</v>
      </c>
      <c r="AU435" s="8"/>
      <c r="AV435" s="8"/>
      <c r="AW435" s="8"/>
      <c r="AX435" s="8"/>
      <c r="AY435" s="8"/>
      <c r="AZ435" s="8">
        <v>1</v>
      </c>
      <c r="BA435" s="8"/>
      <c r="BB435" s="1"/>
      <c r="BL435" s="58"/>
      <c r="BP435" t="str">
        <f t="shared" si="16"/>
        <v>PoisonWater</v>
      </c>
      <c r="BR435">
        <v>1</v>
      </c>
    </row>
    <row r="436" spans="1:70" x14ac:dyDescent="0.25">
      <c r="A436">
        <f t="shared" si="17"/>
        <v>389</v>
      </c>
      <c r="B436" t="s">
        <v>483</v>
      </c>
      <c r="D436" s="1" t="s">
        <v>0</v>
      </c>
      <c r="E436" s="1" t="s">
        <v>16</v>
      </c>
      <c r="F436" s="1" t="s">
        <v>50</v>
      </c>
      <c r="G436" s="1" t="s">
        <v>50</v>
      </c>
      <c r="H436" s="1"/>
      <c r="I436" s="1" t="s">
        <v>50</v>
      </c>
      <c r="J436" s="1" t="s">
        <v>50</v>
      </c>
      <c r="K436" s="1" t="s">
        <v>50</v>
      </c>
      <c r="L436" s="1" t="s">
        <v>50</v>
      </c>
      <c r="M436" s="1" t="s">
        <v>50</v>
      </c>
      <c r="N436" s="1" t="s">
        <v>50</v>
      </c>
      <c r="O436" s="1" t="s">
        <v>50</v>
      </c>
      <c r="P436" s="1" t="s">
        <v>104</v>
      </c>
      <c r="Q436" s="1" t="s">
        <v>104</v>
      </c>
      <c r="R436" s="1" t="s">
        <v>104</v>
      </c>
      <c r="S436" s="1" t="s">
        <v>104</v>
      </c>
      <c r="T436" s="1" t="s">
        <v>104</v>
      </c>
      <c r="U436" s="1" t="s">
        <v>104</v>
      </c>
      <c r="V436" s="1" t="s">
        <v>104</v>
      </c>
      <c r="W436" s="1" t="s">
        <v>104</v>
      </c>
      <c r="X436" s="1" t="s">
        <v>727</v>
      </c>
      <c r="Y436" s="1"/>
      <c r="Z436" s="8"/>
      <c r="AA436" s="8"/>
      <c r="AB436" s="8"/>
      <c r="AC436" s="8"/>
      <c r="AD436" s="8"/>
      <c r="AE436" s="8"/>
      <c r="AF436" s="8"/>
      <c r="AG436" s="8">
        <v>1</v>
      </c>
      <c r="AH436" s="8">
        <v>1</v>
      </c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>
        <v>1</v>
      </c>
      <c r="AT436" s="8"/>
      <c r="AU436" s="8"/>
      <c r="AV436" s="8"/>
      <c r="AW436" s="8"/>
      <c r="AX436" s="8">
        <v>1</v>
      </c>
      <c r="AY436" s="8">
        <v>1</v>
      </c>
      <c r="AZ436" s="8"/>
      <c r="BA436" s="8"/>
      <c r="BB436" s="1"/>
      <c r="BL436" s="58"/>
      <c r="BP436" t="str">
        <f t="shared" si="16"/>
        <v>DarkFlying</v>
      </c>
      <c r="BQ436" t="s">
        <v>2</v>
      </c>
      <c r="BR436">
        <v>3</v>
      </c>
    </row>
    <row r="437" spans="1:70" x14ac:dyDescent="0.25">
      <c r="A437">
        <f t="shared" si="17"/>
        <v>390</v>
      </c>
      <c r="B437" t="s">
        <v>484</v>
      </c>
      <c r="D437" s="1" t="s">
        <v>0</v>
      </c>
      <c r="E437" s="1" t="s">
        <v>16</v>
      </c>
      <c r="F437" s="1" t="s">
        <v>50</v>
      </c>
      <c r="G437" s="1" t="s">
        <v>50</v>
      </c>
      <c r="H437" s="1" t="s">
        <v>50</v>
      </c>
      <c r="I437" s="1" t="s">
        <v>50</v>
      </c>
      <c r="J437" s="1" t="s">
        <v>50</v>
      </c>
      <c r="K437" s="1" t="s">
        <v>50</v>
      </c>
      <c r="L437" s="1"/>
      <c r="M437" s="1" t="s">
        <v>104</v>
      </c>
      <c r="N437" s="1" t="s">
        <v>50</v>
      </c>
      <c r="O437" s="1" t="s">
        <v>50</v>
      </c>
      <c r="P437" s="1" t="s">
        <v>104</v>
      </c>
      <c r="Q437" s="1" t="s">
        <v>104</v>
      </c>
      <c r="R437" s="1" t="s">
        <v>104</v>
      </c>
      <c r="S437" s="1" t="s">
        <v>104</v>
      </c>
      <c r="T437" s="1" t="s">
        <v>104</v>
      </c>
      <c r="U437" s="1" t="s">
        <v>104</v>
      </c>
      <c r="V437" s="1" t="s">
        <v>104</v>
      </c>
      <c r="W437" s="1" t="s">
        <v>104</v>
      </c>
      <c r="X437" s="1" t="s">
        <v>727</v>
      </c>
      <c r="Y437" s="1"/>
      <c r="Z437" s="8"/>
      <c r="AA437" s="8"/>
      <c r="AB437" s="8"/>
      <c r="AC437" s="8"/>
      <c r="AD437" s="8"/>
      <c r="AE437" s="8"/>
      <c r="AF437" s="8"/>
      <c r="AG437" s="8">
        <v>1</v>
      </c>
      <c r="AH437" s="8">
        <v>1</v>
      </c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>
        <v>1</v>
      </c>
      <c r="AT437" s="8"/>
      <c r="AU437" s="8"/>
      <c r="AV437" s="8"/>
      <c r="AW437" s="8"/>
      <c r="AX437" s="8">
        <v>1</v>
      </c>
      <c r="AY437" s="8">
        <v>1</v>
      </c>
      <c r="AZ437" s="8"/>
      <c r="BA437" s="8"/>
      <c r="BB437" s="1"/>
      <c r="BL437" s="58"/>
      <c r="BP437" t="str">
        <f t="shared" si="16"/>
        <v>DarkFlying</v>
      </c>
      <c r="BR437">
        <v>3</v>
      </c>
    </row>
    <row r="438" spans="1:70" x14ac:dyDescent="0.25">
      <c r="A438">
        <f t="shared" si="17"/>
        <v>391</v>
      </c>
      <c r="B438" t="s">
        <v>485</v>
      </c>
      <c r="D438" s="1" t="s">
        <v>0</v>
      </c>
      <c r="E438" s="1" t="s">
        <v>4</v>
      </c>
      <c r="F438" s="1" t="s">
        <v>50</v>
      </c>
      <c r="G438" s="1" t="s">
        <v>50</v>
      </c>
      <c r="H438" s="1"/>
      <c r="I438" s="1" t="s">
        <v>50</v>
      </c>
      <c r="J438" s="1" t="s">
        <v>50</v>
      </c>
      <c r="K438" s="1" t="s">
        <v>50</v>
      </c>
      <c r="L438" s="1" t="s">
        <v>50</v>
      </c>
      <c r="M438" s="1" t="s">
        <v>50</v>
      </c>
      <c r="N438" s="1" t="s">
        <v>50</v>
      </c>
      <c r="O438" s="1" t="s">
        <v>50</v>
      </c>
      <c r="P438" s="1" t="s">
        <v>104</v>
      </c>
      <c r="Q438" s="1" t="s">
        <v>104</v>
      </c>
      <c r="R438" s="1" t="s">
        <v>104</v>
      </c>
      <c r="S438" s="1" t="s">
        <v>104</v>
      </c>
      <c r="T438" s="1" t="s">
        <v>104</v>
      </c>
      <c r="U438" s="1" t="s">
        <v>104</v>
      </c>
      <c r="V438" s="1" t="s">
        <v>104</v>
      </c>
      <c r="W438" s="1" t="s">
        <v>104</v>
      </c>
      <c r="X438" s="1" t="s">
        <v>739</v>
      </c>
      <c r="Y438" s="1"/>
      <c r="Z438" s="8"/>
      <c r="AA438" s="8"/>
      <c r="AB438" s="8"/>
      <c r="AC438" s="8"/>
      <c r="AD438" s="8"/>
      <c r="AE438" s="8">
        <v>1</v>
      </c>
      <c r="AF438" s="8"/>
      <c r="AG438" s="8">
        <v>1</v>
      </c>
      <c r="AH438" s="8">
        <v>1</v>
      </c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>
        <v>1</v>
      </c>
      <c r="AT438" s="8">
        <v>1</v>
      </c>
      <c r="AU438" s="8"/>
      <c r="AV438" s="8"/>
      <c r="AW438" s="8"/>
      <c r="AX438" s="8"/>
      <c r="AY438" s="8"/>
      <c r="AZ438" s="8"/>
      <c r="BA438" s="8"/>
      <c r="BB438" s="1"/>
      <c r="BL438" s="58"/>
      <c r="BP438" t="str">
        <f t="shared" si="16"/>
        <v>DarkPsychic</v>
      </c>
      <c r="BQ438" t="s">
        <v>2</v>
      </c>
      <c r="BR438">
        <v>5</v>
      </c>
    </row>
    <row r="439" spans="1:70" x14ac:dyDescent="0.25">
      <c r="A439">
        <f t="shared" si="17"/>
        <v>392</v>
      </c>
      <c r="B439" t="s">
        <v>486</v>
      </c>
      <c r="D439" s="1" t="s">
        <v>0</v>
      </c>
      <c r="E439" s="1" t="s">
        <v>4</v>
      </c>
      <c r="F439" s="1" t="s">
        <v>50</v>
      </c>
      <c r="G439" s="1" t="s">
        <v>50</v>
      </c>
      <c r="H439" s="1" t="s">
        <v>50</v>
      </c>
      <c r="I439" s="1" t="s">
        <v>50</v>
      </c>
      <c r="J439" s="1" t="s">
        <v>50</v>
      </c>
      <c r="K439" s="1" t="s">
        <v>50</v>
      </c>
      <c r="L439" s="1" t="s">
        <v>50</v>
      </c>
      <c r="M439" s="1" t="s">
        <v>104</v>
      </c>
      <c r="N439" s="1" t="s">
        <v>50</v>
      </c>
      <c r="O439" s="1" t="s">
        <v>50</v>
      </c>
      <c r="P439" s="1" t="s">
        <v>104</v>
      </c>
      <c r="Q439" s="1" t="s">
        <v>104</v>
      </c>
      <c r="R439" s="1" t="s">
        <v>104</v>
      </c>
      <c r="S439" s="1" t="s">
        <v>104</v>
      </c>
      <c r="T439" s="1" t="s">
        <v>104</v>
      </c>
      <c r="U439" s="1" t="s">
        <v>104</v>
      </c>
      <c r="V439" s="1" t="s">
        <v>104</v>
      </c>
      <c r="W439" s="1" t="s">
        <v>104</v>
      </c>
      <c r="X439" s="1" t="s">
        <v>739</v>
      </c>
      <c r="Y439" s="1"/>
      <c r="Z439" s="8"/>
      <c r="AA439" s="8"/>
      <c r="AB439" s="8"/>
      <c r="AC439" s="8"/>
      <c r="AD439" s="8"/>
      <c r="AE439" s="8">
        <v>1</v>
      </c>
      <c r="AF439" s="8"/>
      <c r="AG439" s="8">
        <v>1</v>
      </c>
      <c r="AH439" s="8">
        <v>1</v>
      </c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>
        <v>1</v>
      </c>
      <c r="AT439" s="8">
        <v>1</v>
      </c>
      <c r="AU439" s="8"/>
      <c r="AV439" s="8"/>
      <c r="AW439" s="8"/>
      <c r="AX439" s="8"/>
      <c r="AY439" s="8"/>
      <c r="AZ439" s="8"/>
      <c r="BA439" s="8"/>
      <c r="BB439" s="1"/>
      <c r="BJ439">
        <v>2</v>
      </c>
      <c r="BK439">
        <v>1</v>
      </c>
      <c r="BL439" s="58"/>
      <c r="BP439" t="str">
        <f t="shared" si="16"/>
        <v>DarkPsychic</v>
      </c>
      <c r="BR439">
        <v>5</v>
      </c>
    </row>
    <row r="440" spans="1:70" x14ac:dyDescent="0.25">
      <c r="A440">
        <f t="shared" si="17"/>
        <v>393</v>
      </c>
      <c r="B440" t="s">
        <v>487</v>
      </c>
      <c r="D440" s="1" t="s">
        <v>7</v>
      </c>
      <c r="E440" s="1" t="s">
        <v>18</v>
      </c>
      <c r="F440" s="1" t="s">
        <v>50</v>
      </c>
      <c r="G440" s="1" t="s">
        <v>50</v>
      </c>
      <c r="H440" s="1"/>
      <c r="I440" s="1" t="s">
        <v>50</v>
      </c>
      <c r="J440" s="1" t="s">
        <v>50</v>
      </c>
      <c r="K440" s="1" t="s">
        <v>50</v>
      </c>
      <c r="L440" s="1" t="s">
        <v>50</v>
      </c>
      <c r="M440" s="1" t="s">
        <v>50</v>
      </c>
      <c r="N440" s="1" t="s">
        <v>50</v>
      </c>
      <c r="O440" s="1" t="s">
        <v>50</v>
      </c>
      <c r="P440" s="1" t="s">
        <v>506</v>
      </c>
      <c r="Q440" s="1" t="s">
        <v>104</v>
      </c>
      <c r="R440" s="1" t="s">
        <v>104</v>
      </c>
      <c r="S440" s="1" t="s">
        <v>104</v>
      </c>
      <c r="T440" s="1" t="s">
        <v>104</v>
      </c>
      <c r="U440" s="1" t="s">
        <v>104</v>
      </c>
      <c r="V440" s="1" t="s">
        <v>104</v>
      </c>
      <c r="W440" s="1" t="s">
        <v>104</v>
      </c>
      <c r="X440" s="1" t="s">
        <v>727</v>
      </c>
      <c r="Y440" s="1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>
        <v>1</v>
      </c>
      <c r="AT440" s="8">
        <v>1</v>
      </c>
      <c r="AU440" s="8"/>
      <c r="AV440" s="8"/>
      <c r="AW440" s="8"/>
      <c r="AX440" s="8"/>
      <c r="AY440" s="8"/>
      <c r="AZ440" s="8"/>
      <c r="BA440" s="8"/>
      <c r="BB440" s="1"/>
      <c r="BL440" s="58"/>
      <c r="BP440" t="str">
        <f t="shared" si="16"/>
        <v>FairyFighting</v>
      </c>
      <c r="BQ440" t="s">
        <v>2</v>
      </c>
      <c r="BR440">
        <v>5</v>
      </c>
    </row>
    <row r="441" spans="1:70" x14ac:dyDescent="0.25">
      <c r="A441">
        <f t="shared" si="17"/>
        <v>394</v>
      </c>
      <c r="B441" t="s">
        <v>488</v>
      </c>
      <c r="D441" s="1" t="s">
        <v>7</v>
      </c>
      <c r="E441" s="1" t="s">
        <v>18</v>
      </c>
      <c r="F441" s="1" t="s">
        <v>50</v>
      </c>
      <c r="G441" s="1" t="s">
        <v>50</v>
      </c>
      <c r="H441" s="1"/>
      <c r="I441" s="1" t="s">
        <v>50</v>
      </c>
      <c r="J441" s="1" t="s">
        <v>50</v>
      </c>
      <c r="K441" s="1" t="s">
        <v>50</v>
      </c>
      <c r="L441" s="1"/>
      <c r="M441" s="1" t="s">
        <v>104</v>
      </c>
      <c r="N441" s="1" t="s">
        <v>50</v>
      </c>
      <c r="O441" s="1" t="s">
        <v>50</v>
      </c>
      <c r="P441" s="1" t="s">
        <v>506</v>
      </c>
      <c r="Q441" s="1" t="s">
        <v>104</v>
      </c>
      <c r="R441" s="1" t="s">
        <v>104</v>
      </c>
      <c r="S441" s="1" t="s">
        <v>104</v>
      </c>
      <c r="T441" s="1" t="s">
        <v>104</v>
      </c>
      <c r="U441" s="1" t="s">
        <v>104</v>
      </c>
      <c r="V441" s="1" t="s">
        <v>104</v>
      </c>
      <c r="W441" s="1" t="s">
        <v>104</v>
      </c>
      <c r="X441" s="1" t="s">
        <v>727</v>
      </c>
      <c r="Y441" s="1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>
        <v>1</v>
      </c>
      <c r="AT441" s="8">
        <v>1</v>
      </c>
      <c r="AU441" s="8"/>
      <c r="AV441" s="8"/>
      <c r="AW441" s="8"/>
      <c r="AX441" s="8"/>
      <c r="AY441" s="8"/>
      <c r="AZ441" s="8"/>
      <c r="BA441" s="8"/>
      <c r="BB441" s="1"/>
      <c r="BL441" s="58"/>
      <c r="BP441" t="str">
        <f t="shared" si="16"/>
        <v>FairyFighting</v>
      </c>
      <c r="BQ441" t="s">
        <v>2</v>
      </c>
      <c r="BR441">
        <v>5</v>
      </c>
    </row>
    <row r="442" spans="1:70" x14ac:dyDescent="0.25">
      <c r="A442">
        <f t="shared" si="17"/>
        <v>395</v>
      </c>
      <c r="B442" t="s">
        <v>489</v>
      </c>
      <c r="D442" s="1" t="s">
        <v>7</v>
      </c>
      <c r="E442" s="1" t="s">
        <v>18</v>
      </c>
      <c r="F442" s="1" t="s">
        <v>50</v>
      </c>
      <c r="G442" s="1" t="s">
        <v>50</v>
      </c>
      <c r="H442" s="1" t="s">
        <v>50</v>
      </c>
      <c r="I442" s="1" t="s">
        <v>50</v>
      </c>
      <c r="J442" s="1" t="s">
        <v>50</v>
      </c>
      <c r="K442" s="1" t="s">
        <v>50</v>
      </c>
      <c r="L442" s="1"/>
      <c r="M442" s="1" t="s">
        <v>104</v>
      </c>
      <c r="N442" s="1" t="s">
        <v>50</v>
      </c>
      <c r="O442" s="1" t="s">
        <v>50</v>
      </c>
      <c r="P442" s="1" t="s">
        <v>506</v>
      </c>
      <c r="Q442" s="1" t="s">
        <v>50</v>
      </c>
      <c r="R442" s="1" t="s">
        <v>50</v>
      </c>
      <c r="S442" s="1" t="s">
        <v>50</v>
      </c>
      <c r="T442" s="1" t="s">
        <v>50</v>
      </c>
      <c r="U442" s="1" t="s">
        <v>50</v>
      </c>
      <c r="V442" s="1" t="s">
        <v>1767</v>
      </c>
      <c r="W442" s="1" t="s">
        <v>1767</v>
      </c>
      <c r="X442" s="1" t="s">
        <v>727</v>
      </c>
      <c r="Y442" s="1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>
        <v>1</v>
      </c>
      <c r="AT442" s="8">
        <v>1</v>
      </c>
      <c r="AU442" s="8"/>
      <c r="AV442" s="8"/>
      <c r="AW442" s="8"/>
      <c r="AX442" s="8"/>
      <c r="AY442" s="8"/>
      <c r="AZ442" s="8"/>
      <c r="BA442" s="8"/>
      <c r="BB442" s="1"/>
      <c r="BJ442">
        <v>12</v>
      </c>
      <c r="BK442">
        <v>2</v>
      </c>
      <c r="BL442" s="58"/>
      <c r="BP442" t="str">
        <f t="shared" si="16"/>
        <v>FairyFighting</v>
      </c>
      <c r="BR442">
        <v>5</v>
      </c>
    </row>
    <row r="443" spans="1:70" x14ac:dyDescent="0.25">
      <c r="A443">
        <f t="shared" si="17"/>
        <v>396</v>
      </c>
      <c r="B443" t="s">
        <v>490</v>
      </c>
      <c r="D443" s="1" t="s">
        <v>5</v>
      </c>
      <c r="E443" s="1" t="s">
        <v>8</v>
      </c>
      <c r="F443" s="1" t="s">
        <v>50</v>
      </c>
      <c r="G443" s="1" t="s">
        <v>50</v>
      </c>
      <c r="H443" s="1"/>
      <c r="I443" s="1" t="s">
        <v>50</v>
      </c>
      <c r="J443" s="1" t="s">
        <v>50</v>
      </c>
      <c r="K443" s="1" t="s">
        <v>50</v>
      </c>
      <c r="L443" s="1" t="s">
        <v>50</v>
      </c>
      <c r="M443" s="1" t="s">
        <v>50</v>
      </c>
      <c r="N443" s="1" t="s">
        <v>50</v>
      </c>
      <c r="O443" s="1" t="s">
        <v>50</v>
      </c>
      <c r="P443" s="1" t="s">
        <v>104</v>
      </c>
      <c r="Q443" s="1" t="s">
        <v>104</v>
      </c>
      <c r="R443" s="1" t="s">
        <v>104</v>
      </c>
      <c r="S443" s="1" t="s">
        <v>104</v>
      </c>
      <c r="T443" s="1" t="s">
        <v>104</v>
      </c>
      <c r="U443" s="1" t="s">
        <v>104</v>
      </c>
      <c r="V443" s="1" t="s">
        <v>104</v>
      </c>
      <c r="W443" s="1" t="s">
        <v>104</v>
      </c>
      <c r="X443" s="1" t="s">
        <v>729</v>
      </c>
      <c r="Y443" s="1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>
        <v>1</v>
      </c>
      <c r="AO443" s="8"/>
      <c r="AP443" s="8">
        <v>1</v>
      </c>
      <c r="AQ443" s="8"/>
      <c r="AR443" s="8">
        <v>1</v>
      </c>
      <c r="AS443" s="8"/>
      <c r="AT443" s="8"/>
      <c r="AU443" s="8"/>
      <c r="AV443" s="8"/>
      <c r="AW443" s="8"/>
      <c r="AX443" s="8"/>
      <c r="AY443" s="8"/>
      <c r="AZ443" s="8"/>
      <c r="BA443" s="8"/>
      <c r="BB443" s="1"/>
      <c r="BK443">
        <v>3</v>
      </c>
      <c r="BL443" s="58"/>
      <c r="BP443" t="str">
        <f t="shared" si="16"/>
        <v>IceGround</v>
      </c>
      <c r="BQ443" t="s">
        <v>2</v>
      </c>
      <c r="BR443">
        <v>3</v>
      </c>
    </row>
    <row r="444" spans="1:70" x14ac:dyDescent="0.25">
      <c r="A444">
        <f t="shared" si="17"/>
        <v>397</v>
      </c>
      <c r="B444" t="s">
        <v>491</v>
      </c>
      <c r="D444" s="1" t="s">
        <v>5</v>
      </c>
      <c r="E444" s="1" t="s">
        <v>8</v>
      </c>
      <c r="F444" s="1" t="s">
        <v>50</v>
      </c>
      <c r="G444" s="1" t="s">
        <v>50</v>
      </c>
      <c r="H444" s="1"/>
      <c r="I444" s="1" t="s">
        <v>50</v>
      </c>
      <c r="J444" s="1" t="s">
        <v>50</v>
      </c>
      <c r="K444" s="1" t="s">
        <v>50</v>
      </c>
      <c r="L444" s="1" t="s">
        <v>50</v>
      </c>
      <c r="M444" s="1" t="s">
        <v>104</v>
      </c>
      <c r="N444" s="1" t="s">
        <v>50</v>
      </c>
      <c r="O444" s="1" t="s">
        <v>50</v>
      </c>
      <c r="P444" s="1" t="s">
        <v>104</v>
      </c>
      <c r="Q444" s="1" t="s">
        <v>104</v>
      </c>
      <c r="R444" s="1" t="s">
        <v>104</v>
      </c>
      <c r="S444" s="1" t="s">
        <v>104</v>
      </c>
      <c r="T444" s="1" t="s">
        <v>104</v>
      </c>
      <c r="U444" s="1" t="s">
        <v>104</v>
      </c>
      <c r="V444" s="1" t="s">
        <v>104</v>
      </c>
      <c r="W444" s="1" t="s">
        <v>104</v>
      </c>
      <c r="X444" s="1" t="s">
        <v>729</v>
      </c>
      <c r="Y444" s="1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>
        <v>1</v>
      </c>
      <c r="AO444" s="8"/>
      <c r="AP444" s="8">
        <v>1</v>
      </c>
      <c r="AQ444" s="8"/>
      <c r="AR444" s="8">
        <v>1</v>
      </c>
      <c r="AS444" s="8"/>
      <c r="AT444" s="8"/>
      <c r="AU444" s="8"/>
      <c r="AV444" s="8"/>
      <c r="AW444" s="8"/>
      <c r="AX444" s="8"/>
      <c r="AY444" s="8"/>
      <c r="AZ444" s="8"/>
      <c r="BA444" s="8"/>
      <c r="BB444" s="1"/>
      <c r="BL444" s="58"/>
      <c r="BP444" t="str">
        <f t="shared" si="16"/>
        <v>IceGround</v>
      </c>
      <c r="BQ444" t="s">
        <v>2</v>
      </c>
      <c r="BR444">
        <v>3</v>
      </c>
    </row>
    <row r="445" spans="1:70" x14ac:dyDescent="0.25">
      <c r="A445">
        <f t="shared" si="17"/>
        <v>398</v>
      </c>
      <c r="B445" t="s">
        <v>492</v>
      </c>
      <c r="D445" s="1" t="s">
        <v>5</v>
      </c>
      <c r="E445" s="1" t="s">
        <v>8</v>
      </c>
      <c r="F445" s="1" t="s">
        <v>50</v>
      </c>
      <c r="G445" s="1" t="s">
        <v>50</v>
      </c>
      <c r="H445" s="1" t="s">
        <v>50</v>
      </c>
      <c r="I445" s="1" t="s">
        <v>50</v>
      </c>
      <c r="J445" s="1" t="s">
        <v>50</v>
      </c>
      <c r="K445" s="1" t="s">
        <v>50</v>
      </c>
      <c r="L445" s="1"/>
      <c r="M445" s="1" t="s">
        <v>104</v>
      </c>
      <c r="N445" s="1" t="s">
        <v>50</v>
      </c>
      <c r="O445" s="1" t="s">
        <v>50</v>
      </c>
      <c r="P445" s="1" t="s">
        <v>104</v>
      </c>
      <c r="Q445" s="1" t="s">
        <v>1767</v>
      </c>
      <c r="R445" s="1" t="s">
        <v>1767</v>
      </c>
      <c r="S445" s="1" t="s">
        <v>104</v>
      </c>
      <c r="T445" s="1" t="s">
        <v>1767</v>
      </c>
      <c r="U445" s="1" t="s">
        <v>1767</v>
      </c>
      <c r="V445" s="1" t="s">
        <v>1767</v>
      </c>
      <c r="W445" s="1" t="s">
        <v>1767</v>
      </c>
      <c r="X445" s="1" t="s">
        <v>729</v>
      </c>
      <c r="Y445" s="1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>
        <v>1</v>
      </c>
      <c r="AO445" s="8"/>
      <c r="AP445" s="8">
        <v>1</v>
      </c>
      <c r="AQ445" s="8"/>
      <c r="AR445" s="8">
        <v>1</v>
      </c>
      <c r="AS445" s="8"/>
      <c r="AT445" s="8"/>
      <c r="AU445" s="8"/>
      <c r="AV445" s="8"/>
      <c r="AW445" s="8"/>
      <c r="AX445" s="8"/>
      <c r="AY445" s="8"/>
      <c r="AZ445" s="8"/>
      <c r="BA445" s="8"/>
      <c r="BB445" s="1"/>
      <c r="BJ445">
        <v>7</v>
      </c>
      <c r="BK445">
        <v>6</v>
      </c>
      <c r="BL445" s="58"/>
      <c r="BP445" t="str">
        <f t="shared" si="16"/>
        <v>IceGround</v>
      </c>
      <c r="BR445">
        <v>3</v>
      </c>
    </row>
    <row r="446" spans="1:70" x14ac:dyDescent="0.25">
      <c r="A446">
        <f t="shared" si="17"/>
        <v>399</v>
      </c>
      <c r="B446" t="s">
        <v>493</v>
      </c>
      <c r="D446" s="1" t="s">
        <v>14</v>
      </c>
      <c r="E446" s="1">
        <v>0</v>
      </c>
      <c r="F446" s="1" t="s">
        <v>50</v>
      </c>
      <c r="G446" s="1" t="s">
        <v>50</v>
      </c>
      <c r="H446" s="1"/>
      <c r="I446" s="1" t="s">
        <v>50</v>
      </c>
      <c r="J446" s="1" t="s">
        <v>50</v>
      </c>
      <c r="K446" s="1" t="s">
        <v>50</v>
      </c>
      <c r="L446" s="1"/>
      <c r="M446" s="1" t="s">
        <v>50</v>
      </c>
      <c r="N446" s="1" t="s">
        <v>50</v>
      </c>
      <c r="O446" s="1" t="s">
        <v>50</v>
      </c>
      <c r="P446" s="1" t="s">
        <v>104</v>
      </c>
      <c r="Q446" s="1" t="s">
        <v>104</v>
      </c>
      <c r="R446" s="1" t="s">
        <v>104</v>
      </c>
      <c r="S446" s="1" t="s">
        <v>104</v>
      </c>
      <c r="T446" s="1" t="s">
        <v>104</v>
      </c>
      <c r="U446" s="1" t="s">
        <v>104</v>
      </c>
      <c r="V446" s="1" t="s">
        <v>104</v>
      </c>
      <c r="W446" s="1" t="s">
        <v>104</v>
      </c>
      <c r="X446" s="1" t="s">
        <v>733</v>
      </c>
      <c r="Y446" s="1"/>
      <c r="Z446" s="8"/>
      <c r="AA446" s="8"/>
      <c r="AB446" s="8">
        <v>1</v>
      </c>
      <c r="AC446" s="8">
        <v>1</v>
      </c>
      <c r="AD446" s="8"/>
      <c r="AE446" s="8"/>
      <c r="AF446" s="8"/>
      <c r="AG446" s="8">
        <v>1</v>
      </c>
      <c r="AH446" s="8">
        <v>1</v>
      </c>
      <c r="AI446" s="8">
        <v>1</v>
      </c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>
        <v>1</v>
      </c>
      <c r="BA446" s="8"/>
      <c r="BB446" s="1"/>
      <c r="BL446" s="58"/>
      <c r="BP446" t="str">
        <f t="shared" si="16"/>
        <v>Ghost0</v>
      </c>
      <c r="BQ446" t="s">
        <v>2</v>
      </c>
      <c r="BR446">
        <v>3</v>
      </c>
    </row>
    <row r="447" spans="1:70" x14ac:dyDescent="0.25">
      <c r="A447">
        <f t="shared" si="17"/>
        <v>400</v>
      </c>
      <c r="B447" t="s">
        <v>494</v>
      </c>
      <c r="D447" s="1" t="s">
        <v>14</v>
      </c>
      <c r="E447" s="1">
        <v>0</v>
      </c>
      <c r="F447" s="1" t="s">
        <v>50</v>
      </c>
      <c r="G447" s="1" t="s">
        <v>50</v>
      </c>
      <c r="H447" s="1" t="s">
        <v>50</v>
      </c>
      <c r="I447" s="1" t="s">
        <v>50</v>
      </c>
      <c r="J447" s="1" t="s">
        <v>50</v>
      </c>
      <c r="K447" s="1" t="s">
        <v>50</v>
      </c>
      <c r="L447" s="1"/>
      <c r="M447" s="1" t="s">
        <v>104</v>
      </c>
      <c r="N447" s="1" t="s">
        <v>50</v>
      </c>
      <c r="O447" s="1" t="s">
        <v>50</v>
      </c>
      <c r="P447" s="1" t="s">
        <v>104</v>
      </c>
      <c r="Q447" s="1" t="s">
        <v>104</v>
      </c>
      <c r="R447" s="1" t="s">
        <v>104</v>
      </c>
      <c r="S447" s="1" t="s">
        <v>104</v>
      </c>
      <c r="T447" s="1" t="s">
        <v>104</v>
      </c>
      <c r="U447" s="1" t="s">
        <v>104</v>
      </c>
      <c r="V447" s="1" t="s">
        <v>104</v>
      </c>
      <c r="W447" s="1" t="s">
        <v>104</v>
      </c>
      <c r="X447" s="1" t="s">
        <v>733</v>
      </c>
      <c r="Y447" s="1"/>
      <c r="Z447" s="8"/>
      <c r="AA447" s="8"/>
      <c r="AB447" s="8">
        <v>1</v>
      </c>
      <c r="AC447" s="8">
        <v>1</v>
      </c>
      <c r="AD447" s="8"/>
      <c r="AE447" s="8"/>
      <c r="AF447" s="8"/>
      <c r="AG447" s="8">
        <v>1</v>
      </c>
      <c r="AH447" s="8">
        <v>1</v>
      </c>
      <c r="AI447" s="8">
        <v>1</v>
      </c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>
        <v>1</v>
      </c>
      <c r="BA447" s="8"/>
      <c r="BB447" s="1"/>
      <c r="BJ447">
        <v>1</v>
      </c>
      <c r="BL447" s="58"/>
      <c r="BP447" t="str">
        <f t="shared" si="16"/>
        <v>Ghost0</v>
      </c>
      <c r="BR447">
        <v>3</v>
      </c>
    </row>
    <row r="448" spans="1:70" x14ac:dyDescent="0.25">
      <c r="A448">
        <f t="shared" si="17"/>
        <v>401</v>
      </c>
      <c r="B448" t="s">
        <v>495</v>
      </c>
      <c r="D448" s="1" t="s">
        <v>0</v>
      </c>
      <c r="E448" s="1" t="s">
        <v>16</v>
      </c>
      <c r="F448" s="1" t="s">
        <v>50</v>
      </c>
      <c r="G448" s="1" t="s">
        <v>50</v>
      </c>
      <c r="H448" s="1"/>
      <c r="I448" s="1" t="s">
        <v>50</v>
      </c>
      <c r="J448" s="1" t="s">
        <v>50</v>
      </c>
      <c r="K448" s="1" t="s">
        <v>50</v>
      </c>
      <c r="L448" s="1" t="s">
        <v>50</v>
      </c>
      <c r="M448" s="1" t="s">
        <v>50</v>
      </c>
      <c r="N448" s="1" t="s">
        <v>50</v>
      </c>
      <c r="O448" s="1" t="s">
        <v>50</v>
      </c>
      <c r="P448" s="1" t="s">
        <v>104</v>
      </c>
      <c r="Q448" s="1" t="s">
        <v>104</v>
      </c>
      <c r="R448" s="1" t="s">
        <v>104</v>
      </c>
      <c r="S448" s="1" t="s">
        <v>104</v>
      </c>
      <c r="T448" s="1" t="s">
        <v>104</v>
      </c>
      <c r="U448" s="1" t="s">
        <v>104</v>
      </c>
      <c r="V448" s="1" t="s">
        <v>104</v>
      </c>
      <c r="W448" s="1" t="s">
        <v>104</v>
      </c>
      <c r="X448" s="1" t="s">
        <v>733</v>
      </c>
      <c r="Y448" s="1"/>
      <c r="Z448" s="8"/>
      <c r="AA448" s="8"/>
      <c r="AB448" s="8"/>
      <c r="AC448" s="8"/>
      <c r="AD448" s="8"/>
      <c r="AE448" s="8"/>
      <c r="AF448" s="8"/>
      <c r="AG448" s="8"/>
      <c r="AH448" s="8"/>
      <c r="AI448" s="8">
        <v>1</v>
      </c>
      <c r="AJ448" s="8">
        <v>1</v>
      </c>
      <c r="AK448" s="8">
        <v>1</v>
      </c>
      <c r="AL448" s="8"/>
      <c r="AM448" s="8"/>
      <c r="AN448" s="8">
        <v>1</v>
      </c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1"/>
      <c r="BL448" s="58"/>
      <c r="BP448" t="str">
        <f t="shared" si="16"/>
        <v>DarkFlying</v>
      </c>
      <c r="BQ448" t="s">
        <v>2</v>
      </c>
      <c r="BR448">
        <v>3</v>
      </c>
    </row>
    <row r="449" spans="1:70" x14ac:dyDescent="0.25">
      <c r="A449">
        <f t="shared" si="17"/>
        <v>402</v>
      </c>
      <c r="B449" t="s">
        <v>496</v>
      </c>
      <c r="D449" s="1" t="s">
        <v>0</v>
      </c>
      <c r="E449" s="1" t="s">
        <v>16</v>
      </c>
      <c r="F449" s="1" t="s">
        <v>50</v>
      </c>
      <c r="G449" s="1" t="s">
        <v>50</v>
      </c>
      <c r="H449" s="1" t="s">
        <v>50</v>
      </c>
      <c r="I449" s="1" t="s">
        <v>50</v>
      </c>
      <c r="J449" s="1" t="s">
        <v>50</v>
      </c>
      <c r="K449" s="1" t="s">
        <v>50</v>
      </c>
      <c r="L449" s="1"/>
      <c r="M449" s="1" t="s">
        <v>104</v>
      </c>
      <c r="N449" s="1" t="s">
        <v>50</v>
      </c>
      <c r="O449" s="1" t="s">
        <v>50</v>
      </c>
      <c r="P449" s="1" t="s">
        <v>104</v>
      </c>
      <c r="Q449" s="1" t="s">
        <v>104</v>
      </c>
      <c r="R449" s="1" t="s">
        <v>104</v>
      </c>
      <c r="S449" s="1" t="s">
        <v>104</v>
      </c>
      <c r="T449" s="1" t="s">
        <v>104</v>
      </c>
      <c r="U449" s="1" t="s">
        <v>104</v>
      </c>
      <c r="V449" s="1" t="s">
        <v>104</v>
      </c>
      <c r="W449" s="1" t="s">
        <v>104</v>
      </c>
      <c r="X449" s="1" t="s">
        <v>733</v>
      </c>
      <c r="Y449" s="1"/>
      <c r="Z449" s="8"/>
      <c r="AA449" s="8"/>
      <c r="AB449" s="8"/>
      <c r="AC449" s="8"/>
      <c r="AD449" s="8"/>
      <c r="AE449" s="8"/>
      <c r="AF449" s="8"/>
      <c r="AG449" s="8"/>
      <c r="AH449" s="8"/>
      <c r="AI449" s="8">
        <v>1</v>
      </c>
      <c r="AJ449" s="8">
        <v>1</v>
      </c>
      <c r="AK449" s="8">
        <v>1</v>
      </c>
      <c r="AL449" s="8"/>
      <c r="AM449" s="8"/>
      <c r="AN449" s="8">
        <v>1</v>
      </c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1"/>
      <c r="BJ449">
        <v>2</v>
      </c>
      <c r="BL449" s="58">
        <v>1</v>
      </c>
      <c r="BP449" t="str">
        <f t="shared" si="16"/>
        <v>DarkFlying</v>
      </c>
      <c r="BR449">
        <v>3</v>
      </c>
    </row>
    <row r="450" spans="1:70" x14ac:dyDescent="0.25">
      <c r="A450">
        <f t="shared" si="17"/>
        <v>403</v>
      </c>
      <c r="B450" t="s">
        <v>497</v>
      </c>
      <c r="D450" s="1" t="s">
        <v>8</v>
      </c>
      <c r="E450" s="1" t="s">
        <v>12</v>
      </c>
      <c r="F450" s="1" t="s">
        <v>50</v>
      </c>
      <c r="G450" s="1" t="s">
        <v>50</v>
      </c>
      <c r="H450" s="1"/>
      <c r="I450" s="1" t="s">
        <v>50</v>
      </c>
      <c r="J450" s="1" t="s">
        <v>50</v>
      </c>
      <c r="K450" s="1" t="s">
        <v>50</v>
      </c>
      <c r="L450" s="1" t="s">
        <v>104</v>
      </c>
      <c r="M450" s="1" t="s">
        <v>50</v>
      </c>
      <c r="N450" s="1" t="s">
        <v>50</v>
      </c>
      <c r="O450" s="1" t="s">
        <v>50</v>
      </c>
      <c r="P450" s="1" t="s">
        <v>104</v>
      </c>
      <c r="Q450" s="1" t="s">
        <v>104</v>
      </c>
      <c r="R450" s="1" t="s">
        <v>104</v>
      </c>
      <c r="S450" s="1" t="s">
        <v>104</v>
      </c>
      <c r="T450" s="1" t="s">
        <v>104</v>
      </c>
      <c r="U450" s="1" t="s">
        <v>104</v>
      </c>
      <c r="V450" s="1" t="s">
        <v>104</v>
      </c>
      <c r="W450" s="1" t="s">
        <v>104</v>
      </c>
      <c r="X450" s="1" t="s">
        <v>733</v>
      </c>
      <c r="Y450" s="1"/>
      <c r="Z450" s="8"/>
      <c r="AA450" s="8"/>
      <c r="AB450" s="8"/>
      <c r="AC450" s="8"/>
      <c r="AD450" s="8">
        <v>1</v>
      </c>
      <c r="AE450" s="8">
        <v>1</v>
      </c>
      <c r="AF450" s="8">
        <v>1</v>
      </c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>
        <v>1</v>
      </c>
      <c r="AX450" s="8">
        <v>1</v>
      </c>
      <c r="AY450" s="8">
        <v>1</v>
      </c>
      <c r="AZ450" s="8"/>
      <c r="BA450" s="8"/>
      <c r="BB450" s="1"/>
      <c r="BL450" s="58"/>
      <c r="BP450" t="str">
        <f t="shared" ref="BP450:BP513" si="18">D450&amp;E450</f>
        <v>GroundDragon</v>
      </c>
      <c r="BQ450" t="s">
        <v>2</v>
      </c>
      <c r="BR450">
        <v>1</v>
      </c>
    </row>
    <row r="451" spans="1:70" x14ac:dyDescent="0.25">
      <c r="A451">
        <f t="shared" si="17"/>
        <v>404</v>
      </c>
      <c r="B451" t="s">
        <v>498</v>
      </c>
      <c r="D451" s="1" t="s">
        <v>8</v>
      </c>
      <c r="E451" s="1" t="s">
        <v>12</v>
      </c>
      <c r="F451" s="1" t="s">
        <v>50</v>
      </c>
      <c r="G451" s="1" t="s">
        <v>50</v>
      </c>
      <c r="H451" s="1"/>
      <c r="I451" s="1" t="s">
        <v>50</v>
      </c>
      <c r="J451" s="1" t="s">
        <v>50</v>
      </c>
      <c r="K451" s="1" t="s">
        <v>50</v>
      </c>
      <c r="L451" s="1" t="s">
        <v>104</v>
      </c>
      <c r="M451" s="1" t="s">
        <v>104</v>
      </c>
      <c r="N451" s="1" t="s">
        <v>50</v>
      </c>
      <c r="O451" s="1" t="s">
        <v>50</v>
      </c>
      <c r="P451" s="1" t="s">
        <v>104</v>
      </c>
      <c r="Q451" s="1" t="s">
        <v>104</v>
      </c>
      <c r="R451" s="1" t="s">
        <v>104</v>
      </c>
      <c r="S451" s="1" t="s">
        <v>104</v>
      </c>
      <c r="T451" s="1" t="s">
        <v>104</v>
      </c>
      <c r="U451" s="1" t="s">
        <v>104</v>
      </c>
      <c r="V451" s="1" t="s">
        <v>104</v>
      </c>
      <c r="W451" s="1" t="s">
        <v>104</v>
      </c>
      <c r="X451" s="1" t="s">
        <v>733</v>
      </c>
      <c r="Y451" s="1"/>
      <c r="Z451" s="8"/>
      <c r="AA451" s="8"/>
      <c r="AB451" s="8"/>
      <c r="AC451" s="8"/>
      <c r="AD451" s="8">
        <v>1</v>
      </c>
      <c r="AE451" s="8">
        <v>1</v>
      </c>
      <c r="AF451" s="8">
        <v>1</v>
      </c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>
        <v>1</v>
      </c>
      <c r="AX451" s="8">
        <v>1</v>
      </c>
      <c r="AY451" s="8">
        <v>1</v>
      </c>
      <c r="AZ451" s="8"/>
      <c r="BA451" s="8"/>
      <c r="BB451" s="1"/>
      <c r="BL451" s="58"/>
      <c r="BP451" t="str">
        <f t="shared" si="18"/>
        <v>GroundDragon</v>
      </c>
      <c r="BQ451" t="s">
        <v>2</v>
      </c>
      <c r="BR451">
        <v>1</v>
      </c>
    </row>
    <row r="452" spans="1:70" x14ac:dyDescent="0.25">
      <c r="A452">
        <f t="shared" si="17"/>
        <v>405</v>
      </c>
      <c r="B452" t="s">
        <v>499</v>
      </c>
      <c r="D452" s="1" t="s">
        <v>8</v>
      </c>
      <c r="E452" s="1" t="s">
        <v>12</v>
      </c>
      <c r="F452" s="1" t="s">
        <v>50</v>
      </c>
      <c r="G452" s="1" t="s">
        <v>50</v>
      </c>
      <c r="H452" s="1" t="s">
        <v>50</v>
      </c>
      <c r="I452" s="1" t="s">
        <v>50</v>
      </c>
      <c r="J452" s="1" t="s">
        <v>50</v>
      </c>
      <c r="K452" s="1" t="s">
        <v>50</v>
      </c>
      <c r="L452" s="1" t="s">
        <v>104</v>
      </c>
      <c r="M452" s="1" t="s">
        <v>104</v>
      </c>
      <c r="N452" s="1" t="s">
        <v>50</v>
      </c>
      <c r="O452" s="1" t="s">
        <v>50</v>
      </c>
      <c r="P452" s="1" t="s">
        <v>104</v>
      </c>
      <c r="Q452" s="1" t="s">
        <v>50</v>
      </c>
      <c r="R452" s="1" t="s">
        <v>50</v>
      </c>
      <c r="S452" s="1" t="s">
        <v>50</v>
      </c>
      <c r="T452" s="1" t="s">
        <v>50</v>
      </c>
      <c r="U452" s="1" t="s">
        <v>50</v>
      </c>
      <c r="V452" s="1" t="s">
        <v>50</v>
      </c>
      <c r="W452" s="1" t="s">
        <v>50</v>
      </c>
      <c r="X452" s="1" t="s">
        <v>2439</v>
      </c>
      <c r="Y452" s="1"/>
      <c r="Z452" s="8"/>
      <c r="AA452" s="8"/>
      <c r="AB452" s="8"/>
      <c r="AC452" s="8"/>
      <c r="AD452" s="8">
        <v>1</v>
      </c>
      <c r="AE452" s="8">
        <v>1</v>
      </c>
      <c r="AF452" s="8">
        <v>1</v>
      </c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>
        <v>1</v>
      </c>
      <c r="AX452" s="8">
        <v>1</v>
      </c>
      <c r="AY452" s="8">
        <v>1</v>
      </c>
      <c r="AZ452" s="8"/>
      <c r="BA452" s="8"/>
      <c r="BB452" s="1"/>
      <c r="BJ452">
        <v>15</v>
      </c>
      <c r="BK452">
        <v>3</v>
      </c>
      <c r="BL452" s="58"/>
      <c r="BP452" t="str">
        <f t="shared" si="18"/>
        <v>GroundDragon</v>
      </c>
      <c r="BR452">
        <v>1</v>
      </c>
    </row>
    <row r="453" spans="1:70" x14ac:dyDescent="0.25">
      <c r="A453">
        <f t="shared" si="17"/>
        <v>406</v>
      </c>
      <c r="B453" t="s">
        <v>500</v>
      </c>
      <c r="D453" s="1" t="s">
        <v>42</v>
      </c>
      <c r="E453" s="1" t="s">
        <v>6</v>
      </c>
      <c r="F453" s="1" t="s">
        <v>50</v>
      </c>
      <c r="G453" s="1" t="s">
        <v>50</v>
      </c>
      <c r="H453" s="1"/>
      <c r="I453" s="1" t="s">
        <v>50</v>
      </c>
      <c r="J453" s="1" t="s">
        <v>50</v>
      </c>
      <c r="K453" s="1" t="s">
        <v>50</v>
      </c>
      <c r="L453" s="1" t="s">
        <v>104</v>
      </c>
      <c r="M453" s="1" t="s">
        <v>50</v>
      </c>
      <c r="N453" s="1" t="s">
        <v>50</v>
      </c>
      <c r="O453" s="1" t="s">
        <v>50</v>
      </c>
      <c r="P453" s="1" t="s">
        <v>104</v>
      </c>
      <c r="Q453" s="1" t="s">
        <v>104</v>
      </c>
      <c r="R453" s="1" t="s">
        <v>104</v>
      </c>
      <c r="S453" s="1" t="s">
        <v>104</v>
      </c>
      <c r="T453" s="1" t="s">
        <v>104</v>
      </c>
      <c r="U453" s="1" t="s">
        <v>104</v>
      </c>
      <c r="V453" s="1" t="s">
        <v>104</v>
      </c>
      <c r="W453" s="1" t="s">
        <v>104</v>
      </c>
      <c r="X453" s="1" t="s">
        <v>733</v>
      </c>
      <c r="Y453" s="1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>
        <v>1</v>
      </c>
      <c r="AV453" s="8"/>
      <c r="AW453" s="8"/>
      <c r="AX453" s="8"/>
      <c r="AY453" s="8"/>
      <c r="AZ453" s="8"/>
      <c r="BA453" s="8"/>
      <c r="BB453" s="1"/>
      <c r="BL453" s="58"/>
      <c r="BP453" t="str">
        <f t="shared" si="18"/>
        <v>CosmicSteel</v>
      </c>
      <c r="BQ453" t="s">
        <v>2</v>
      </c>
      <c r="BR453">
        <v>1</v>
      </c>
    </row>
    <row r="454" spans="1:70" x14ac:dyDescent="0.25">
      <c r="A454">
        <f t="shared" si="17"/>
        <v>407</v>
      </c>
      <c r="B454" t="s">
        <v>501</v>
      </c>
      <c r="D454" s="1" t="s">
        <v>42</v>
      </c>
      <c r="E454" s="1" t="s">
        <v>6</v>
      </c>
      <c r="F454" s="1" t="s">
        <v>50</v>
      </c>
      <c r="G454" s="1" t="s">
        <v>50</v>
      </c>
      <c r="H454" s="1"/>
      <c r="I454" s="1" t="s">
        <v>50</v>
      </c>
      <c r="J454" s="1" t="s">
        <v>50</v>
      </c>
      <c r="K454" s="1" t="s">
        <v>50</v>
      </c>
      <c r="L454" s="1" t="s">
        <v>104</v>
      </c>
      <c r="M454" s="1" t="s">
        <v>104</v>
      </c>
      <c r="N454" s="1" t="s">
        <v>50</v>
      </c>
      <c r="O454" s="1" t="s">
        <v>50</v>
      </c>
      <c r="P454" s="1" t="s">
        <v>104</v>
      </c>
      <c r="Q454" s="1" t="s">
        <v>104</v>
      </c>
      <c r="R454" s="1" t="s">
        <v>104</v>
      </c>
      <c r="S454" s="1" t="s">
        <v>104</v>
      </c>
      <c r="T454" s="1" t="s">
        <v>104</v>
      </c>
      <c r="U454" s="1" t="s">
        <v>104</v>
      </c>
      <c r="V454" s="1" t="s">
        <v>104</v>
      </c>
      <c r="W454" s="1" t="s">
        <v>104</v>
      </c>
      <c r="X454" s="1" t="s">
        <v>733</v>
      </c>
      <c r="Y454" s="1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>
        <v>1</v>
      </c>
      <c r="AV454" s="8"/>
      <c r="AW454" s="8"/>
      <c r="AX454" s="8"/>
      <c r="AY454" s="8"/>
      <c r="AZ454" s="8"/>
      <c r="BA454" s="8"/>
      <c r="BB454" s="1"/>
      <c r="BJ454">
        <v>1</v>
      </c>
      <c r="BL454" s="58"/>
      <c r="BP454" t="str">
        <f t="shared" si="18"/>
        <v>CosmicSteel</v>
      </c>
      <c r="BQ454" t="s">
        <v>2</v>
      </c>
      <c r="BR454">
        <v>1</v>
      </c>
    </row>
    <row r="455" spans="1:70" x14ac:dyDescent="0.25">
      <c r="A455">
        <f t="shared" si="17"/>
        <v>408</v>
      </c>
      <c r="B455" t="s">
        <v>502</v>
      </c>
      <c r="D455" s="1" t="s">
        <v>42</v>
      </c>
      <c r="E455" s="1" t="s">
        <v>6</v>
      </c>
      <c r="F455" s="1" t="s">
        <v>50</v>
      </c>
      <c r="G455" s="1" t="s">
        <v>50</v>
      </c>
      <c r="H455" s="1" t="s">
        <v>50</v>
      </c>
      <c r="I455" s="1" t="s">
        <v>50</v>
      </c>
      <c r="J455" s="1" t="s">
        <v>50</v>
      </c>
      <c r="K455" s="1" t="s">
        <v>50</v>
      </c>
      <c r="L455" s="1" t="s">
        <v>104</v>
      </c>
      <c r="M455" s="1" t="s">
        <v>104</v>
      </c>
      <c r="N455" s="1" t="s">
        <v>50</v>
      </c>
      <c r="O455" s="1" t="s">
        <v>50</v>
      </c>
      <c r="P455" s="1" t="s">
        <v>104</v>
      </c>
      <c r="Q455" s="1" t="s">
        <v>104</v>
      </c>
      <c r="R455" s="1" t="s">
        <v>104</v>
      </c>
      <c r="S455" s="1" t="s">
        <v>104</v>
      </c>
      <c r="T455" s="1" t="s">
        <v>104</v>
      </c>
      <c r="U455" s="1" t="s">
        <v>104</v>
      </c>
      <c r="V455" s="1" t="s">
        <v>104</v>
      </c>
      <c r="W455" s="1" t="s">
        <v>104</v>
      </c>
      <c r="X455" s="1" t="s">
        <v>733</v>
      </c>
      <c r="Y455" s="1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>
        <v>1</v>
      </c>
      <c r="AV455" s="8"/>
      <c r="AW455" s="8"/>
      <c r="AX455" s="8"/>
      <c r="AY455" s="8"/>
      <c r="AZ455" s="8"/>
      <c r="BA455" s="8"/>
      <c r="BB455" s="1"/>
      <c r="BJ455">
        <v>3</v>
      </c>
      <c r="BK455">
        <v>1</v>
      </c>
      <c r="BL455" s="58">
        <v>1</v>
      </c>
      <c r="BP455" t="str">
        <f t="shared" si="18"/>
        <v>CosmicSteel</v>
      </c>
      <c r="BR455">
        <v>1</v>
      </c>
    </row>
    <row r="456" spans="1:70" x14ac:dyDescent="0.25">
      <c r="A456">
        <f t="shared" si="17"/>
        <v>409</v>
      </c>
      <c r="B456" t="s">
        <v>504</v>
      </c>
      <c r="D456" s="1" t="s">
        <v>16</v>
      </c>
      <c r="E456" s="1">
        <v>0</v>
      </c>
      <c r="F456" s="1" t="s">
        <v>50</v>
      </c>
      <c r="G456" s="1" t="s">
        <v>50</v>
      </c>
      <c r="H456" s="1" t="s">
        <v>50</v>
      </c>
      <c r="I456" s="1" t="s">
        <v>50</v>
      </c>
      <c r="J456" s="1" t="s">
        <v>50</v>
      </c>
      <c r="K456" s="1" t="s">
        <v>50</v>
      </c>
      <c r="L456" s="1"/>
      <c r="M456" s="1" t="s">
        <v>104</v>
      </c>
      <c r="N456" s="1" t="s">
        <v>50</v>
      </c>
      <c r="O456" s="1" t="s">
        <v>50</v>
      </c>
      <c r="P456" s="1" t="s">
        <v>104</v>
      </c>
      <c r="Q456" s="1" t="s">
        <v>104</v>
      </c>
      <c r="R456" s="1" t="s">
        <v>104</v>
      </c>
      <c r="S456" s="1" t="s">
        <v>104</v>
      </c>
      <c r="T456" s="1" t="s">
        <v>104</v>
      </c>
      <c r="U456" s="1" t="s">
        <v>104</v>
      </c>
      <c r="V456" s="1" t="s">
        <v>104</v>
      </c>
      <c r="W456" s="1" t="s">
        <v>104</v>
      </c>
      <c r="X456" s="1" t="s">
        <v>733</v>
      </c>
      <c r="Y456" s="1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>
        <v>1</v>
      </c>
      <c r="AR456" s="8"/>
      <c r="AS456" s="8"/>
      <c r="AT456" s="8"/>
      <c r="AU456" s="8"/>
      <c r="AV456" s="8"/>
      <c r="AW456" s="8"/>
      <c r="AX456" s="8">
        <v>1</v>
      </c>
      <c r="AY456" s="8"/>
      <c r="AZ456" s="8"/>
      <c r="BA456" s="8"/>
      <c r="BB456" s="1"/>
      <c r="BL456" s="58"/>
      <c r="BP456" t="str">
        <f t="shared" si="18"/>
        <v>Flying0</v>
      </c>
      <c r="BR456">
        <v>3</v>
      </c>
    </row>
    <row r="457" spans="1:70" x14ac:dyDescent="0.25">
      <c r="A457">
        <f t="shared" ref="A457:A520" si="19">A456+1</f>
        <v>410</v>
      </c>
      <c r="B457" t="s">
        <v>503</v>
      </c>
      <c r="D457" s="1" t="s">
        <v>11</v>
      </c>
      <c r="E457" s="1">
        <v>0</v>
      </c>
      <c r="F457" s="1" t="s">
        <v>50</v>
      </c>
      <c r="G457" s="1" t="s">
        <v>50</v>
      </c>
      <c r="H457" s="1" t="s">
        <v>50</v>
      </c>
      <c r="I457" s="1" t="s">
        <v>50</v>
      </c>
      <c r="J457" s="1" t="s">
        <v>50</v>
      </c>
      <c r="K457" s="1" t="s">
        <v>50</v>
      </c>
      <c r="L457" s="1"/>
      <c r="M457" s="1" t="s">
        <v>104</v>
      </c>
      <c r="N457" s="1" t="s">
        <v>50</v>
      </c>
      <c r="O457" s="1" t="s">
        <v>50</v>
      </c>
      <c r="P457" s="1" t="s">
        <v>104</v>
      </c>
      <c r="Q457" s="1" t="s">
        <v>104</v>
      </c>
      <c r="R457" s="1" t="s">
        <v>104</v>
      </c>
      <c r="S457" s="1" t="s">
        <v>104</v>
      </c>
      <c r="T457" s="1" t="s">
        <v>104</v>
      </c>
      <c r="U457" s="1" t="s">
        <v>104</v>
      </c>
      <c r="V457" s="1" t="s">
        <v>104</v>
      </c>
      <c r="W457" s="1" t="s">
        <v>104</v>
      </c>
      <c r="X457" s="1" t="s">
        <v>733</v>
      </c>
      <c r="Y457" s="1"/>
      <c r="Z457" s="8"/>
      <c r="AA457" s="8">
        <v>1</v>
      </c>
      <c r="AB457" s="8"/>
      <c r="AC457" s="8">
        <v>1</v>
      </c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1"/>
      <c r="BL457" s="58"/>
      <c r="BP457" t="str">
        <f t="shared" si="18"/>
        <v>Grass0</v>
      </c>
      <c r="BR457">
        <v>3</v>
      </c>
    </row>
    <row r="458" spans="1:70" x14ac:dyDescent="0.25">
      <c r="A458">
        <f t="shared" si="19"/>
        <v>411</v>
      </c>
      <c r="B458" t="s">
        <v>505</v>
      </c>
      <c r="D458" s="1" t="s">
        <v>4</v>
      </c>
      <c r="E458" s="1">
        <v>0</v>
      </c>
      <c r="F458" s="1" t="s">
        <v>50</v>
      </c>
      <c r="G458" s="1" t="s">
        <v>50</v>
      </c>
      <c r="H458" s="1" t="s">
        <v>50</v>
      </c>
      <c r="I458" s="1" t="s">
        <v>50</v>
      </c>
      <c r="J458" s="1" t="s">
        <v>50</v>
      </c>
      <c r="K458" s="1" t="s">
        <v>50</v>
      </c>
      <c r="L458" s="1"/>
      <c r="M458" s="1" t="s">
        <v>104</v>
      </c>
      <c r="N458" s="1" t="s">
        <v>50</v>
      </c>
      <c r="O458" s="1" t="s">
        <v>50</v>
      </c>
      <c r="P458" s="1" t="s">
        <v>104</v>
      </c>
      <c r="Q458" s="1" t="s">
        <v>104</v>
      </c>
      <c r="R458" s="1" t="s">
        <v>104</v>
      </c>
      <c r="S458" s="1" t="s">
        <v>104</v>
      </c>
      <c r="T458" s="1" t="s">
        <v>104</v>
      </c>
      <c r="U458" s="1" t="s">
        <v>104</v>
      </c>
      <c r="V458" s="1" t="s">
        <v>104</v>
      </c>
      <c r="W458" s="1" t="s">
        <v>104</v>
      </c>
      <c r="X458" s="1" t="s">
        <v>733</v>
      </c>
      <c r="Y458" s="1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>
        <v>1</v>
      </c>
      <c r="AT458" s="8"/>
      <c r="AU458" s="8">
        <v>1</v>
      </c>
      <c r="AV458" s="8"/>
      <c r="AW458" s="8"/>
      <c r="AX458" s="8"/>
      <c r="AY458" s="8"/>
      <c r="AZ458" s="8"/>
      <c r="BA458" s="8"/>
      <c r="BB458" s="1"/>
      <c r="BL458" s="58"/>
      <c r="BP458" t="str">
        <f t="shared" si="18"/>
        <v>Psychic0</v>
      </c>
      <c r="BR458">
        <v>3</v>
      </c>
    </row>
    <row r="459" spans="1:70" x14ac:dyDescent="0.25">
      <c r="A459">
        <f t="shared" si="19"/>
        <v>412</v>
      </c>
      <c r="B459" t="s">
        <v>507</v>
      </c>
      <c r="D459" s="1" t="s">
        <v>15</v>
      </c>
      <c r="E459" s="1" t="s">
        <v>16</v>
      </c>
      <c r="F459" s="1" t="s">
        <v>50</v>
      </c>
      <c r="G459" s="1" t="s">
        <v>50</v>
      </c>
      <c r="H459" s="1"/>
      <c r="I459" s="1" t="s">
        <v>50</v>
      </c>
      <c r="J459" s="1" t="s">
        <v>50</v>
      </c>
      <c r="K459" s="1" t="s">
        <v>50</v>
      </c>
      <c r="L459" s="1" t="s">
        <v>50</v>
      </c>
      <c r="M459" s="1" t="s">
        <v>50</v>
      </c>
      <c r="N459" s="1" t="s">
        <v>50</v>
      </c>
      <c r="O459" s="1" t="s">
        <v>50</v>
      </c>
      <c r="P459" s="1" t="s">
        <v>515</v>
      </c>
      <c r="Q459" s="1" t="s">
        <v>104</v>
      </c>
      <c r="R459" s="1" t="s">
        <v>104</v>
      </c>
      <c r="S459" s="1" t="s">
        <v>104</v>
      </c>
      <c r="T459" s="1" t="s">
        <v>104</v>
      </c>
      <c r="U459" s="1" t="s">
        <v>104</v>
      </c>
      <c r="V459" s="1" t="s">
        <v>104</v>
      </c>
      <c r="W459" s="1" t="s">
        <v>104</v>
      </c>
      <c r="X459" s="1" t="s">
        <v>727</v>
      </c>
      <c r="Y459" s="1"/>
      <c r="Z459" s="8"/>
      <c r="AA459" s="8"/>
      <c r="AB459" s="8"/>
      <c r="AC459" s="8"/>
      <c r="AD459" s="8"/>
      <c r="AE459" s="8"/>
      <c r="AF459" s="8"/>
      <c r="AG459" s="8"/>
      <c r="AH459" s="8"/>
      <c r="AI459" s="8">
        <v>1</v>
      </c>
      <c r="AJ459" s="8">
        <v>1</v>
      </c>
      <c r="AK459" s="8">
        <v>1</v>
      </c>
      <c r="AL459" s="8"/>
      <c r="AM459" s="8"/>
      <c r="AN459" s="8"/>
      <c r="AO459" s="8"/>
      <c r="AP459" s="8"/>
      <c r="AQ459" s="8"/>
      <c r="AR459" s="8"/>
      <c r="AS459" s="8">
        <v>1</v>
      </c>
      <c r="AT459" s="8"/>
      <c r="AU459" s="8"/>
      <c r="AV459" s="8"/>
      <c r="AW459" s="8"/>
      <c r="AX459" s="8"/>
      <c r="AY459" s="8"/>
      <c r="AZ459" s="8"/>
      <c r="BA459" s="8"/>
      <c r="BB459" s="1"/>
      <c r="BL459" s="58"/>
      <c r="BP459" t="str">
        <f t="shared" si="18"/>
        <v>WaterFlying</v>
      </c>
      <c r="BQ459" t="s">
        <v>2</v>
      </c>
      <c r="BR459">
        <v>1</v>
      </c>
    </row>
    <row r="460" spans="1:70" x14ac:dyDescent="0.25">
      <c r="A460">
        <f t="shared" si="19"/>
        <v>413</v>
      </c>
      <c r="B460" t="s">
        <v>508</v>
      </c>
      <c r="D460" s="1" t="s">
        <v>15</v>
      </c>
      <c r="E460" s="1" t="s">
        <v>16</v>
      </c>
      <c r="F460" s="1" t="s">
        <v>50</v>
      </c>
      <c r="G460" s="1" t="s">
        <v>50</v>
      </c>
      <c r="H460" s="1" t="s">
        <v>50</v>
      </c>
      <c r="I460" s="1" t="s">
        <v>50</v>
      </c>
      <c r="J460" s="1" t="s">
        <v>50</v>
      </c>
      <c r="K460" s="1" t="s">
        <v>50</v>
      </c>
      <c r="L460" s="1" t="s">
        <v>50</v>
      </c>
      <c r="M460" s="1" t="s">
        <v>104</v>
      </c>
      <c r="N460" s="1" t="s">
        <v>50</v>
      </c>
      <c r="O460" s="1" t="s">
        <v>50</v>
      </c>
      <c r="P460" s="1" t="s">
        <v>515</v>
      </c>
      <c r="Q460" s="1" t="s">
        <v>1767</v>
      </c>
      <c r="R460" s="1" t="s">
        <v>1767</v>
      </c>
      <c r="S460" s="1" t="s">
        <v>104</v>
      </c>
      <c r="T460" s="1" t="s">
        <v>1767</v>
      </c>
      <c r="U460" s="1" t="s">
        <v>1767</v>
      </c>
      <c r="V460" s="1" t="s">
        <v>1767</v>
      </c>
      <c r="W460" s="1" t="s">
        <v>1767</v>
      </c>
      <c r="X460" s="1" t="s">
        <v>727</v>
      </c>
      <c r="Y460" s="1"/>
      <c r="Z460" s="8"/>
      <c r="AA460" s="8"/>
      <c r="AB460" s="8"/>
      <c r="AC460" s="8"/>
      <c r="AD460" s="8"/>
      <c r="AE460" s="8"/>
      <c r="AF460" s="8"/>
      <c r="AG460" s="8"/>
      <c r="AH460" s="8"/>
      <c r="AI460" s="8">
        <v>1</v>
      </c>
      <c r="AJ460" s="8">
        <v>1</v>
      </c>
      <c r="AK460" s="8">
        <v>1</v>
      </c>
      <c r="AL460" s="8"/>
      <c r="AM460" s="8"/>
      <c r="AN460" s="8"/>
      <c r="AO460" s="8"/>
      <c r="AP460" s="8"/>
      <c r="AQ460" s="8"/>
      <c r="AR460" s="8"/>
      <c r="AS460" s="8">
        <v>1</v>
      </c>
      <c r="AT460" s="8"/>
      <c r="AU460" s="8"/>
      <c r="AV460" s="8"/>
      <c r="AW460" s="8"/>
      <c r="AX460" s="8"/>
      <c r="AY460" s="8"/>
      <c r="AZ460" s="8"/>
      <c r="BA460" s="8"/>
      <c r="BB460" s="1"/>
      <c r="BJ460">
        <v>6</v>
      </c>
      <c r="BK460">
        <v>3</v>
      </c>
      <c r="BL460" s="58">
        <v>2</v>
      </c>
      <c r="BP460" t="str">
        <f t="shared" si="18"/>
        <v>WaterFlying</v>
      </c>
      <c r="BR460">
        <v>1</v>
      </c>
    </row>
    <row r="461" spans="1:70" x14ac:dyDescent="0.25">
      <c r="A461">
        <f t="shared" si="19"/>
        <v>414</v>
      </c>
      <c r="B461" t="s">
        <v>509</v>
      </c>
      <c r="D461" s="1" t="s">
        <v>15</v>
      </c>
      <c r="E461" s="1" t="s">
        <v>1</v>
      </c>
      <c r="F461" s="1" t="s">
        <v>50</v>
      </c>
      <c r="G461" s="1" t="s">
        <v>50</v>
      </c>
      <c r="H461" s="1"/>
      <c r="I461" s="1" t="s">
        <v>50</v>
      </c>
      <c r="J461" s="1" t="s">
        <v>50</v>
      </c>
      <c r="K461" s="1" t="s">
        <v>50</v>
      </c>
      <c r="L461" s="1" t="s">
        <v>50</v>
      </c>
      <c r="M461" s="1" t="s">
        <v>50</v>
      </c>
      <c r="N461" s="1" t="s">
        <v>50</v>
      </c>
      <c r="O461" s="1" t="s">
        <v>50</v>
      </c>
      <c r="P461" s="1" t="s">
        <v>516</v>
      </c>
      <c r="Q461" s="1" t="s">
        <v>104</v>
      </c>
      <c r="R461" s="1" t="s">
        <v>104</v>
      </c>
      <c r="S461" s="1" t="s">
        <v>104</v>
      </c>
      <c r="T461" s="1" t="s">
        <v>104</v>
      </c>
      <c r="U461" s="1" t="s">
        <v>104</v>
      </c>
      <c r="V461" s="1" t="s">
        <v>104</v>
      </c>
      <c r="W461" s="1" t="s">
        <v>104</v>
      </c>
      <c r="X461" s="1" t="s">
        <v>727</v>
      </c>
      <c r="Y461" s="1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>
        <v>1</v>
      </c>
      <c r="AL461" s="8">
        <v>1</v>
      </c>
      <c r="AM461" s="8">
        <v>1</v>
      </c>
      <c r="AN461" s="8">
        <v>1</v>
      </c>
      <c r="AO461" s="8"/>
      <c r="AP461" s="8"/>
      <c r="AQ461" s="8"/>
      <c r="AR461" s="8"/>
      <c r="AS461" s="8">
        <v>1</v>
      </c>
      <c r="AT461" s="8"/>
      <c r="AU461" s="8"/>
      <c r="AV461" s="8"/>
      <c r="AW461" s="8"/>
      <c r="AX461" s="8"/>
      <c r="AY461" s="8"/>
      <c r="AZ461" s="8"/>
      <c r="BA461" s="8"/>
      <c r="BB461" s="1"/>
      <c r="BL461" s="58"/>
      <c r="BP461" t="str">
        <f t="shared" si="18"/>
        <v>WaterNormal</v>
      </c>
      <c r="BQ461" t="s">
        <v>2</v>
      </c>
      <c r="BR461">
        <v>2</v>
      </c>
    </row>
    <row r="462" spans="1:70" x14ac:dyDescent="0.25">
      <c r="A462">
        <f t="shared" si="19"/>
        <v>415</v>
      </c>
      <c r="B462" t="s">
        <v>510</v>
      </c>
      <c r="D462" s="1" t="s">
        <v>15</v>
      </c>
      <c r="E462" s="1" t="s">
        <v>1</v>
      </c>
      <c r="F462" s="1" t="s">
        <v>50</v>
      </c>
      <c r="G462" s="1" t="s">
        <v>50</v>
      </c>
      <c r="H462" s="1"/>
      <c r="I462" s="1" t="s">
        <v>50</v>
      </c>
      <c r="J462" s="1" t="s">
        <v>50</v>
      </c>
      <c r="K462" s="1" t="s">
        <v>50</v>
      </c>
      <c r="L462" s="1"/>
      <c r="M462" s="1" t="s">
        <v>104</v>
      </c>
      <c r="N462" s="1" t="s">
        <v>50</v>
      </c>
      <c r="O462" s="1" t="s">
        <v>50</v>
      </c>
      <c r="P462" s="1" t="s">
        <v>516</v>
      </c>
      <c r="Q462" s="1" t="s">
        <v>104</v>
      </c>
      <c r="R462" s="1" t="s">
        <v>104</v>
      </c>
      <c r="S462" s="1" t="s">
        <v>104</v>
      </c>
      <c r="T462" s="1" t="s">
        <v>104</v>
      </c>
      <c r="U462" s="1" t="s">
        <v>104</v>
      </c>
      <c r="V462" s="1" t="s">
        <v>104</v>
      </c>
      <c r="W462" s="1" t="s">
        <v>104</v>
      </c>
      <c r="X462" s="1" t="s">
        <v>727</v>
      </c>
      <c r="Y462" s="1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>
        <v>1</v>
      </c>
      <c r="AL462" s="8">
        <v>1</v>
      </c>
      <c r="AM462" s="8">
        <v>1</v>
      </c>
      <c r="AN462" s="8">
        <v>1</v>
      </c>
      <c r="AO462" s="8"/>
      <c r="AP462" s="8"/>
      <c r="AQ462" s="8"/>
      <c r="AR462" s="8"/>
      <c r="AS462" s="8">
        <v>1</v>
      </c>
      <c r="AT462" s="8"/>
      <c r="AU462" s="8"/>
      <c r="AV462" s="8"/>
      <c r="AW462" s="8"/>
      <c r="AX462" s="8"/>
      <c r="AY462" s="8"/>
      <c r="AZ462" s="8"/>
      <c r="BA462" s="8"/>
      <c r="BB462" s="1"/>
      <c r="BL462" s="58"/>
      <c r="BP462" t="str">
        <f t="shared" si="18"/>
        <v>WaterNormal</v>
      </c>
      <c r="BQ462" t="s">
        <v>2</v>
      </c>
      <c r="BR462">
        <v>1</v>
      </c>
    </row>
    <row r="463" spans="1:70" x14ac:dyDescent="0.25">
      <c r="A463">
        <f t="shared" si="19"/>
        <v>416</v>
      </c>
      <c r="B463" t="s">
        <v>511</v>
      </c>
      <c r="D463" s="1" t="s">
        <v>15</v>
      </c>
      <c r="E463" s="1" t="s">
        <v>1</v>
      </c>
      <c r="F463" s="1" t="s">
        <v>50</v>
      </c>
      <c r="G463" s="1" t="s">
        <v>50</v>
      </c>
      <c r="H463" s="1" t="s">
        <v>50</v>
      </c>
      <c r="I463" s="1" t="s">
        <v>50</v>
      </c>
      <c r="J463" s="1" t="s">
        <v>50</v>
      </c>
      <c r="K463" s="1" t="s">
        <v>50</v>
      </c>
      <c r="L463" s="1" t="s">
        <v>104</v>
      </c>
      <c r="M463" s="1" t="s">
        <v>104</v>
      </c>
      <c r="N463" s="1" t="s">
        <v>50</v>
      </c>
      <c r="O463" s="1" t="s">
        <v>50</v>
      </c>
      <c r="P463" s="1" t="s">
        <v>516</v>
      </c>
      <c r="Q463" s="1" t="s">
        <v>50</v>
      </c>
      <c r="R463" s="1" t="s">
        <v>50</v>
      </c>
      <c r="S463" s="1" t="s">
        <v>50</v>
      </c>
      <c r="T463" s="1" t="s">
        <v>50</v>
      </c>
      <c r="U463" s="1" t="s">
        <v>50</v>
      </c>
      <c r="V463" s="1" t="s">
        <v>50</v>
      </c>
      <c r="W463" s="1" t="s">
        <v>50</v>
      </c>
      <c r="X463" s="1" t="s">
        <v>727</v>
      </c>
      <c r="Y463" s="1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>
        <v>1</v>
      </c>
      <c r="AL463" s="8">
        <v>1</v>
      </c>
      <c r="AM463" s="8">
        <v>1</v>
      </c>
      <c r="AN463" s="8">
        <v>1</v>
      </c>
      <c r="AO463" s="8"/>
      <c r="AP463" s="8"/>
      <c r="AQ463" s="8"/>
      <c r="AR463" s="8"/>
      <c r="AS463" s="8">
        <v>1</v>
      </c>
      <c r="AT463" s="8"/>
      <c r="AU463" s="8"/>
      <c r="AV463" s="8"/>
      <c r="AW463" s="8"/>
      <c r="AX463" s="8"/>
      <c r="AY463" s="8"/>
      <c r="AZ463" s="8"/>
      <c r="BA463" s="8"/>
      <c r="BB463" s="1"/>
      <c r="BJ463">
        <v>3</v>
      </c>
      <c r="BL463" s="58"/>
      <c r="BP463" t="str">
        <f t="shared" si="18"/>
        <v>WaterNormal</v>
      </c>
      <c r="BR463">
        <v>1</v>
      </c>
    </row>
    <row r="464" spans="1:70" x14ac:dyDescent="0.25">
      <c r="A464">
        <f t="shared" si="19"/>
        <v>417</v>
      </c>
      <c r="B464" t="s">
        <v>512</v>
      </c>
      <c r="D464" s="1" t="s">
        <v>8</v>
      </c>
      <c r="E464" s="1" t="s">
        <v>16</v>
      </c>
      <c r="F464" s="1" t="s">
        <v>50</v>
      </c>
      <c r="G464" s="1" t="s">
        <v>50</v>
      </c>
      <c r="H464" s="1"/>
      <c r="I464" s="1" t="s">
        <v>50</v>
      </c>
      <c r="J464" s="1" t="s">
        <v>50</v>
      </c>
      <c r="K464" s="1" t="s">
        <v>50</v>
      </c>
      <c r="L464" s="1" t="s">
        <v>104</v>
      </c>
      <c r="M464" s="1" t="s">
        <v>50</v>
      </c>
      <c r="N464" s="1" t="s">
        <v>50</v>
      </c>
      <c r="O464" s="1" t="s">
        <v>50</v>
      </c>
      <c r="P464" s="13" t="s">
        <v>514</v>
      </c>
      <c r="Q464" s="1" t="s">
        <v>104</v>
      </c>
      <c r="R464" s="1" t="s">
        <v>104</v>
      </c>
      <c r="S464" s="1" t="s">
        <v>104</v>
      </c>
      <c r="T464" s="1" t="s">
        <v>104</v>
      </c>
      <c r="U464" s="1" t="s">
        <v>104</v>
      </c>
      <c r="V464" s="1" t="s">
        <v>104</v>
      </c>
      <c r="W464" s="1" t="s">
        <v>104</v>
      </c>
      <c r="X464" s="1" t="s">
        <v>727</v>
      </c>
      <c r="Y464" s="1"/>
      <c r="Z464" s="8"/>
      <c r="AA464" s="8"/>
      <c r="AB464" s="8"/>
      <c r="AC464" s="8"/>
      <c r="AD464" s="8"/>
      <c r="AE464" s="8">
        <v>1</v>
      </c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>
        <v>1</v>
      </c>
      <c r="AX464" s="8">
        <v>1</v>
      </c>
      <c r="AY464" s="8">
        <v>1</v>
      </c>
      <c r="AZ464" s="8"/>
      <c r="BA464" s="8"/>
      <c r="BB464" s="1"/>
      <c r="BL464" s="58"/>
      <c r="BP464" t="str">
        <f t="shared" si="18"/>
        <v>GroundFlying</v>
      </c>
      <c r="BQ464" t="s">
        <v>2</v>
      </c>
      <c r="BR464">
        <v>5</v>
      </c>
    </row>
    <row r="465" spans="1:70" x14ac:dyDescent="0.25">
      <c r="A465">
        <f t="shared" si="19"/>
        <v>418</v>
      </c>
      <c r="B465" t="s">
        <v>513</v>
      </c>
      <c r="D465" s="1" t="s">
        <v>8</v>
      </c>
      <c r="E465" s="1" t="s">
        <v>16</v>
      </c>
      <c r="F465" s="1" t="s">
        <v>50</v>
      </c>
      <c r="G465" s="1" t="s">
        <v>50</v>
      </c>
      <c r="H465" s="1" t="s">
        <v>50</v>
      </c>
      <c r="I465" s="1" t="s">
        <v>50</v>
      </c>
      <c r="J465" s="1" t="s">
        <v>50</v>
      </c>
      <c r="K465" s="1" t="s">
        <v>50</v>
      </c>
      <c r="L465" s="1" t="s">
        <v>50</v>
      </c>
      <c r="M465" s="1" t="s">
        <v>104</v>
      </c>
      <c r="N465" s="1" t="s">
        <v>50</v>
      </c>
      <c r="O465" s="1" t="s">
        <v>50</v>
      </c>
      <c r="P465" s="13" t="s">
        <v>514</v>
      </c>
      <c r="Q465" s="1" t="s">
        <v>104</v>
      </c>
      <c r="R465" s="1" t="s">
        <v>104</v>
      </c>
      <c r="S465" s="1" t="s">
        <v>104</v>
      </c>
      <c r="T465" s="1" t="s">
        <v>104</v>
      </c>
      <c r="U465" s="1" t="s">
        <v>104</v>
      </c>
      <c r="V465" s="1" t="s">
        <v>104</v>
      </c>
      <c r="W465" s="1" t="s">
        <v>104</v>
      </c>
      <c r="X465" s="1" t="s">
        <v>727</v>
      </c>
      <c r="Y465" s="1"/>
      <c r="Z465" s="8"/>
      <c r="AA465" s="8"/>
      <c r="AB465" s="8"/>
      <c r="AC465" s="8"/>
      <c r="AD465" s="8"/>
      <c r="AE465" s="8">
        <v>1</v>
      </c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>
        <v>1</v>
      </c>
      <c r="AX465" s="8">
        <v>1</v>
      </c>
      <c r="AY465" s="8">
        <v>1</v>
      </c>
      <c r="AZ465" s="8"/>
      <c r="BA465" s="8"/>
      <c r="BB465" s="1"/>
      <c r="BJ465">
        <v>6</v>
      </c>
      <c r="BL465" s="58"/>
      <c r="BP465" t="str">
        <f t="shared" si="18"/>
        <v>GroundFlying</v>
      </c>
      <c r="BR465">
        <v>5</v>
      </c>
    </row>
    <row r="466" spans="1:70" x14ac:dyDescent="0.25">
      <c r="A466">
        <f t="shared" si="19"/>
        <v>419</v>
      </c>
      <c r="B466" t="s">
        <v>519</v>
      </c>
      <c r="D466" s="1" t="s">
        <v>0</v>
      </c>
      <c r="E466" s="1" t="s">
        <v>12</v>
      </c>
      <c r="F466" s="1" t="s">
        <v>50</v>
      </c>
      <c r="G466" s="1" t="s">
        <v>50</v>
      </c>
      <c r="H466" s="1"/>
      <c r="I466" s="1" t="s">
        <v>50</v>
      </c>
      <c r="J466" s="1" t="s">
        <v>50</v>
      </c>
      <c r="K466" s="1" t="s">
        <v>50</v>
      </c>
      <c r="L466" s="1" t="s">
        <v>104</v>
      </c>
      <c r="M466" s="1" t="s">
        <v>50</v>
      </c>
      <c r="N466" s="1" t="s">
        <v>50</v>
      </c>
      <c r="O466" s="1" t="s">
        <v>50</v>
      </c>
      <c r="P466" s="13" t="s">
        <v>525</v>
      </c>
      <c r="Q466" s="1" t="s">
        <v>104</v>
      </c>
      <c r="R466" s="1" t="s">
        <v>104</v>
      </c>
      <c r="S466" s="1" t="s">
        <v>104</v>
      </c>
      <c r="T466" s="1" t="s">
        <v>104</v>
      </c>
      <c r="U466" s="1" t="s">
        <v>104</v>
      </c>
      <c r="V466" s="1" t="s">
        <v>104</v>
      </c>
      <c r="W466" s="1" t="s">
        <v>104</v>
      </c>
      <c r="X466" s="1" t="s">
        <v>727</v>
      </c>
      <c r="Y466" s="1"/>
      <c r="Z466" s="8"/>
      <c r="AA466" s="8"/>
      <c r="AB466" s="8">
        <v>1</v>
      </c>
      <c r="AC466" s="8"/>
      <c r="AD466" s="8"/>
      <c r="AE466" s="8">
        <v>1</v>
      </c>
      <c r="AF466" s="8"/>
      <c r="AG466" s="8"/>
      <c r="AH466" s="8">
        <v>1</v>
      </c>
      <c r="AI466" s="8"/>
      <c r="AJ466" s="8"/>
      <c r="AK466" s="8"/>
      <c r="AL466" s="8"/>
      <c r="AM466" s="8"/>
      <c r="AN466" s="8"/>
      <c r="AO466" s="8"/>
      <c r="AP466" s="8">
        <v>1</v>
      </c>
      <c r="AQ466" s="8"/>
      <c r="AR466" s="8"/>
      <c r="AS466" s="8"/>
      <c r="AT466" s="8">
        <v>1</v>
      </c>
      <c r="AU466" s="8"/>
      <c r="AV466" s="8">
        <v>1</v>
      </c>
      <c r="AW466" s="8"/>
      <c r="AX466" s="8">
        <v>1</v>
      </c>
      <c r="AY466" s="8">
        <v>1</v>
      </c>
      <c r="AZ466" s="8"/>
      <c r="BA466" s="8"/>
      <c r="BB466" s="1"/>
      <c r="BL466" s="58"/>
      <c r="BP466" t="str">
        <f t="shared" si="18"/>
        <v>DarkDragon</v>
      </c>
      <c r="BQ466" t="s">
        <v>2</v>
      </c>
      <c r="BR466">
        <v>4</v>
      </c>
    </row>
    <row r="467" spans="1:70" x14ac:dyDescent="0.25">
      <c r="A467">
        <f t="shared" si="19"/>
        <v>420</v>
      </c>
      <c r="B467" t="s">
        <v>520</v>
      </c>
      <c r="D467" s="1" t="s">
        <v>0</v>
      </c>
      <c r="E467" s="1" t="s">
        <v>12</v>
      </c>
      <c r="F467" s="1" t="s">
        <v>50</v>
      </c>
      <c r="G467" s="1" t="s">
        <v>50</v>
      </c>
      <c r="H467" s="1"/>
      <c r="I467" s="1" t="s">
        <v>50</v>
      </c>
      <c r="J467" s="1" t="s">
        <v>50</v>
      </c>
      <c r="K467" s="1" t="s">
        <v>50</v>
      </c>
      <c r="L467" s="1" t="s">
        <v>104</v>
      </c>
      <c r="M467" s="1" t="s">
        <v>104</v>
      </c>
      <c r="N467" s="1" t="s">
        <v>50</v>
      </c>
      <c r="O467" s="1" t="s">
        <v>50</v>
      </c>
      <c r="P467" s="13" t="s">
        <v>525</v>
      </c>
      <c r="Q467" s="1" t="s">
        <v>104</v>
      </c>
      <c r="R467" s="1" t="s">
        <v>104</v>
      </c>
      <c r="S467" s="1" t="s">
        <v>104</v>
      </c>
      <c r="T467" s="1" t="s">
        <v>104</v>
      </c>
      <c r="U467" s="1" t="s">
        <v>104</v>
      </c>
      <c r="V467" s="1" t="s">
        <v>104</v>
      </c>
      <c r="W467" s="1" t="s">
        <v>104</v>
      </c>
      <c r="X467" s="1" t="s">
        <v>727</v>
      </c>
      <c r="Y467" s="1"/>
      <c r="Z467" s="8"/>
      <c r="AA467" s="8"/>
      <c r="AB467" s="8">
        <v>1</v>
      </c>
      <c r="AC467" s="8"/>
      <c r="AD467" s="8"/>
      <c r="AE467" s="8">
        <v>1</v>
      </c>
      <c r="AF467" s="8"/>
      <c r="AG467" s="8"/>
      <c r="AH467" s="8">
        <v>1</v>
      </c>
      <c r="AI467" s="8"/>
      <c r="AJ467" s="8"/>
      <c r="AK467" s="8"/>
      <c r="AL467" s="8"/>
      <c r="AM467" s="8"/>
      <c r="AN467" s="8"/>
      <c r="AO467" s="8"/>
      <c r="AP467" s="8">
        <v>1</v>
      </c>
      <c r="AQ467" s="8"/>
      <c r="AR467" s="8"/>
      <c r="AS467" s="8"/>
      <c r="AT467" s="8">
        <v>1</v>
      </c>
      <c r="AU467" s="8"/>
      <c r="AV467" s="8">
        <v>1</v>
      </c>
      <c r="AW467" s="8"/>
      <c r="AX467" s="8">
        <v>1</v>
      </c>
      <c r="AY467" s="8">
        <v>1</v>
      </c>
      <c r="AZ467" s="8"/>
      <c r="BA467" s="8"/>
      <c r="BB467" s="1"/>
      <c r="BL467" s="58"/>
      <c r="BP467" t="str">
        <f t="shared" si="18"/>
        <v>DarkDragon</v>
      </c>
      <c r="BQ467" t="s">
        <v>2</v>
      </c>
      <c r="BR467">
        <v>4</v>
      </c>
    </row>
    <row r="468" spans="1:70" x14ac:dyDescent="0.25">
      <c r="A468">
        <f t="shared" si="19"/>
        <v>421</v>
      </c>
      <c r="B468" t="s">
        <v>521</v>
      </c>
      <c r="D468" s="1" t="s">
        <v>0</v>
      </c>
      <c r="E468" s="1" t="s">
        <v>12</v>
      </c>
      <c r="F468" s="1" t="s">
        <v>50</v>
      </c>
      <c r="G468" s="1" t="s">
        <v>50</v>
      </c>
      <c r="H468" s="1" t="s">
        <v>50</v>
      </c>
      <c r="I468" s="1" t="s">
        <v>50</v>
      </c>
      <c r="J468" s="1" t="s">
        <v>50</v>
      </c>
      <c r="K468" s="1" t="s">
        <v>50</v>
      </c>
      <c r="L468" s="1" t="s">
        <v>104</v>
      </c>
      <c r="M468" s="1" t="s">
        <v>104</v>
      </c>
      <c r="N468" s="1" t="s">
        <v>50</v>
      </c>
      <c r="O468" s="1" t="s">
        <v>50</v>
      </c>
      <c r="P468" s="13" t="s">
        <v>525</v>
      </c>
      <c r="Q468" s="1" t="s">
        <v>104</v>
      </c>
      <c r="R468" s="1" t="s">
        <v>104</v>
      </c>
      <c r="S468" s="1" t="s">
        <v>104</v>
      </c>
      <c r="T468" s="1" t="s">
        <v>104</v>
      </c>
      <c r="U468" s="1" t="s">
        <v>104</v>
      </c>
      <c r="V468" s="1" t="s">
        <v>104</v>
      </c>
      <c r="W468" s="1" t="s">
        <v>104</v>
      </c>
      <c r="X468" s="1" t="s">
        <v>727</v>
      </c>
      <c r="Y468" s="1"/>
      <c r="Z468" s="8"/>
      <c r="AA468" s="8"/>
      <c r="AB468" s="8">
        <v>1</v>
      </c>
      <c r="AC468" s="8"/>
      <c r="AD468" s="8"/>
      <c r="AE468" s="8">
        <v>1</v>
      </c>
      <c r="AF468" s="8"/>
      <c r="AG468" s="8"/>
      <c r="AH468" s="8">
        <v>1</v>
      </c>
      <c r="AI468" s="8"/>
      <c r="AJ468" s="8"/>
      <c r="AK468" s="8"/>
      <c r="AL468" s="8"/>
      <c r="AM468" s="8"/>
      <c r="AN468" s="8"/>
      <c r="AO468" s="8"/>
      <c r="AP468" s="8">
        <v>1</v>
      </c>
      <c r="AQ468" s="8"/>
      <c r="AR468" s="8"/>
      <c r="AS468" s="8"/>
      <c r="AT468" s="8">
        <v>1</v>
      </c>
      <c r="AU468" s="8"/>
      <c r="AV468" s="8">
        <v>1</v>
      </c>
      <c r="AW468" s="8"/>
      <c r="AX468" s="8">
        <v>1</v>
      </c>
      <c r="AY468" s="8">
        <v>1</v>
      </c>
      <c r="AZ468" s="8"/>
      <c r="BA468" s="8"/>
      <c r="BB468" s="1"/>
      <c r="BJ468">
        <v>5</v>
      </c>
      <c r="BK468">
        <v>1</v>
      </c>
      <c r="BL468" s="58"/>
      <c r="BP468" t="str">
        <f t="shared" si="18"/>
        <v>DarkDragon</v>
      </c>
      <c r="BR468">
        <v>4</v>
      </c>
    </row>
    <row r="469" spans="1:70" x14ac:dyDescent="0.25">
      <c r="A469">
        <f t="shared" si="19"/>
        <v>422</v>
      </c>
      <c r="B469" t="s">
        <v>522</v>
      </c>
      <c r="D469" s="1" t="s">
        <v>8</v>
      </c>
      <c r="E469" s="1" t="s">
        <v>14</v>
      </c>
      <c r="F469" s="1" t="s">
        <v>50</v>
      </c>
      <c r="G469" s="1" t="s">
        <v>50</v>
      </c>
      <c r="H469" s="1"/>
      <c r="I469" s="1" t="s">
        <v>50</v>
      </c>
      <c r="J469" s="1" t="s">
        <v>50</v>
      </c>
      <c r="K469" s="1" t="s">
        <v>50</v>
      </c>
      <c r="L469" s="1" t="s">
        <v>104</v>
      </c>
      <c r="M469" s="1" t="s">
        <v>50</v>
      </c>
      <c r="N469" s="1" t="s">
        <v>50</v>
      </c>
      <c r="O469" s="1" t="s">
        <v>50</v>
      </c>
      <c r="P469" s="13" t="s">
        <v>524</v>
      </c>
      <c r="Q469" s="1" t="s">
        <v>104</v>
      </c>
      <c r="R469" s="1" t="s">
        <v>104</v>
      </c>
      <c r="S469" s="1" t="s">
        <v>104</v>
      </c>
      <c r="T469" s="1" t="s">
        <v>104</v>
      </c>
      <c r="U469" s="1" t="s">
        <v>104</v>
      </c>
      <c r="V469" s="1" t="s">
        <v>104</v>
      </c>
      <c r="W469" s="1" t="s">
        <v>104</v>
      </c>
      <c r="X469" s="1" t="s">
        <v>727</v>
      </c>
      <c r="Y469" s="1"/>
      <c r="Z469" s="8"/>
      <c r="AA469" s="8"/>
      <c r="AB469" s="8"/>
      <c r="AC469" s="8"/>
      <c r="AD469" s="8"/>
      <c r="AE469" s="8">
        <v>1</v>
      </c>
      <c r="AF469" s="8">
        <v>1</v>
      </c>
      <c r="AG469" s="8">
        <v>1</v>
      </c>
      <c r="AH469" s="8">
        <v>1</v>
      </c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>
        <v>1</v>
      </c>
      <c r="AW469" s="8"/>
      <c r="AX469" s="8">
        <v>1</v>
      </c>
      <c r="AY469" s="8">
        <v>1</v>
      </c>
      <c r="AZ469" s="8"/>
      <c r="BA469" s="8"/>
      <c r="BB469" s="1"/>
      <c r="BL469" s="58"/>
      <c r="BP469" t="str">
        <f t="shared" si="18"/>
        <v>GroundGhost</v>
      </c>
      <c r="BQ469" t="s">
        <v>2</v>
      </c>
      <c r="BR469">
        <v>3</v>
      </c>
    </row>
    <row r="470" spans="1:70" x14ac:dyDescent="0.25">
      <c r="A470">
        <f t="shared" si="19"/>
        <v>423</v>
      </c>
      <c r="B470" t="s">
        <v>523</v>
      </c>
      <c r="D470" s="1" t="s">
        <v>8</v>
      </c>
      <c r="E470" s="1" t="s">
        <v>14</v>
      </c>
      <c r="F470" s="1" t="s">
        <v>50</v>
      </c>
      <c r="G470" s="1" t="s">
        <v>50</v>
      </c>
      <c r="H470" s="1" t="s">
        <v>50</v>
      </c>
      <c r="I470" s="1" t="s">
        <v>50</v>
      </c>
      <c r="J470" s="1" t="s">
        <v>50</v>
      </c>
      <c r="K470" s="1" t="s">
        <v>50</v>
      </c>
      <c r="L470" s="1" t="s">
        <v>104</v>
      </c>
      <c r="M470" s="1" t="s">
        <v>104</v>
      </c>
      <c r="N470" s="1" t="s">
        <v>50</v>
      </c>
      <c r="O470" s="1" t="s">
        <v>50</v>
      </c>
      <c r="P470" s="13" t="s">
        <v>524</v>
      </c>
      <c r="Q470" s="1" t="s">
        <v>50</v>
      </c>
      <c r="R470" s="1" t="s">
        <v>50</v>
      </c>
      <c r="S470" s="1" t="s">
        <v>50</v>
      </c>
      <c r="T470" s="1" t="s">
        <v>50</v>
      </c>
      <c r="U470" s="1" t="s">
        <v>50</v>
      </c>
      <c r="V470" s="1" t="s">
        <v>50</v>
      </c>
      <c r="W470" s="1" t="s">
        <v>50</v>
      </c>
      <c r="X470" s="1" t="s">
        <v>727</v>
      </c>
      <c r="Y470" s="1"/>
      <c r="Z470" s="8"/>
      <c r="AA470" s="8"/>
      <c r="AB470" s="8"/>
      <c r="AC470" s="8"/>
      <c r="AD470" s="8"/>
      <c r="AE470" s="8">
        <v>1</v>
      </c>
      <c r="AF470" s="8">
        <v>1</v>
      </c>
      <c r="AG470" s="8">
        <v>1</v>
      </c>
      <c r="AH470" s="8">
        <v>1</v>
      </c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>
        <v>1</v>
      </c>
      <c r="AW470" s="8"/>
      <c r="AX470" s="8">
        <v>1</v>
      </c>
      <c r="AY470" s="8">
        <v>1</v>
      </c>
      <c r="AZ470" s="8"/>
      <c r="BA470" s="8"/>
      <c r="BB470" s="1"/>
      <c r="BJ470">
        <v>4</v>
      </c>
      <c r="BK470">
        <v>3</v>
      </c>
      <c r="BL470" s="58">
        <v>3</v>
      </c>
      <c r="BP470" t="str">
        <f t="shared" si="18"/>
        <v>GroundGhost</v>
      </c>
      <c r="BR470">
        <v>3</v>
      </c>
    </row>
    <row r="471" spans="1:70" x14ac:dyDescent="0.25">
      <c r="A471">
        <f t="shared" si="19"/>
        <v>424</v>
      </c>
      <c r="B471" t="s">
        <v>527</v>
      </c>
      <c r="D471" s="1" t="s">
        <v>11</v>
      </c>
      <c r="E471" s="1">
        <v>0</v>
      </c>
      <c r="F471" s="1" t="s">
        <v>50</v>
      </c>
      <c r="G471" s="1" t="s">
        <v>50</v>
      </c>
      <c r="H471" s="1"/>
      <c r="I471" s="1" t="s">
        <v>50</v>
      </c>
      <c r="J471" s="1" t="s">
        <v>50</v>
      </c>
      <c r="K471" s="1" t="s">
        <v>50</v>
      </c>
      <c r="L471" s="1" t="s">
        <v>104</v>
      </c>
      <c r="M471" s="1" t="s">
        <v>50</v>
      </c>
      <c r="N471" s="1" t="s">
        <v>50</v>
      </c>
      <c r="O471" s="1" t="s">
        <v>50</v>
      </c>
      <c r="P471" s="13" t="s">
        <v>811</v>
      </c>
      <c r="Q471" s="1" t="s">
        <v>104</v>
      </c>
      <c r="R471" s="1" t="s">
        <v>104</v>
      </c>
      <c r="S471" s="1" t="s">
        <v>104</v>
      </c>
      <c r="T471" s="1" t="s">
        <v>104</v>
      </c>
      <c r="U471" s="1" t="s">
        <v>104</v>
      </c>
      <c r="V471" s="1" t="s">
        <v>104</v>
      </c>
      <c r="W471" s="1" t="s">
        <v>104</v>
      </c>
      <c r="X471" s="1" t="s">
        <v>2182</v>
      </c>
      <c r="Y471" s="1"/>
      <c r="Z471" s="8"/>
      <c r="AA471" s="8"/>
      <c r="AB471" s="8">
        <v>1</v>
      </c>
      <c r="AC471" s="8">
        <v>1</v>
      </c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>
        <v>1</v>
      </c>
      <c r="BA471" s="8"/>
      <c r="BB471" s="1"/>
      <c r="BL471" s="58"/>
      <c r="BP471" t="str">
        <f t="shared" si="18"/>
        <v>Grass0</v>
      </c>
      <c r="BQ471" t="s">
        <v>2</v>
      </c>
      <c r="BR471">
        <v>5</v>
      </c>
    </row>
    <row r="472" spans="1:70" x14ac:dyDescent="0.25">
      <c r="A472">
        <f t="shared" si="19"/>
        <v>425</v>
      </c>
      <c r="B472" t="s">
        <v>528</v>
      </c>
      <c r="D472" s="1" t="s">
        <v>11</v>
      </c>
      <c r="E472" s="1">
        <v>0</v>
      </c>
      <c r="F472" s="1" t="s">
        <v>50</v>
      </c>
      <c r="G472" s="1" t="s">
        <v>50</v>
      </c>
      <c r="H472" s="1" t="s">
        <v>50</v>
      </c>
      <c r="I472" s="1" t="s">
        <v>50</v>
      </c>
      <c r="J472" s="1" t="s">
        <v>50</v>
      </c>
      <c r="K472" s="1" t="s">
        <v>50</v>
      </c>
      <c r="L472" s="1" t="s">
        <v>104</v>
      </c>
      <c r="M472" s="1" t="s">
        <v>104</v>
      </c>
      <c r="N472" s="1" t="s">
        <v>50</v>
      </c>
      <c r="O472" s="1" t="s">
        <v>50</v>
      </c>
      <c r="P472" s="13" t="s">
        <v>811</v>
      </c>
      <c r="Q472" s="1" t="s">
        <v>104</v>
      </c>
      <c r="R472" s="1" t="s">
        <v>104</v>
      </c>
      <c r="S472" s="1" t="s">
        <v>104</v>
      </c>
      <c r="T472" s="1" t="s">
        <v>104</v>
      </c>
      <c r="U472" s="1" t="s">
        <v>104</v>
      </c>
      <c r="V472" s="1" t="s">
        <v>104</v>
      </c>
      <c r="W472" s="1" t="s">
        <v>104</v>
      </c>
      <c r="X472" s="1" t="s">
        <v>2182</v>
      </c>
      <c r="Y472" s="1"/>
      <c r="Z472" s="8"/>
      <c r="AA472" s="8"/>
      <c r="AB472" s="8">
        <v>1</v>
      </c>
      <c r="AC472" s="8">
        <v>1</v>
      </c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>
        <v>1</v>
      </c>
      <c r="BA472" s="8"/>
      <c r="BB472" s="1"/>
      <c r="BK472">
        <v>1</v>
      </c>
      <c r="BL472" s="58"/>
      <c r="BP472" t="str">
        <f t="shared" si="18"/>
        <v>Grass0</v>
      </c>
      <c r="BR472">
        <v>5</v>
      </c>
    </row>
    <row r="473" spans="1:70" x14ac:dyDescent="0.25">
      <c r="A473">
        <f t="shared" si="19"/>
        <v>426</v>
      </c>
      <c r="B473" t="s">
        <v>529</v>
      </c>
      <c r="D473" s="1" t="s">
        <v>11</v>
      </c>
      <c r="E473" s="1" t="s">
        <v>10</v>
      </c>
      <c r="F473" s="1" t="s">
        <v>50</v>
      </c>
      <c r="G473" s="1" t="s">
        <v>50</v>
      </c>
      <c r="H473" s="1"/>
      <c r="I473" s="1" t="s">
        <v>50</v>
      </c>
      <c r="J473" s="1" t="s">
        <v>50</v>
      </c>
      <c r="K473" s="1" t="s">
        <v>50</v>
      </c>
      <c r="L473" s="1" t="s">
        <v>50</v>
      </c>
      <c r="M473" s="1" t="s">
        <v>50</v>
      </c>
      <c r="N473" s="1" t="s">
        <v>50</v>
      </c>
      <c r="O473" s="1" t="s">
        <v>50</v>
      </c>
      <c r="P473" s="13" t="s">
        <v>535</v>
      </c>
      <c r="Q473" s="1" t="s">
        <v>104</v>
      </c>
      <c r="R473" s="1" t="s">
        <v>104</v>
      </c>
      <c r="S473" s="1" t="s">
        <v>104</v>
      </c>
      <c r="T473" s="1" t="s">
        <v>104</v>
      </c>
      <c r="U473" s="1" t="s">
        <v>104</v>
      </c>
      <c r="V473" s="1" t="s">
        <v>104</v>
      </c>
      <c r="W473" s="1" t="s">
        <v>104</v>
      </c>
      <c r="X473" s="1" t="s">
        <v>727</v>
      </c>
      <c r="Y473" s="1"/>
      <c r="Z473" s="8"/>
      <c r="AA473" s="8"/>
      <c r="AB473" s="8"/>
      <c r="AC473" s="8"/>
      <c r="AD473" s="8"/>
      <c r="AE473" s="8">
        <v>1</v>
      </c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>
        <v>1</v>
      </c>
      <c r="AW473" s="8"/>
      <c r="AX473" s="8"/>
      <c r="AY473" s="8">
        <v>1</v>
      </c>
      <c r="AZ473" s="8"/>
      <c r="BA473" s="8"/>
      <c r="BB473" s="1"/>
      <c r="BL473" s="58"/>
      <c r="BP473" t="str">
        <f t="shared" si="18"/>
        <v>GrassPoison</v>
      </c>
      <c r="BQ473" t="s">
        <v>2</v>
      </c>
      <c r="BR473">
        <v>7</v>
      </c>
    </row>
    <row r="474" spans="1:70" x14ac:dyDescent="0.25">
      <c r="A474">
        <f t="shared" si="19"/>
        <v>427</v>
      </c>
      <c r="B474" t="s">
        <v>530</v>
      </c>
      <c r="D474" s="1" t="s">
        <v>11</v>
      </c>
      <c r="E474" s="1" t="s">
        <v>10</v>
      </c>
      <c r="F474" s="1" t="s">
        <v>50</v>
      </c>
      <c r="G474" s="1" t="s">
        <v>50</v>
      </c>
      <c r="H474" s="1" t="s">
        <v>50</v>
      </c>
      <c r="I474" s="1" t="s">
        <v>50</v>
      </c>
      <c r="J474" s="1" t="s">
        <v>50</v>
      </c>
      <c r="K474" s="1" t="s">
        <v>50</v>
      </c>
      <c r="L474" s="1" t="s">
        <v>104</v>
      </c>
      <c r="M474" s="1" t="s">
        <v>104</v>
      </c>
      <c r="N474" s="1" t="s">
        <v>50</v>
      </c>
      <c r="O474" s="1" t="s">
        <v>50</v>
      </c>
      <c r="P474" s="13" t="s">
        <v>535</v>
      </c>
      <c r="Q474" s="1" t="s">
        <v>1767</v>
      </c>
      <c r="R474" s="1" t="s">
        <v>1767</v>
      </c>
      <c r="S474" s="1" t="s">
        <v>104</v>
      </c>
      <c r="T474" s="1" t="s">
        <v>1767</v>
      </c>
      <c r="U474" s="1" t="s">
        <v>1767</v>
      </c>
      <c r="V474" s="1" t="s">
        <v>1767</v>
      </c>
      <c r="W474" s="1" t="s">
        <v>1767</v>
      </c>
      <c r="X474" s="1" t="s">
        <v>727</v>
      </c>
      <c r="Y474" s="1"/>
      <c r="Z474" s="8"/>
      <c r="AA474" s="8"/>
      <c r="AB474" s="8"/>
      <c r="AC474" s="8"/>
      <c r="AD474" s="8"/>
      <c r="AE474" s="8">
        <v>1</v>
      </c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>
        <v>1</v>
      </c>
      <c r="AW474" s="8"/>
      <c r="AX474" s="8"/>
      <c r="AY474" s="8">
        <v>1</v>
      </c>
      <c r="AZ474" s="8"/>
      <c r="BA474" s="8"/>
      <c r="BB474" s="1"/>
      <c r="BJ474">
        <v>3</v>
      </c>
      <c r="BK474">
        <v>1</v>
      </c>
      <c r="BL474" s="58"/>
      <c r="BP474" t="str">
        <f t="shared" si="18"/>
        <v>GrassPoison</v>
      </c>
      <c r="BR474">
        <v>7</v>
      </c>
    </row>
    <row r="475" spans="1:70" x14ac:dyDescent="0.25">
      <c r="A475">
        <f t="shared" si="19"/>
        <v>428</v>
      </c>
      <c r="B475" t="s">
        <v>536</v>
      </c>
      <c r="D475" s="1" t="s">
        <v>3</v>
      </c>
      <c r="E475" s="1" t="s">
        <v>8</v>
      </c>
      <c r="F475" s="1" t="s">
        <v>50</v>
      </c>
      <c r="G475" s="1" t="s">
        <v>50</v>
      </c>
      <c r="H475" s="1"/>
      <c r="I475" s="1" t="s">
        <v>50</v>
      </c>
      <c r="J475" s="1" t="s">
        <v>50</v>
      </c>
      <c r="K475" s="1" t="s">
        <v>50</v>
      </c>
      <c r="L475" s="1" t="s">
        <v>1767</v>
      </c>
      <c r="M475" s="1" t="s">
        <v>50</v>
      </c>
      <c r="N475" s="1" t="s">
        <v>50</v>
      </c>
      <c r="O475" s="1" t="s">
        <v>50</v>
      </c>
      <c r="P475" s="13" t="s">
        <v>104</v>
      </c>
      <c r="Q475" s="1" t="s">
        <v>104</v>
      </c>
      <c r="R475" s="1" t="s">
        <v>104</v>
      </c>
      <c r="S475" s="1" t="s">
        <v>104</v>
      </c>
      <c r="T475" s="1" t="s">
        <v>104</v>
      </c>
      <c r="U475" s="1" t="s">
        <v>104</v>
      </c>
      <c r="V475" s="1" t="s">
        <v>104</v>
      </c>
      <c r="W475" s="1" t="s">
        <v>104</v>
      </c>
      <c r="X475" s="1" t="s">
        <v>738</v>
      </c>
      <c r="Y475" s="1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>
        <v>1</v>
      </c>
      <c r="AY475" s="8"/>
      <c r="AZ475" s="8"/>
      <c r="BA475" s="8"/>
      <c r="BB475" s="1"/>
      <c r="BL475" s="58"/>
      <c r="BP475" t="str">
        <f t="shared" si="18"/>
        <v>ElectricGround</v>
      </c>
      <c r="BQ475" t="s">
        <v>2</v>
      </c>
      <c r="BR475">
        <v>2</v>
      </c>
    </row>
    <row r="476" spans="1:70" x14ac:dyDescent="0.25">
      <c r="A476">
        <f t="shared" si="19"/>
        <v>429</v>
      </c>
      <c r="B476" t="s">
        <v>537</v>
      </c>
      <c r="D476" s="1" t="s">
        <v>3</v>
      </c>
      <c r="E476" s="1" t="s">
        <v>8</v>
      </c>
      <c r="F476" s="1" t="s">
        <v>50</v>
      </c>
      <c r="G476" s="1" t="s">
        <v>50</v>
      </c>
      <c r="H476" s="1" t="s">
        <v>50</v>
      </c>
      <c r="I476" s="1" t="s">
        <v>50</v>
      </c>
      <c r="J476" s="1" t="s">
        <v>50</v>
      </c>
      <c r="K476" s="1" t="s">
        <v>50</v>
      </c>
      <c r="L476" s="1" t="s">
        <v>1767</v>
      </c>
      <c r="M476" s="1" t="s">
        <v>104</v>
      </c>
      <c r="N476" s="1" t="s">
        <v>50</v>
      </c>
      <c r="O476" s="1" t="s">
        <v>50</v>
      </c>
      <c r="P476" s="13" t="s">
        <v>104</v>
      </c>
      <c r="Q476" s="1" t="s">
        <v>104</v>
      </c>
      <c r="R476" s="1" t="s">
        <v>104</v>
      </c>
      <c r="S476" s="1" t="s">
        <v>104</v>
      </c>
      <c r="T476" s="1" t="s">
        <v>104</v>
      </c>
      <c r="U476" s="1" t="s">
        <v>104</v>
      </c>
      <c r="V476" s="1" t="s">
        <v>104</v>
      </c>
      <c r="W476" s="1" t="s">
        <v>104</v>
      </c>
      <c r="X476" s="1" t="s">
        <v>738</v>
      </c>
      <c r="Y476" s="1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>
        <v>1</v>
      </c>
      <c r="AY476" s="8"/>
      <c r="AZ476" s="8"/>
      <c r="BA476" s="8"/>
      <c r="BB476" s="1"/>
      <c r="BL476" s="58"/>
      <c r="BP476" t="str">
        <f t="shared" si="18"/>
        <v>ElectricGround</v>
      </c>
      <c r="BQ476" t="s">
        <v>2</v>
      </c>
      <c r="BR476">
        <v>2</v>
      </c>
    </row>
    <row r="477" spans="1:70" x14ac:dyDescent="0.25">
      <c r="A477">
        <f t="shared" si="19"/>
        <v>430</v>
      </c>
      <c r="B477" t="s">
        <v>538</v>
      </c>
      <c r="D477" s="1" t="s">
        <v>3</v>
      </c>
      <c r="E477" s="1" t="s">
        <v>8</v>
      </c>
      <c r="F477" s="1" t="s">
        <v>50</v>
      </c>
      <c r="G477" s="1" t="s">
        <v>50</v>
      </c>
      <c r="H477" s="1" t="s">
        <v>50</v>
      </c>
      <c r="I477" s="1" t="s">
        <v>50</v>
      </c>
      <c r="J477" s="1" t="s">
        <v>50</v>
      </c>
      <c r="K477" s="1" t="s">
        <v>50</v>
      </c>
      <c r="L477" s="1" t="s">
        <v>104</v>
      </c>
      <c r="M477" s="1" t="s">
        <v>104</v>
      </c>
      <c r="N477" s="1" t="s">
        <v>50</v>
      </c>
      <c r="O477" s="1" t="s">
        <v>50</v>
      </c>
      <c r="P477" s="13" t="s">
        <v>104</v>
      </c>
      <c r="Q477" s="1" t="s">
        <v>50</v>
      </c>
      <c r="R477" s="1" t="s">
        <v>50</v>
      </c>
      <c r="S477" s="1" t="s">
        <v>50</v>
      </c>
      <c r="T477" s="1" t="s">
        <v>50</v>
      </c>
      <c r="U477" s="1" t="s">
        <v>50</v>
      </c>
      <c r="V477" s="1" t="s">
        <v>50</v>
      </c>
      <c r="W477" s="1" t="s">
        <v>50</v>
      </c>
      <c r="X477" s="1" t="s">
        <v>738</v>
      </c>
      <c r="Y477" s="1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>
        <v>1</v>
      </c>
      <c r="AY477" s="8"/>
      <c r="AZ477" s="8"/>
      <c r="BA477" s="8"/>
      <c r="BB477" s="1"/>
      <c r="BJ477">
        <v>10</v>
      </c>
      <c r="BK477">
        <v>1</v>
      </c>
      <c r="BL477" s="58"/>
      <c r="BP477" t="str">
        <f t="shared" si="18"/>
        <v>ElectricGround</v>
      </c>
      <c r="BR477">
        <v>4</v>
      </c>
    </row>
    <row r="478" spans="1:70" x14ac:dyDescent="0.25">
      <c r="A478">
        <f t="shared" si="19"/>
        <v>431</v>
      </c>
      <c r="B478" t="s">
        <v>540</v>
      </c>
      <c r="D478" s="1" t="s">
        <v>3</v>
      </c>
      <c r="E478" s="1">
        <v>0</v>
      </c>
      <c r="F478" s="1" t="s">
        <v>50</v>
      </c>
      <c r="G478" s="1" t="s">
        <v>50</v>
      </c>
      <c r="H478" s="1"/>
      <c r="I478" s="1" t="s">
        <v>50</v>
      </c>
      <c r="J478" s="1" t="s">
        <v>50</v>
      </c>
      <c r="K478" s="1" t="s">
        <v>50</v>
      </c>
      <c r="L478" s="1"/>
      <c r="M478" s="1" t="s">
        <v>50</v>
      </c>
      <c r="N478" s="1" t="s">
        <v>50</v>
      </c>
      <c r="O478" s="1" t="s">
        <v>50</v>
      </c>
      <c r="P478" s="13" t="s">
        <v>104</v>
      </c>
      <c r="Q478" s="1" t="s">
        <v>104</v>
      </c>
      <c r="R478" s="1" t="s">
        <v>104</v>
      </c>
      <c r="S478" s="1" t="s">
        <v>104</v>
      </c>
      <c r="T478" s="1" t="s">
        <v>104</v>
      </c>
      <c r="U478" s="1" t="s">
        <v>104</v>
      </c>
      <c r="V478" s="1" t="s">
        <v>104</v>
      </c>
      <c r="W478" s="1" t="s">
        <v>104</v>
      </c>
      <c r="X478" s="1" t="s">
        <v>733</v>
      </c>
      <c r="Y478" s="1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>
        <v>1</v>
      </c>
      <c r="AY478" s="8"/>
      <c r="AZ478" s="8"/>
      <c r="BA478" s="8"/>
      <c r="BB478" s="1"/>
      <c r="BJ478">
        <v>2</v>
      </c>
      <c r="BL478" s="58"/>
      <c r="BP478" t="str">
        <f t="shared" si="18"/>
        <v>Electric0</v>
      </c>
      <c r="BR478">
        <v>3</v>
      </c>
    </row>
    <row r="479" spans="1:70" x14ac:dyDescent="0.25">
      <c r="A479">
        <f t="shared" si="19"/>
        <v>432</v>
      </c>
      <c r="B479" t="s">
        <v>543</v>
      </c>
      <c r="D479" s="1" t="s">
        <v>12</v>
      </c>
      <c r="E479" s="1" t="s">
        <v>13</v>
      </c>
      <c r="F479" s="1" t="s">
        <v>50</v>
      </c>
      <c r="G479" s="1" t="s">
        <v>50</v>
      </c>
      <c r="H479" s="1"/>
      <c r="I479" s="1" t="s">
        <v>50</v>
      </c>
      <c r="J479" s="1" t="s">
        <v>50</v>
      </c>
      <c r="K479" s="1" t="s">
        <v>50</v>
      </c>
      <c r="L479" s="1"/>
      <c r="M479" s="1" t="s">
        <v>50</v>
      </c>
      <c r="N479" s="1" t="s">
        <v>50</v>
      </c>
      <c r="O479" s="1" t="s">
        <v>50</v>
      </c>
      <c r="P479" s="13" t="s">
        <v>104</v>
      </c>
      <c r="Q479" s="1" t="s">
        <v>104</v>
      </c>
      <c r="R479" s="1" t="s">
        <v>104</v>
      </c>
      <c r="S479" s="1" t="s">
        <v>104</v>
      </c>
      <c r="T479" s="1" t="s">
        <v>104</v>
      </c>
      <c r="U479" s="1" t="s">
        <v>104</v>
      </c>
      <c r="V479" s="1" t="s">
        <v>104</v>
      </c>
      <c r="W479" s="1" t="s">
        <v>104</v>
      </c>
      <c r="X479" s="1" t="s">
        <v>727</v>
      </c>
      <c r="Y479" s="1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>
        <v>1</v>
      </c>
      <c r="AX479" s="8">
        <v>1</v>
      </c>
      <c r="AY479" s="8">
        <v>1</v>
      </c>
      <c r="AZ479" s="8"/>
      <c r="BA479" s="8"/>
      <c r="BB479" s="1"/>
      <c r="BL479" s="58"/>
      <c r="BP479" t="str">
        <f t="shared" si="18"/>
        <v>DragonFire</v>
      </c>
      <c r="BQ479" t="s">
        <v>2</v>
      </c>
      <c r="BR479">
        <v>4</v>
      </c>
    </row>
    <row r="480" spans="1:70" x14ac:dyDescent="0.25">
      <c r="A480">
        <f t="shared" si="19"/>
        <v>433</v>
      </c>
      <c r="B480" t="s">
        <v>544</v>
      </c>
      <c r="D480" s="1" t="s">
        <v>12</v>
      </c>
      <c r="E480" s="1" t="s">
        <v>13</v>
      </c>
      <c r="F480" s="1" t="s">
        <v>50</v>
      </c>
      <c r="G480" s="1" t="s">
        <v>50</v>
      </c>
      <c r="H480" s="1"/>
      <c r="I480" s="1" t="s">
        <v>50</v>
      </c>
      <c r="J480" s="1" t="s">
        <v>50</v>
      </c>
      <c r="K480" s="1" t="s">
        <v>50</v>
      </c>
      <c r="L480" s="1"/>
      <c r="M480" s="1" t="s">
        <v>104</v>
      </c>
      <c r="N480" s="1" t="s">
        <v>50</v>
      </c>
      <c r="O480" s="1" t="s">
        <v>50</v>
      </c>
      <c r="P480" s="13" t="s">
        <v>104</v>
      </c>
      <c r="Q480" s="1" t="s">
        <v>104</v>
      </c>
      <c r="R480" s="1" t="s">
        <v>104</v>
      </c>
      <c r="S480" s="1" t="s">
        <v>104</v>
      </c>
      <c r="T480" s="1" t="s">
        <v>104</v>
      </c>
      <c r="U480" s="1" t="s">
        <v>104</v>
      </c>
      <c r="V480" s="1" t="s">
        <v>104</v>
      </c>
      <c r="W480" s="1" t="s">
        <v>104</v>
      </c>
      <c r="X480" s="1" t="s">
        <v>727</v>
      </c>
      <c r="Y480" s="1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>
        <v>1</v>
      </c>
      <c r="AX480" s="8">
        <v>1</v>
      </c>
      <c r="AY480" s="8">
        <v>1</v>
      </c>
      <c r="AZ480" s="8"/>
      <c r="BA480" s="8"/>
      <c r="BB480" s="1"/>
      <c r="BL480" s="58"/>
      <c r="BP480" t="str">
        <f t="shared" si="18"/>
        <v>DragonFire</v>
      </c>
      <c r="BQ480" t="s">
        <v>2</v>
      </c>
      <c r="BR480">
        <v>4</v>
      </c>
    </row>
    <row r="481" spans="1:70" x14ac:dyDescent="0.25">
      <c r="A481">
        <f t="shared" si="19"/>
        <v>434</v>
      </c>
      <c r="B481" t="s">
        <v>545</v>
      </c>
      <c r="D481" s="1" t="s">
        <v>12</v>
      </c>
      <c r="E481" s="1" t="s">
        <v>13</v>
      </c>
      <c r="F481" s="1" t="s">
        <v>50</v>
      </c>
      <c r="G481" s="1" t="s">
        <v>50</v>
      </c>
      <c r="H481" s="1" t="s">
        <v>50</v>
      </c>
      <c r="I481" s="1" t="s">
        <v>50</v>
      </c>
      <c r="J481" s="1" t="s">
        <v>50</v>
      </c>
      <c r="K481" s="1" t="s">
        <v>50</v>
      </c>
      <c r="L481" s="1"/>
      <c r="M481" s="1" t="s">
        <v>104</v>
      </c>
      <c r="N481" s="1" t="s">
        <v>50</v>
      </c>
      <c r="O481" s="1" t="s">
        <v>50</v>
      </c>
      <c r="P481" s="13" t="s">
        <v>811</v>
      </c>
      <c r="Q481" s="1" t="s">
        <v>50</v>
      </c>
      <c r="R481" s="1" t="s">
        <v>50</v>
      </c>
      <c r="S481" s="1" t="s">
        <v>50</v>
      </c>
      <c r="T481" s="1" t="s">
        <v>50</v>
      </c>
      <c r="U481" s="1" t="s">
        <v>50</v>
      </c>
      <c r="V481" s="1" t="s">
        <v>50</v>
      </c>
      <c r="W481" s="1" t="s">
        <v>50</v>
      </c>
      <c r="X481" s="1" t="s">
        <v>727</v>
      </c>
      <c r="Y481" s="1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>
        <v>1</v>
      </c>
      <c r="AX481" s="8">
        <v>1</v>
      </c>
      <c r="AY481" s="8">
        <v>1</v>
      </c>
      <c r="AZ481" s="8"/>
      <c r="BA481" s="8"/>
      <c r="BB481" s="1"/>
      <c r="BJ481">
        <v>8</v>
      </c>
      <c r="BK481">
        <v>4</v>
      </c>
      <c r="BL481" s="58"/>
      <c r="BP481" t="str">
        <f t="shared" si="18"/>
        <v>DragonFire</v>
      </c>
      <c r="BR481">
        <v>4</v>
      </c>
    </row>
    <row r="482" spans="1:70" x14ac:dyDescent="0.25">
      <c r="A482">
        <f t="shared" si="19"/>
        <v>435</v>
      </c>
      <c r="B482" t="s">
        <v>548</v>
      </c>
      <c r="D482" s="1" t="s">
        <v>42</v>
      </c>
      <c r="E482" s="1" t="s">
        <v>5</v>
      </c>
      <c r="F482" s="1" t="s">
        <v>50</v>
      </c>
      <c r="G482" s="1" t="s">
        <v>50</v>
      </c>
      <c r="H482" s="1"/>
      <c r="I482" s="1" t="s">
        <v>50</v>
      </c>
      <c r="J482" s="1" t="s">
        <v>50</v>
      </c>
      <c r="K482" s="1" t="s">
        <v>50</v>
      </c>
      <c r="L482" s="1"/>
      <c r="M482" s="1" t="s">
        <v>50</v>
      </c>
      <c r="N482" s="1" t="s">
        <v>50</v>
      </c>
      <c r="O482" s="1" t="s">
        <v>50</v>
      </c>
      <c r="P482" s="1" t="s">
        <v>104</v>
      </c>
      <c r="Q482" s="1" t="s">
        <v>104</v>
      </c>
      <c r="R482" s="1" t="s">
        <v>104</v>
      </c>
      <c r="S482" s="1" t="s">
        <v>104</v>
      </c>
      <c r="T482" s="1" t="s">
        <v>104</v>
      </c>
      <c r="U482" s="1" t="s">
        <v>104</v>
      </c>
      <c r="V482" s="1" t="s">
        <v>104</v>
      </c>
      <c r="W482" s="1" t="s">
        <v>104</v>
      </c>
      <c r="X482" s="1" t="s">
        <v>733</v>
      </c>
      <c r="Y482" s="1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>
        <v>1</v>
      </c>
      <c r="AP482" s="8">
        <v>1</v>
      </c>
      <c r="AQ482" s="8">
        <v>1</v>
      </c>
      <c r="AR482" s="8">
        <v>1</v>
      </c>
      <c r="AS482" s="8"/>
      <c r="AT482" s="8"/>
      <c r="AU482" s="8"/>
      <c r="AV482" s="8"/>
      <c r="AW482" s="8"/>
      <c r="AX482" s="8"/>
      <c r="AY482" s="8"/>
      <c r="AZ482" s="8"/>
      <c r="BA482" s="8"/>
      <c r="BB482" s="1"/>
      <c r="BL482" s="58"/>
      <c r="BP482" t="str">
        <f t="shared" si="18"/>
        <v>CosmicIce</v>
      </c>
      <c r="BQ482" t="s">
        <v>2</v>
      </c>
      <c r="BR482">
        <v>4</v>
      </c>
    </row>
    <row r="483" spans="1:70" x14ac:dyDescent="0.25">
      <c r="A483">
        <f t="shared" si="19"/>
        <v>436</v>
      </c>
      <c r="B483" t="s">
        <v>549</v>
      </c>
      <c r="D483" s="1" t="s">
        <v>42</v>
      </c>
      <c r="E483" s="1" t="s">
        <v>5</v>
      </c>
      <c r="F483" s="1" t="s">
        <v>50</v>
      </c>
      <c r="G483" s="1" t="s">
        <v>50</v>
      </c>
      <c r="H483" s="1" t="s">
        <v>50</v>
      </c>
      <c r="I483" s="1" t="s">
        <v>50</v>
      </c>
      <c r="J483" s="1" t="s">
        <v>50</v>
      </c>
      <c r="K483" s="1" t="s">
        <v>50</v>
      </c>
      <c r="L483" s="1"/>
      <c r="M483" s="1" t="s">
        <v>104</v>
      </c>
      <c r="N483" s="1" t="s">
        <v>50</v>
      </c>
      <c r="O483" s="1" t="s">
        <v>50</v>
      </c>
      <c r="P483" s="1" t="s">
        <v>104</v>
      </c>
      <c r="Q483" s="1" t="s">
        <v>50</v>
      </c>
      <c r="R483" s="1" t="s">
        <v>50</v>
      </c>
      <c r="S483" s="1" t="s">
        <v>50</v>
      </c>
      <c r="T483" s="1" t="s">
        <v>50</v>
      </c>
      <c r="U483" s="1" t="s">
        <v>50</v>
      </c>
      <c r="V483" s="1" t="s">
        <v>50</v>
      </c>
      <c r="W483" s="1" t="s">
        <v>50</v>
      </c>
      <c r="X483" s="1" t="s">
        <v>2239</v>
      </c>
      <c r="Y483" s="1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>
        <v>1</v>
      </c>
      <c r="AP483" s="8">
        <v>1</v>
      </c>
      <c r="AQ483" s="8">
        <v>1</v>
      </c>
      <c r="AR483" s="8">
        <v>1</v>
      </c>
      <c r="AS483" s="8"/>
      <c r="AT483" s="8"/>
      <c r="AU483" s="8"/>
      <c r="AV483" s="8"/>
      <c r="AW483" s="8"/>
      <c r="AX483" s="8"/>
      <c r="AY483" s="8"/>
      <c r="AZ483" s="8"/>
      <c r="BA483" s="8"/>
      <c r="BB483" s="1"/>
      <c r="BJ483">
        <v>13</v>
      </c>
      <c r="BK483">
        <v>5</v>
      </c>
      <c r="BL483" s="58">
        <v>2</v>
      </c>
      <c r="BP483" t="str">
        <f t="shared" si="18"/>
        <v>CosmicIce</v>
      </c>
      <c r="BR483">
        <v>4</v>
      </c>
    </row>
    <row r="484" spans="1:70" x14ac:dyDescent="0.25">
      <c r="A484">
        <f t="shared" si="19"/>
        <v>437</v>
      </c>
      <c r="B484" t="s">
        <v>1768</v>
      </c>
      <c r="D484" s="1" t="s">
        <v>42</v>
      </c>
      <c r="E484" s="1">
        <v>0</v>
      </c>
      <c r="F484" s="1" t="s">
        <v>50</v>
      </c>
      <c r="G484" s="1" t="s">
        <v>50</v>
      </c>
      <c r="H484" s="1"/>
      <c r="I484" s="1" t="s">
        <v>50</v>
      </c>
      <c r="J484" s="1" t="s">
        <v>50</v>
      </c>
      <c r="K484" s="1" t="s">
        <v>50</v>
      </c>
      <c r="L484" s="1" t="s">
        <v>50</v>
      </c>
      <c r="M484" s="1" t="s">
        <v>104</v>
      </c>
      <c r="N484" s="1" t="s">
        <v>50</v>
      </c>
      <c r="O484" s="1" t="s">
        <v>50</v>
      </c>
      <c r="P484" s="13" t="s">
        <v>1769</v>
      </c>
      <c r="Q484" s="1" t="s">
        <v>104</v>
      </c>
      <c r="R484" s="1" t="s">
        <v>104</v>
      </c>
      <c r="S484" s="1" t="s">
        <v>104</v>
      </c>
      <c r="T484" s="1" t="s">
        <v>104</v>
      </c>
      <c r="U484" s="1" t="s">
        <v>104</v>
      </c>
      <c r="V484" s="1" t="s">
        <v>104</v>
      </c>
      <c r="W484" s="1" t="s">
        <v>104</v>
      </c>
      <c r="X484" s="1" t="s">
        <v>727</v>
      </c>
      <c r="Y484" s="1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>
        <v>1</v>
      </c>
      <c r="AT484" s="8"/>
      <c r="AU484" s="8">
        <v>1</v>
      </c>
      <c r="AV484" s="8"/>
      <c r="AW484" s="8"/>
      <c r="AX484" s="8"/>
      <c r="AY484" s="8"/>
      <c r="AZ484" s="8"/>
      <c r="BA484" s="8"/>
      <c r="BB484" s="1"/>
      <c r="BJ484">
        <v>3</v>
      </c>
      <c r="BK484">
        <v>1</v>
      </c>
      <c r="BL484" s="58"/>
      <c r="BP484" t="str">
        <f t="shared" si="18"/>
        <v>Cosmic0</v>
      </c>
      <c r="BR484">
        <v>1</v>
      </c>
    </row>
    <row r="485" spans="1:70" x14ac:dyDescent="0.25">
      <c r="A485">
        <f t="shared" si="19"/>
        <v>438</v>
      </c>
      <c r="B485" t="s">
        <v>1700</v>
      </c>
      <c r="D485" s="1" t="s">
        <v>7</v>
      </c>
      <c r="E485" s="1">
        <v>0</v>
      </c>
      <c r="F485" s="1" t="s">
        <v>50</v>
      </c>
      <c r="G485" s="1" t="s">
        <v>50</v>
      </c>
      <c r="H485" s="1"/>
      <c r="I485" s="1" t="s">
        <v>50</v>
      </c>
      <c r="J485" s="1" t="s">
        <v>50</v>
      </c>
      <c r="K485" s="1" t="s">
        <v>50</v>
      </c>
      <c r="L485" s="1"/>
      <c r="M485" s="1" t="s">
        <v>104</v>
      </c>
      <c r="N485" s="1"/>
      <c r="O485" s="1"/>
      <c r="P485" s="13"/>
      <c r="Q485" s="1" t="s">
        <v>104</v>
      </c>
      <c r="R485" s="1" t="s">
        <v>104</v>
      </c>
      <c r="S485" s="1" t="s">
        <v>104</v>
      </c>
      <c r="T485" s="1" t="s">
        <v>104</v>
      </c>
      <c r="U485" s="1" t="s">
        <v>104</v>
      </c>
      <c r="V485" s="1" t="s">
        <v>104</v>
      </c>
      <c r="W485" s="1" t="s">
        <v>104</v>
      </c>
      <c r="X485" s="1" t="s">
        <v>729</v>
      </c>
      <c r="Y485" s="1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>
        <v>1</v>
      </c>
      <c r="AM485" s="8">
        <v>1</v>
      </c>
      <c r="AN485" s="8"/>
      <c r="AO485" s="8"/>
      <c r="AP485" s="8"/>
      <c r="AQ485" s="8"/>
      <c r="AR485" s="8"/>
      <c r="AS485" s="8"/>
      <c r="AT485" s="8"/>
      <c r="AU485" s="8">
        <v>1</v>
      </c>
      <c r="AV485" s="8"/>
      <c r="AW485" s="8"/>
      <c r="AX485" s="8"/>
      <c r="AY485" s="8"/>
      <c r="AZ485" s="8"/>
      <c r="BA485" s="8"/>
      <c r="BB485" s="1"/>
      <c r="BK485">
        <v>4</v>
      </c>
      <c r="BL485" s="58"/>
      <c r="BP485" t="str">
        <f t="shared" si="18"/>
        <v>Fairy0</v>
      </c>
      <c r="BR485">
        <v>4</v>
      </c>
    </row>
    <row r="486" spans="1:70" x14ac:dyDescent="0.25">
      <c r="A486">
        <f t="shared" si="19"/>
        <v>439</v>
      </c>
      <c r="B486" t="s">
        <v>1699</v>
      </c>
      <c r="D486" s="1" t="s">
        <v>7</v>
      </c>
      <c r="E486" s="1">
        <v>0</v>
      </c>
      <c r="F486" s="1" t="s">
        <v>50</v>
      </c>
      <c r="G486" s="1" t="s">
        <v>50</v>
      </c>
      <c r="H486" s="1"/>
      <c r="I486" s="1" t="s">
        <v>50</v>
      </c>
      <c r="J486" s="1" t="s">
        <v>50</v>
      </c>
      <c r="K486" s="1" t="s">
        <v>50</v>
      </c>
      <c r="L486" s="1"/>
      <c r="M486" s="1" t="s">
        <v>104</v>
      </c>
      <c r="N486" s="1" t="s">
        <v>50</v>
      </c>
      <c r="O486" s="1" t="s">
        <v>50</v>
      </c>
      <c r="P486" s="1" t="s">
        <v>104</v>
      </c>
      <c r="Q486" s="1" t="s">
        <v>104</v>
      </c>
      <c r="R486" s="1" t="s">
        <v>104</v>
      </c>
      <c r="S486" s="1" t="s">
        <v>104</v>
      </c>
      <c r="T486" s="1" t="s">
        <v>104</v>
      </c>
      <c r="U486" s="1" t="s">
        <v>104</v>
      </c>
      <c r="V486" s="1" t="s">
        <v>104</v>
      </c>
      <c r="W486" s="1" t="s">
        <v>104</v>
      </c>
      <c r="X486" s="1" t="s">
        <v>729</v>
      </c>
      <c r="Y486" s="1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>
        <v>1</v>
      </c>
      <c r="AM486" s="8">
        <v>1</v>
      </c>
      <c r="AN486" s="8"/>
      <c r="AO486" s="8"/>
      <c r="AP486" s="8"/>
      <c r="AQ486" s="8"/>
      <c r="AR486" s="8"/>
      <c r="AS486" s="8"/>
      <c r="AT486" s="8"/>
      <c r="AU486" s="8">
        <v>1</v>
      </c>
      <c r="AV486" s="8"/>
      <c r="AW486" s="8"/>
      <c r="AX486" s="8"/>
      <c r="AY486" s="8"/>
      <c r="AZ486" s="8"/>
      <c r="BA486" s="8"/>
      <c r="BB486" s="1"/>
      <c r="BL486" s="58"/>
      <c r="BP486" t="str">
        <f t="shared" si="18"/>
        <v>Fairy0</v>
      </c>
      <c r="BR486">
        <v>4</v>
      </c>
    </row>
    <row r="487" spans="1:70" x14ac:dyDescent="0.25">
      <c r="A487">
        <f t="shared" si="19"/>
        <v>440</v>
      </c>
      <c r="B487" t="s">
        <v>550</v>
      </c>
      <c r="D487" s="1" t="s">
        <v>44</v>
      </c>
      <c r="E487" s="1">
        <v>0</v>
      </c>
      <c r="F487" s="1" t="s">
        <v>50</v>
      </c>
      <c r="G487" s="1" t="s">
        <v>50</v>
      </c>
      <c r="H487" s="1"/>
      <c r="I487" s="1" t="s">
        <v>50</v>
      </c>
      <c r="J487" s="1" t="s">
        <v>50</v>
      </c>
      <c r="K487" s="1" t="s">
        <v>50</v>
      </c>
      <c r="L487" s="1"/>
      <c r="M487" s="1" t="s">
        <v>104</v>
      </c>
      <c r="N487" s="1" t="s">
        <v>50</v>
      </c>
      <c r="O487" s="1" t="s">
        <v>50</v>
      </c>
      <c r="P487" s="1" t="s">
        <v>104</v>
      </c>
      <c r="Q487" s="1" t="s">
        <v>104</v>
      </c>
      <c r="R487" s="1" t="s">
        <v>104</v>
      </c>
      <c r="S487" s="1" t="s">
        <v>104</v>
      </c>
      <c r="T487" s="1" t="s">
        <v>104</v>
      </c>
      <c r="U487" s="1" t="s">
        <v>104</v>
      </c>
      <c r="V487" s="1" t="s">
        <v>104</v>
      </c>
      <c r="W487" s="1" t="s">
        <v>104</v>
      </c>
      <c r="X487" s="1" t="s">
        <v>729</v>
      </c>
      <c r="Y487" s="1"/>
      <c r="Z487" s="8"/>
      <c r="AA487" s="8"/>
      <c r="AB487" s="8"/>
      <c r="AC487" s="8"/>
      <c r="AD487" s="8"/>
      <c r="AE487" s="8"/>
      <c r="AF487" s="8">
        <v>1</v>
      </c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1"/>
      <c r="BL487" s="58"/>
      <c r="BP487" t="str">
        <f t="shared" si="18"/>
        <v>Light0</v>
      </c>
      <c r="BR487">
        <v>4</v>
      </c>
    </row>
    <row r="488" spans="1:70" x14ac:dyDescent="0.25">
      <c r="A488">
        <f t="shared" si="19"/>
        <v>441</v>
      </c>
      <c r="B488" t="s">
        <v>571</v>
      </c>
      <c r="D488" s="1" t="s">
        <v>10</v>
      </c>
      <c r="E488" s="1">
        <v>0</v>
      </c>
      <c r="F488" s="1" t="s">
        <v>50</v>
      </c>
      <c r="G488" s="1" t="s">
        <v>50</v>
      </c>
      <c r="H488" s="1"/>
      <c r="I488" s="1" t="s">
        <v>50</v>
      </c>
      <c r="J488" s="1" t="s">
        <v>50</v>
      </c>
      <c r="K488" s="1" t="s">
        <v>50</v>
      </c>
      <c r="L488" s="1"/>
      <c r="M488" s="1" t="s">
        <v>104</v>
      </c>
      <c r="N488" s="1" t="s">
        <v>50</v>
      </c>
      <c r="O488" s="1" t="s">
        <v>50</v>
      </c>
      <c r="P488" s="1" t="s">
        <v>104</v>
      </c>
      <c r="Q488" s="1" t="s">
        <v>104</v>
      </c>
      <c r="R488" s="1" t="s">
        <v>104</v>
      </c>
      <c r="S488" s="1" t="s">
        <v>104</v>
      </c>
      <c r="T488" s="1" t="s">
        <v>104</v>
      </c>
      <c r="U488" s="1" t="s">
        <v>104</v>
      </c>
      <c r="V488" s="1" t="s">
        <v>104</v>
      </c>
      <c r="W488" s="1" t="s">
        <v>104</v>
      </c>
      <c r="X488" s="1" t="s">
        <v>729</v>
      </c>
      <c r="Y488" s="1"/>
      <c r="Z488" s="8"/>
      <c r="AA488" s="8">
        <v>1</v>
      </c>
      <c r="AB488" s="8">
        <v>1</v>
      </c>
      <c r="AC488" s="8">
        <v>1</v>
      </c>
      <c r="AD488" s="8"/>
      <c r="AE488" s="8"/>
      <c r="AF488" s="8"/>
      <c r="AG488" s="8"/>
      <c r="AH488" s="8">
        <v>1</v>
      </c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>
        <v>1</v>
      </c>
      <c r="AU488" s="8"/>
      <c r="AV488" s="8"/>
      <c r="AW488" s="8"/>
      <c r="AX488" s="8"/>
      <c r="AY488" s="8"/>
      <c r="AZ488" s="8"/>
      <c r="BA488" s="8"/>
      <c r="BB488" s="1"/>
      <c r="BL488" s="58"/>
      <c r="BP488" t="str">
        <f t="shared" si="18"/>
        <v>Poison0</v>
      </c>
      <c r="BR488">
        <v>4</v>
      </c>
    </row>
    <row r="489" spans="1:70" x14ac:dyDescent="0.25">
      <c r="A489">
        <f t="shared" si="19"/>
        <v>442</v>
      </c>
      <c r="B489" t="s">
        <v>551</v>
      </c>
      <c r="D489" s="1" t="s">
        <v>15</v>
      </c>
      <c r="E489" s="1" t="s">
        <v>6</v>
      </c>
      <c r="F489" s="1" t="s">
        <v>50</v>
      </c>
      <c r="G489" s="1" t="s">
        <v>50</v>
      </c>
      <c r="H489" s="1"/>
      <c r="I489" s="1" t="s">
        <v>50</v>
      </c>
      <c r="J489" s="1" t="s">
        <v>50</v>
      </c>
      <c r="K489" s="1" t="s">
        <v>50</v>
      </c>
      <c r="L489" s="1"/>
      <c r="M489" s="1" t="s">
        <v>50</v>
      </c>
      <c r="N489" s="1" t="s">
        <v>50</v>
      </c>
      <c r="O489" s="1" t="s">
        <v>50</v>
      </c>
      <c r="P489" s="1" t="s">
        <v>104</v>
      </c>
      <c r="Q489" s="1" t="s">
        <v>104</v>
      </c>
      <c r="R489" s="1" t="s">
        <v>104</v>
      </c>
      <c r="S489" s="1" t="s">
        <v>104</v>
      </c>
      <c r="T489" s="1" t="s">
        <v>104</v>
      </c>
      <c r="U489" s="1" t="s">
        <v>104</v>
      </c>
      <c r="V489" s="1" t="s">
        <v>104</v>
      </c>
      <c r="W489" s="1" t="s">
        <v>104</v>
      </c>
      <c r="X489" s="1" t="s">
        <v>729</v>
      </c>
      <c r="Y489" s="1"/>
      <c r="Z489" s="8"/>
      <c r="AA489" s="8"/>
      <c r="AB489" s="8"/>
      <c r="AC489" s="8"/>
      <c r="AD489" s="8"/>
      <c r="AE489" s="8"/>
      <c r="AF489" s="8"/>
      <c r="AG489" s="8"/>
      <c r="AH489" s="8"/>
      <c r="AI489" s="8">
        <v>1</v>
      </c>
      <c r="AJ489" s="8">
        <v>1</v>
      </c>
      <c r="AK489" s="8">
        <v>1</v>
      </c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1"/>
      <c r="BL489" s="58"/>
      <c r="BP489" t="str">
        <f t="shared" si="18"/>
        <v>WaterSteel</v>
      </c>
      <c r="BQ489" t="s">
        <v>2</v>
      </c>
      <c r="BR489">
        <v>4</v>
      </c>
    </row>
    <row r="490" spans="1:70" x14ac:dyDescent="0.25">
      <c r="A490">
        <f t="shared" si="19"/>
        <v>443</v>
      </c>
      <c r="B490" t="s">
        <v>552</v>
      </c>
      <c r="D490" s="1" t="s">
        <v>15</v>
      </c>
      <c r="E490" s="1" t="s">
        <v>6</v>
      </c>
      <c r="F490" s="1" t="s">
        <v>50</v>
      </c>
      <c r="G490" s="1" t="s">
        <v>50</v>
      </c>
      <c r="H490" s="1" t="s">
        <v>50</v>
      </c>
      <c r="I490" s="1" t="s">
        <v>50</v>
      </c>
      <c r="J490" s="1" t="s">
        <v>50</v>
      </c>
      <c r="K490" s="1" t="s">
        <v>50</v>
      </c>
      <c r="L490" s="1"/>
      <c r="M490" s="1" t="s">
        <v>104</v>
      </c>
      <c r="N490" s="1" t="s">
        <v>50</v>
      </c>
      <c r="O490" s="1" t="s">
        <v>50</v>
      </c>
      <c r="P490" s="1" t="s">
        <v>104</v>
      </c>
      <c r="Q490" s="1" t="s">
        <v>1767</v>
      </c>
      <c r="R490" s="1" t="s">
        <v>1767</v>
      </c>
      <c r="S490" s="1" t="s">
        <v>104</v>
      </c>
      <c r="T490" s="1" t="s">
        <v>1767</v>
      </c>
      <c r="U490" s="1" t="s">
        <v>1767</v>
      </c>
      <c r="V490" s="1" t="s">
        <v>1767</v>
      </c>
      <c r="W490" s="1" t="s">
        <v>1767</v>
      </c>
      <c r="X490" s="1" t="s">
        <v>729</v>
      </c>
      <c r="Y490" s="1"/>
      <c r="Z490" s="8"/>
      <c r="AA490" s="8"/>
      <c r="AB490" s="8"/>
      <c r="AC490" s="8"/>
      <c r="AD490" s="8"/>
      <c r="AE490" s="8"/>
      <c r="AF490" s="8"/>
      <c r="AG490" s="8"/>
      <c r="AH490" s="8"/>
      <c r="AI490" s="8">
        <v>1</v>
      </c>
      <c r="AJ490" s="8">
        <v>1</v>
      </c>
      <c r="AK490" s="8">
        <v>1</v>
      </c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1"/>
      <c r="BJ490">
        <v>10</v>
      </c>
      <c r="BK490">
        <v>1</v>
      </c>
      <c r="BL490" s="58"/>
      <c r="BP490" t="str">
        <f t="shared" si="18"/>
        <v>WaterSteel</v>
      </c>
      <c r="BR490">
        <v>4</v>
      </c>
    </row>
    <row r="491" spans="1:70" x14ac:dyDescent="0.25">
      <c r="A491">
        <f t="shared" si="19"/>
        <v>444</v>
      </c>
      <c r="B491" t="s">
        <v>553</v>
      </c>
      <c r="D491" s="1" t="s">
        <v>8</v>
      </c>
      <c r="E491" s="1" t="s">
        <v>7</v>
      </c>
      <c r="F491" s="1" t="s">
        <v>50</v>
      </c>
      <c r="G491" s="1" t="s">
        <v>50</v>
      </c>
      <c r="H491" s="1"/>
      <c r="I491" s="1" t="s">
        <v>50</v>
      </c>
      <c r="J491" s="1" t="s">
        <v>50</v>
      </c>
      <c r="K491" s="1" t="s">
        <v>50</v>
      </c>
      <c r="L491" s="1"/>
      <c r="M491" s="1" t="s">
        <v>50</v>
      </c>
      <c r="N491" s="1" t="s">
        <v>50</v>
      </c>
      <c r="O491" s="1" t="s">
        <v>50</v>
      </c>
      <c r="P491" s="1" t="s">
        <v>104</v>
      </c>
      <c r="Q491" s="1" t="s">
        <v>104</v>
      </c>
      <c r="R491" s="1" t="s">
        <v>104</v>
      </c>
      <c r="S491" s="1" t="s">
        <v>104</v>
      </c>
      <c r="T491" s="1" t="s">
        <v>104</v>
      </c>
      <c r="U491" s="1" t="s">
        <v>104</v>
      </c>
      <c r="V491" s="1" t="s">
        <v>104</v>
      </c>
      <c r="W491" s="1" t="s">
        <v>104</v>
      </c>
      <c r="X491" s="1" t="s">
        <v>729</v>
      </c>
      <c r="Y491" s="1"/>
      <c r="Z491" s="8"/>
      <c r="AA491" s="8"/>
      <c r="AB491" s="8"/>
      <c r="AC491" s="8"/>
      <c r="AD491" s="8"/>
      <c r="AE491" s="8">
        <v>1</v>
      </c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>
        <v>1</v>
      </c>
      <c r="AZ491" s="8"/>
      <c r="BA491" s="8"/>
      <c r="BB491" s="1"/>
      <c r="BL491" s="58"/>
      <c r="BP491" t="str">
        <f t="shared" si="18"/>
        <v>GroundFairy</v>
      </c>
      <c r="BQ491" t="s">
        <v>2</v>
      </c>
      <c r="BR491">
        <v>4</v>
      </c>
    </row>
    <row r="492" spans="1:70" x14ac:dyDescent="0.25">
      <c r="A492">
        <f t="shared" si="19"/>
        <v>445</v>
      </c>
      <c r="B492" t="s">
        <v>554</v>
      </c>
      <c r="D492" s="1" t="s">
        <v>8</v>
      </c>
      <c r="E492" s="1" t="s">
        <v>7</v>
      </c>
      <c r="F492" s="1" t="s">
        <v>50</v>
      </c>
      <c r="G492" s="1" t="s">
        <v>50</v>
      </c>
      <c r="H492" s="1"/>
      <c r="I492" s="1" t="s">
        <v>50</v>
      </c>
      <c r="J492" s="1" t="s">
        <v>50</v>
      </c>
      <c r="K492" s="1" t="s">
        <v>50</v>
      </c>
      <c r="L492" s="1"/>
      <c r="M492" s="1" t="s">
        <v>50</v>
      </c>
      <c r="N492" s="1" t="s">
        <v>50</v>
      </c>
      <c r="O492" s="1" t="s">
        <v>50</v>
      </c>
      <c r="P492" s="1" t="s">
        <v>104</v>
      </c>
      <c r="Q492" s="1" t="s">
        <v>104</v>
      </c>
      <c r="R492" s="1" t="s">
        <v>104</v>
      </c>
      <c r="S492" s="1" t="s">
        <v>104</v>
      </c>
      <c r="T492" s="1" t="s">
        <v>104</v>
      </c>
      <c r="U492" s="1" t="s">
        <v>104</v>
      </c>
      <c r="V492" s="1" t="s">
        <v>104</v>
      </c>
      <c r="W492" s="1" t="s">
        <v>104</v>
      </c>
      <c r="X492" s="1" t="s">
        <v>729</v>
      </c>
      <c r="Y492" s="1"/>
      <c r="Z492" s="8"/>
      <c r="AA492" s="8"/>
      <c r="AB492" s="8"/>
      <c r="AC492" s="8"/>
      <c r="AD492" s="8"/>
      <c r="AE492" s="8">
        <v>1</v>
      </c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>
        <v>1</v>
      </c>
      <c r="AZ492" s="8"/>
      <c r="BA492" s="8"/>
      <c r="BB492" s="1"/>
      <c r="BL492" s="58"/>
      <c r="BP492" t="str">
        <f t="shared" si="18"/>
        <v>GroundFairy</v>
      </c>
      <c r="BQ492" t="s">
        <v>2</v>
      </c>
      <c r="BR492">
        <v>3</v>
      </c>
    </row>
    <row r="493" spans="1:70" x14ac:dyDescent="0.25">
      <c r="A493">
        <f t="shared" si="19"/>
        <v>446</v>
      </c>
      <c r="B493" t="s">
        <v>555</v>
      </c>
      <c r="D493" s="1" t="s">
        <v>8</v>
      </c>
      <c r="E493" s="1" t="s">
        <v>7</v>
      </c>
      <c r="F493" s="1" t="s">
        <v>50</v>
      </c>
      <c r="G493" s="1" t="s">
        <v>50</v>
      </c>
      <c r="H493" s="1" t="s">
        <v>50</v>
      </c>
      <c r="I493" s="1" t="s">
        <v>50</v>
      </c>
      <c r="J493" s="1" t="s">
        <v>50</v>
      </c>
      <c r="K493" s="1" t="s">
        <v>50</v>
      </c>
      <c r="L493" s="1"/>
      <c r="M493" s="1" t="s">
        <v>104</v>
      </c>
      <c r="N493" s="1" t="s">
        <v>50</v>
      </c>
      <c r="O493" s="1" t="s">
        <v>50</v>
      </c>
      <c r="P493" s="1" t="s">
        <v>104</v>
      </c>
      <c r="Q493" s="1" t="s">
        <v>104</v>
      </c>
      <c r="R493" s="1" t="s">
        <v>104</v>
      </c>
      <c r="S493" s="1" t="s">
        <v>104</v>
      </c>
      <c r="T493" s="1" t="s">
        <v>104</v>
      </c>
      <c r="U493" s="1" t="s">
        <v>104</v>
      </c>
      <c r="V493" s="1" t="s">
        <v>104</v>
      </c>
      <c r="W493" s="1" t="s">
        <v>104</v>
      </c>
      <c r="X493" s="1" t="s">
        <v>729</v>
      </c>
      <c r="Y493" s="1"/>
      <c r="Z493" s="8"/>
      <c r="AA493" s="8"/>
      <c r="AB493" s="8"/>
      <c r="AC493" s="8"/>
      <c r="AD493" s="8"/>
      <c r="AE493" s="8">
        <v>1</v>
      </c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>
        <v>1</v>
      </c>
      <c r="AZ493" s="8"/>
      <c r="BA493" s="8"/>
      <c r="BB493" s="1"/>
      <c r="BJ493">
        <v>17</v>
      </c>
      <c r="BK493">
        <v>8</v>
      </c>
      <c r="BL493" s="58"/>
      <c r="BP493" t="str">
        <f t="shared" si="18"/>
        <v>GroundFairy</v>
      </c>
      <c r="BR493">
        <v>4</v>
      </c>
    </row>
    <row r="494" spans="1:70" x14ac:dyDescent="0.25">
      <c r="A494">
        <f t="shared" si="19"/>
        <v>447</v>
      </c>
      <c r="B494" t="s">
        <v>556</v>
      </c>
      <c r="D494" s="1" t="s">
        <v>14</v>
      </c>
      <c r="E494" s="1" t="s">
        <v>6</v>
      </c>
      <c r="F494" s="1" t="s">
        <v>50</v>
      </c>
      <c r="G494" s="1" t="s">
        <v>50</v>
      </c>
      <c r="H494" s="1" t="s">
        <v>50</v>
      </c>
      <c r="I494" s="1" t="s">
        <v>50</v>
      </c>
      <c r="J494" s="1" t="s">
        <v>50</v>
      </c>
      <c r="K494" s="1" t="s">
        <v>50</v>
      </c>
      <c r="L494" s="1"/>
      <c r="M494" s="1" t="s">
        <v>50</v>
      </c>
      <c r="N494" s="1" t="s">
        <v>50</v>
      </c>
      <c r="O494" s="1" t="s">
        <v>50</v>
      </c>
      <c r="P494" s="13" t="s">
        <v>104</v>
      </c>
      <c r="Q494" s="1" t="s">
        <v>104</v>
      </c>
      <c r="R494" s="1" t="s">
        <v>104</v>
      </c>
      <c r="S494" s="1" t="s">
        <v>104</v>
      </c>
      <c r="T494" s="1" t="s">
        <v>104</v>
      </c>
      <c r="U494" s="1" t="s">
        <v>104</v>
      </c>
      <c r="V494" s="1" t="s">
        <v>104</v>
      </c>
      <c r="W494" s="1" t="s">
        <v>104</v>
      </c>
      <c r="X494" s="1" t="s">
        <v>733</v>
      </c>
      <c r="Y494" s="1"/>
      <c r="Z494" s="8"/>
      <c r="AA494" s="8"/>
      <c r="AB494" s="8"/>
      <c r="AC494" s="8"/>
      <c r="AD494" s="8"/>
      <c r="AE494" s="8"/>
      <c r="AF494" s="8">
        <v>1</v>
      </c>
      <c r="AG494" s="8"/>
      <c r="AH494" s="8">
        <v>1</v>
      </c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>
        <v>1</v>
      </c>
      <c r="AY494" s="8">
        <v>1</v>
      </c>
      <c r="AZ494" s="8"/>
      <c r="BA494" s="8"/>
      <c r="BB494" s="1"/>
      <c r="BJ494">
        <v>2</v>
      </c>
      <c r="BL494" s="58"/>
      <c r="BP494" t="str">
        <f t="shared" si="18"/>
        <v>GhostSteel</v>
      </c>
      <c r="BR494">
        <v>6</v>
      </c>
    </row>
    <row r="495" spans="1:70" x14ac:dyDescent="0.25">
      <c r="A495">
        <f t="shared" si="19"/>
        <v>448</v>
      </c>
      <c r="B495" t="s">
        <v>557</v>
      </c>
      <c r="D495" s="1" t="s">
        <v>44</v>
      </c>
      <c r="E495" s="1" t="s">
        <v>3</v>
      </c>
      <c r="F495" s="1" t="s">
        <v>50</v>
      </c>
      <c r="G495" s="1" t="s">
        <v>50</v>
      </c>
      <c r="H495" s="1"/>
      <c r="I495" s="1" t="s">
        <v>50</v>
      </c>
      <c r="J495" s="1" t="s">
        <v>50</v>
      </c>
      <c r="K495" s="1" t="s">
        <v>50</v>
      </c>
      <c r="L495" s="1"/>
      <c r="M495" s="1" t="s">
        <v>50</v>
      </c>
      <c r="N495" s="1" t="s">
        <v>50</v>
      </c>
      <c r="O495" s="1" t="s">
        <v>50</v>
      </c>
      <c r="P495" s="13" t="s">
        <v>104</v>
      </c>
      <c r="Q495" s="1" t="s">
        <v>104</v>
      </c>
      <c r="R495" s="1" t="s">
        <v>104</v>
      </c>
      <c r="S495" s="1" t="s">
        <v>104</v>
      </c>
      <c r="T495" s="1" t="s">
        <v>104</v>
      </c>
      <c r="U495" s="1" t="s">
        <v>104</v>
      </c>
      <c r="V495" s="1" t="s">
        <v>104</v>
      </c>
      <c r="W495" s="1" t="s">
        <v>104</v>
      </c>
      <c r="X495" s="1" t="s">
        <v>733</v>
      </c>
      <c r="Y495" s="1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>
        <v>1</v>
      </c>
      <c r="AT495" s="8">
        <v>1</v>
      </c>
      <c r="AU495" s="8"/>
      <c r="AV495" s="8"/>
      <c r="AW495" s="8"/>
      <c r="AX495" s="8"/>
      <c r="AY495" s="8"/>
      <c r="AZ495" s="8"/>
      <c r="BA495" s="8"/>
      <c r="BB495" s="1"/>
      <c r="BL495" s="58"/>
      <c r="BP495" t="str">
        <f t="shared" si="18"/>
        <v>LightElectric</v>
      </c>
      <c r="BQ495" t="s">
        <v>2</v>
      </c>
      <c r="BR495">
        <v>7</v>
      </c>
    </row>
    <row r="496" spans="1:70" x14ac:dyDescent="0.25">
      <c r="A496">
        <f t="shared" si="19"/>
        <v>449</v>
      </c>
      <c r="B496" t="s">
        <v>558</v>
      </c>
      <c r="D496" s="1" t="s">
        <v>44</v>
      </c>
      <c r="E496" s="1" t="s">
        <v>3</v>
      </c>
      <c r="F496" s="1" t="s">
        <v>50</v>
      </c>
      <c r="G496" s="1" t="s">
        <v>50</v>
      </c>
      <c r="H496" s="1" t="s">
        <v>50</v>
      </c>
      <c r="I496" s="1" t="s">
        <v>50</v>
      </c>
      <c r="J496" s="1" t="s">
        <v>50</v>
      </c>
      <c r="K496" s="1" t="s">
        <v>50</v>
      </c>
      <c r="L496" s="1"/>
      <c r="M496" s="1" t="s">
        <v>104</v>
      </c>
      <c r="N496" s="1" t="s">
        <v>50</v>
      </c>
      <c r="O496" s="1" t="s">
        <v>50</v>
      </c>
      <c r="P496" s="13" t="s">
        <v>104</v>
      </c>
      <c r="Q496" s="1" t="s">
        <v>104</v>
      </c>
      <c r="R496" s="1" t="s">
        <v>104</v>
      </c>
      <c r="S496" s="1" t="s">
        <v>104</v>
      </c>
      <c r="T496" s="1" t="s">
        <v>104</v>
      </c>
      <c r="U496" s="1" t="s">
        <v>104</v>
      </c>
      <c r="V496" s="1" t="s">
        <v>104</v>
      </c>
      <c r="W496" s="1" t="s">
        <v>104</v>
      </c>
      <c r="X496" s="1" t="s">
        <v>733</v>
      </c>
      <c r="Y496" s="1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>
        <v>1</v>
      </c>
      <c r="AT496" s="8">
        <v>1</v>
      </c>
      <c r="AU496" s="8"/>
      <c r="AV496" s="8"/>
      <c r="AW496" s="8"/>
      <c r="AX496" s="8"/>
      <c r="AY496" s="8"/>
      <c r="AZ496" s="8"/>
      <c r="BA496" s="8"/>
      <c r="BB496" s="1"/>
      <c r="BL496" s="58"/>
      <c r="BP496" t="str">
        <f t="shared" si="18"/>
        <v>LightElectric</v>
      </c>
      <c r="BR496">
        <v>7</v>
      </c>
    </row>
    <row r="497" spans="1:70" x14ac:dyDescent="0.25">
      <c r="A497">
        <f t="shared" si="19"/>
        <v>450</v>
      </c>
      <c r="B497" t="s">
        <v>559</v>
      </c>
      <c r="D497" s="1" t="s">
        <v>10</v>
      </c>
      <c r="E497" s="1" t="s">
        <v>41</v>
      </c>
      <c r="F497" s="1" t="s">
        <v>50</v>
      </c>
      <c r="G497" s="1" t="s">
        <v>50</v>
      </c>
      <c r="H497" s="1"/>
      <c r="I497" s="1" t="s">
        <v>50</v>
      </c>
      <c r="J497" s="1" t="s">
        <v>50</v>
      </c>
      <c r="K497" s="1" t="s">
        <v>50</v>
      </c>
      <c r="L497" s="1" t="s">
        <v>50</v>
      </c>
      <c r="M497" s="1" t="s">
        <v>50</v>
      </c>
      <c r="N497" s="1" t="s">
        <v>50</v>
      </c>
      <c r="O497" s="1" t="s">
        <v>50</v>
      </c>
      <c r="P497" s="13" t="s">
        <v>104</v>
      </c>
      <c r="Q497" s="1" t="s">
        <v>104</v>
      </c>
      <c r="R497" s="1" t="s">
        <v>104</v>
      </c>
      <c r="S497" s="1" t="s">
        <v>104</v>
      </c>
      <c r="T497" s="1" t="s">
        <v>104</v>
      </c>
      <c r="U497" s="1" t="s">
        <v>104</v>
      </c>
      <c r="V497" s="1" t="s">
        <v>104</v>
      </c>
      <c r="W497" s="1" t="s">
        <v>104</v>
      </c>
      <c r="X497" s="1" t="s">
        <v>733</v>
      </c>
      <c r="Y497" s="1"/>
      <c r="Z497" s="8"/>
      <c r="AA497" s="8"/>
      <c r="AB497" s="8"/>
      <c r="AC497" s="8"/>
      <c r="AD497" s="8">
        <v>1</v>
      </c>
      <c r="AE497" s="8"/>
      <c r="AF497" s="8">
        <v>1</v>
      </c>
      <c r="AG497" s="8"/>
      <c r="AH497" s="8">
        <v>1</v>
      </c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1"/>
      <c r="BL497" s="58"/>
      <c r="BP497" t="str">
        <f t="shared" si="18"/>
        <v>PoisonSound</v>
      </c>
      <c r="BQ497" t="s">
        <v>2</v>
      </c>
      <c r="BR497">
        <v>5</v>
      </c>
    </row>
    <row r="498" spans="1:70" x14ac:dyDescent="0.25">
      <c r="A498">
        <f t="shared" si="19"/>
        <v>451</v>
      </c>
      <c r="B498" t="s">
        <v>560</v>
      </c>
      <c r="D498" s="1" t="s">
        <v>10</v>
      </c>
      <c r="E498" s="1" t="s">
        <v>41</v>
      </c>
      <c r="F498" s="1" t="s">
        <v>50</v>
      </c>
      <c r="G498" s="1" t="s">
        <v>50</v>
      </c>
      <c r="H498" s="1"/>
      <c r="I498" s="1" t="s">
        <v>50</v>
      </c>
      <c r="J498" s="1" t="s">
        <v>50</v>
      </c>
      <c r="K498" s="1" t="s">
        <v>50</v>
      </c>
      <c r="L498" s="1"/>
      <c r="M498" s="1" t="s">
        <v>104</v>
      </c>
      <c r="N498" s="1" t="s">
        <v>50</v>
      </c>
      <c r="O498" s="1" t="s">
        <v>50</v>
      </c>
      <c r="P498" s="13" t="s">
        <v>104</v>
      </c>
      <c r="Q498" s="1" t="s">
        <v>104</v>
      </c>
      <c r="R498" s="1" t="s">
        <v>104</v>
      </c>
      <c r="S498" s="1" t="s">
        <v>104</v>
      </c>
      <c r="T498" s="1" t="s">
        <v>104</v>
      </c>
      <c r="U498" s="1" t="s">
        <v>104</v>
      </c>
      <c r="V498" s="1" t="s">
        <v>104</v>
      </c>
      <c r="W498" s="1" t="s">
        <v>104</v>
      </c>
      <c r="X498" s="1" t="s">
        <v>733</v>
      </c>
      <c r="Y498" s="1"/>
      <c r="Z498" s="8"/>
      <c r="AA498" s="8"/>
      <c r="AB498" s="8"/>
      <c r="AC498" s="8"/>
      <c r="AD498" s="8">
        <v>1</v>
      </c>
      <c r="AE498" s="8"/>
      <c r="AF498" s="8">
        <v>1</v>
      </c>
      <c r="AG498" s="8"/>
      <c r="AH498" s="8">
        <v>1</v>
      </c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1"/>
      <c r="BL498" s="58"/>
      <c r="BP498" t="str">
        <f t="shared" si="18"/>
        <v>PoisonSound</v>
      </c>
      <c r="BQ498" t="s">
        <v>2</v>
      </c>
      <c r="BR498">
        <v>5</v>
      </c>
    </row>
    <row r="499" spans="1:70" x14ac:dyDescent="0.25">
      <c r="A499">
        <f t="shared" si="19"/>
        <v>452</v>
      </c>
      <c r="B499" t="s">
        <v>561</v>
      </c>
      <c r="D499" s="1" t="s">
        <v>10</v>
      </c>
      <c r="E499" s="1" t="s">
        <v>41</v>
      </c>
      <c r="F499" s="1" t="s">
        <v>50</v>
      </c>
      <c r="G499" s="1" t="s">
        <v>50</v>
      </c>
      <c r="H499" s="1" t="s">
        <v>50</v>
      </c>
      <c r="I499" s="1" t="s">
        <v>50</v>
      </c>
      <c r="J499" s="1" t="s">
        <v>50</v>
      </c>
      <c r="K499" s="1" t="s">
        <v>50</v>
      </c>
      <c r="L499" s="1" t="s">
        <v>50</v>
      </c>
      <c r="M499" s="1" t="s">
        <v>104</v>
      </c>
      <c r="N499" s="1" t="s">
        <v>50</v>
      </c>
      <c r="O499" s="1" t="s">
        <v>50</v>
      </c>
      <c r="P499" s="13" t="s">
        <v>104</v>
      </c>
      <c r="Q499" s="1" t="s">
        <v>50</v>
      </c>
      <c r="R499" s="1" t="s">
        <v>50</v>
      </c>
      <c r="S499" s="1" t="s">
        <v>50</v>
      </c>
      <c r="T499" s="1" t="s">
        <v>50</v>
      </c>
      <c r="U499" s="1" t="s">
        <v>50</v>
      </c>
      <c r="V499" s="1" t="s">
        <v>50</v>
      </c>
      <c r="W499" s="1" t="s">
        <v>50</v>
      </c>
      <c r="X499" s="1" t="s">
        <v>733</v>
      </c>
      <c r="Y499" s="1"/>
      <c r="Z499" s="8"/>
      <c r="AA499" s="8"/>
      <c r="AB499" s="8"/>
      <c r="AC499" s="8"/>
      <c r="AD499" s="8">
        <v>1</v>
      </c>
      <c r="AE499" s="8"/>
      <c r="AF499" s="8">
        <v>1</v>
      </c>
      <c r="AG499" s="8"/>
      <c r="AH499" s="8">
        <v>1</v>
      </c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1"/>
      <c r="BJ499">
        <v>7</v>
      </c>
      <c r="BK499">
        <v>2</v>
      </c>
      <c r="BL499" s="58"/>
      <c r="BP499" t="str">
        <f t="shared" si="18"/>
        <v>PoisonSound</v>
      </c>
      <c r="BR499">
        <v>5</v>
      </c>
    </row>
    <row r="500" spans="1:70" x14ac:dyDescent="0.25">
      <c r="A500">
        <f t="shared" si="19"/>
        <v>453</v>
      </c>
      <c r="B500" t="s">
        <v>562</v>
      </c>
      <c r="D500" s="1" t="s">
        <v>13</v>
      </c>
      <c r="E500" s="1" t="s">
        <v>5</v>
      </c>
      <c r="F500" s="1" t="s">
        <v>50</v>
      </c>
      <c r="G500" s="1" t="s">
        <v>50</v>
      </c>
      <c r="H500" s="1"/>
      <c r="I500" s="1" t="s">
        <v>50</v>
      </c>
      <c r="J500" s="1" t="s">
        <v>50</v>
      </c>
      <c r="K500" s="1" t="s">
        <v>50</v>
      </c>
      <c r="L500" s="1"/>
      <c r="M500" s="1" t="s">
        <v>50</v>
      </c>
      <c r="N500" s="1" t="s">
        <v>50</v>
      </c>
      <c r="O500" s="1" t="s">
        <v>50</v>
      </c>
      <c r="P500" s="13" t="s">
        <v>104</v>
      </c>
      <c r="Q500" s="1" t="s">
        <v>104</v>
      </c>
      <c r="R500" s="1" t="s">
        <v>104</v>
      </c>
      <c r="S500" s="1" t="s">
        <v>104</v>
      </c>
      <c r="T500" s="1" t="s">
        <v>104</v>
      </c>
      <c r="U500" s="1" t="s">
        <v>104</v>
      </c>
      <c r="V500" s="1" t="s">
        <v>104</v>
      </c>
      <c r="W500" s="1" t="s">
        <v>104</v>
      </c>
      <c r="X500" s="1" t="s">
        <v>733</v>
      </c>
      <c r="Y500" s="1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>
        <v>1</v>
      </c>
      <c r="AQ500" s="8">
        <v>1</v>
      </c>
      <c r="AR500" s="8">
        <v>1</v>
      </c>
      <c r="AS500" s="8"/>
      <c r="AT500" s="8"/>
      <c r="AU500" s="8"/>
      <c r="AV500" s="8"/>
      <c r="AW500" s="8"/>
      <c r="AX500" s="8">
        <v>1</v>
      </c>
      <c r="AY500" s="8">
        <v>1</v>
      </c>
      <c r="AZ500" s="8"/>
      <c r="BA500" s="8"/>
      <c r="BB500" s="1"/>
      <c r="BL500" s="58"/>
      <c r="BP500" t="str">
        <f t="shared" si="18"/>
        <v>FireIce</v>
      </c>
      <c r="BQ500" t="s">
        <v>2</v>
      </c>
      <c r="BR500">
        <v>6</v>
      </c>
    </row>
    <row r="501" spans="1:70" x14ac:dyDescent="0.25">
      <c r="A501">
        <f t="shared" si="19"/>
        <v>454</v>
      </c>
      <c r="B501" t="s">
        <v>563</v>
      </c>
      <c r="D501" s="1" t="s">
        <v>13</v>
      </c>
      <c r="E501" s="1" t="s">
        <v>5</v>
      </c>
      <c r="F501" s="1" t="s">
        <v>50</v>
      </c>
      <c r="G501" s="1" t="s">
        <v>50</v>
      </c>
      <c r="H501" s="1" t="s">
        <v>50</v>
      </c>
      <c r="I501" s="1" t="s">
        <v>50</v>
      </c>
      <c r="J501" s="1" t="s">
        <v>50</v>
      </c>
      <c r="K501" s="1" t="s">
        <v>50</v>
      </c>
      <c r="L501" s="1"/>
      <c r="M501" s="1" t="s">
        <v>104</v>
      </c>
      <c r="N501" s="1" t="s">
        <v>50</v>
      </c>
      <c r="O501" s="1" t="s">
        <v>50</v>
      </c>
      <c r="P501" s="13" t="s">
        <v>104</v>
      </c>
      <c r="Q501" s="1" t="s">
        <v>104</v>
      </c>
      <c r="R501" s="1" t="s">
        <v>104</v>
      </c>
      <c r="S501" s="1" t="s">
        <v>104</v>
      </c>
      <c r="T501" s="1" t="s">
        <v>104</v>
      </c>
      <c r="U501" s="1" t="s">
        <v>104</v>
      </c>
      <c r="V501" s="1" t="s">
        <v>104</v>
      </c>
      <c r="W501" s="1" t="s">
        <v>104</v>
      </c>
      <c r="X501" s="1" t="s">
        <v>733</v>
      </c>
      <c r="Y501" s="1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>
        <v>1</v>
      </c>
      <c r="AQ501" s="8">
        <v>1</v>
      </c>
      <c r="AR501" s="8">
        <v>1</v>
      </c>
      <c r="AS501" s="8"/>
      <c r="AT501" s="8"/>
      <c r="AU501" s="8"/>
      <c r="AV501" s="8"/>
      <c r="AW501" s="8"/>
      <c r="AX501" s="8">
        <v>1</v>
      </c>
      <c r="AY501" s="8">
        <v>1</v>
      </c>
      <c r="AZ501" s="8"/>
      <c r="BA501" s="8"/>
      <c r="BB501" s="1"/>
      <c r="BJ501">
        <v>10</v>
      </c>
      <c r="BK501">
        <v>2</v>
      </c>
      <c r="BL501" s="58"/>
      <c r="BP501" t="str">
        <f t="shared" si="18"/>
        <v>FireIce</v>
      </c>
      <c r="BR501">
        <v>6</v>
      </c>
    </row>
    <row r="502" spans="1:70" x14ac:dyDescent="0.25">
      <c r="A502">
        <f t="shared" si="19"/>
        <v>455</v>
      </c>
      <c r="B502" t="s">
        <v>564</v>
      </c>
      <c r="D502" s="1" t="s">
        <v>15</v>
      </c>
      <c r="E502" s="1" t="s">
        <v>9</v>
      </c>
      <c r="F502" s="1" t="s">
        <v>50</v>
      </c>
      <c r="G502" s="1" t="s">
        <v>50</v>
      </c>
      <c r="H502" s="1"/>
      <c r="I502" s="1" t="s">
        <v>50</v>
      </c>
      <c r="J502" s="1" t="s">
        <v>50</v>
      </c>
      <c r="K502" s="1" t="s">
        <v>50</v>
      </c>
      <c r="L502" s="1"/>
      <c r="M502" s="1" t="s">
        <v>50</v>
      </c>
      <c r="N502" s="1" t="s">
        <v>50</v>
      </c>
      <c r="O502" s="1" t="s">
        <v>50</v>
      </c>
      <c r="P502" s="13" t="s">
        <v>104</v>
      </c>
      <c r="Q502" s="1" t="s">
        <v>104</v>
      </c>
      <c r="R502" s="1" t="s">
        <v>104</v>
      </c>
      <c r="S502" s="1" t="s">
        <v>104</v>
      </c>
      <c r="T502" s="1" t="s">
        <v>104</v>
      </c>
      <c r="U502" s="1" t="s">
        <v>104</v>
      </c>
      <c r="V502" s="1" t="s">
        <v>104</v>
      </c>
      <c r="W502" s="1" t="s">
        <v>104</v>
      </c>
      <c r="X502" s="1" t="s">
        <v>730</v>
      </c>
      <c r="Y502" s="1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>
        <v>1</v>
      </c>
      <c r="AL502" s="8">
        <v>1</v>
      </c>
      <c r="AM502" s="8">
        <v>1</v>
      </c>
      <c r="AN502" s="8">
        <v>1</v>
      </c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1"/>
      <c r="BL502" s="58"/>
      <c r="BP502" t="str">
        <f t="shared" si="18"/>
        <v>WaterRock</v>
      </c>
      <c r="BQ502" t="s">
        <v>2</v>
      </c>
      <c r="BR502">
        <v>1</v>
      </c>
    </row>
    <row r="503" spans="1:70" x14ac:dyDescent="0.25">
      <c r="A503">
        <f t="shared" si="19"/>
        <v>456</v>
      </c>
      <c r="B503" t="s">
        <v>565</v>
      </c>
      <c r="D503" s="1" t="s">
        <v>15</v>
      </c>
      <c r="E503" s="1" t="s">
        <v>9</v>
      </c>
      <c r="F503" s="1" t="s">
        <v>50</v>
      </c>
      <c r="G503" s="1" t="s">
        <v>50</v>
      </c>
      <c r="H503" s="1" t="s">
        <v>50</v>
      </c>
      <c r="I503" s="1" t="s">
        <v>50</v>
      </c>
      <c r="J503" s="1" t="s">
        <v>50</v>
      </c>
      <c r="K503" s="1" t="s">
        <v>50</v>
      </c>
      <c r="L503" s="1"/>
      <c r="M503" s="1" t="s">
        <v>104</v>
      </c>
      <c r="N503" s="1" t="s">
        <v>50</v>
      </c>
      <c r="O503" s="1" t="s">
        <v>50</v>
      </c>
      <c r="P503" s="13" t="s">
        <v>104</v>
      </c>
      <c r="Q503" s="1" t="s">
        <v>104</v>
      </c>
      <c r="R503" s="1" t="s">
        <v>104</v>
      </c>
      <c r="S503" s="1" t="s">
        <v>104</v>
      </c>
      <c r="T503" s="1" t="s">
        <v>104</v>
      </c>
      <c r="U503" s="1" t="s">
        <v>104</v>
      </c>
      <c r="V503" s="1" t="s">
        <v>104</v>
      </c>
      <c r="W503" s="1" t="s">
        <v>104</v>
      </c>
      <c r="X503" s="1" t="s">
        <v>730</v>
      </c>
      <c r="Y503" s="1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>
        <v>1</v>
      </c>
      <c r="AL503" s="8">
        <v>1</v>
      </c>
      <c r="AM503" s="8">
        <v>1</v>
      </c>
      <c r="AN503" s="8">
        <v>1</v>
      </c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1"/>
      <c r="BJ503">
        <v>6</v>
      </c>
      <c r="BK503">
        <v>2</v>
      </c>
      <c r="BL503" s="58">
        <v>1</v>
      </c>
      <c r="BP503" t="str">
        <f t="shared" si="18"/>
        <v>WaterRock</v>
      </c>
      <c r="BR503">
        <v>1</v>
      </c>
    </row>
    <row r="504" spans="1:70" x14ac:dyDescent="0.25">
      <c r="A504">
        <f t="shared" si="19"/>
        <v>457</v>
      </c>
      <c r="B504" t="s">
        <v>566</v>
      </c>
      <c r="D504" s="1" t="s">
        <v>7</v>
      </c>
      <c r="E504" s="1" t="s">
        <v>0</v>
      </c>
      <c r="F504" s="1" t="s">
        <v>50</v>
      </c>
      <c r="G504" s="1" t="s">
        <v>50</v>
      </c>
      <c r="H504" s="1"/>
      <c r="I504" s="1" t="s">
        <v>50</v>
      </c>
      <c r="J504" s="1" t="s">
        <v>50</v>
      </c>
      <c r="K504" s="1" t="s">
        <v>50</v>
      </c>
      <c r="L504" s="1"/>
      <c r="M504" s="1" t="s">
        <v>50</v>
      </c>
      <c r="N504" s="1" t="s">
        <v>50</v>
      </c>
      <c r="O504" s="1" t="s">
        <v>50</v>
      </c>
      <c r="P504" s="13" t="s">
        <v>104</v>
      </c>
      <c r="Q504" s="1" t="s">
        <v>104</v>
      </c>
      <c r="R504" s="1" t="s">
        <v>104</v>
      </c>
      <c r="S504" s="1" t="s">
        <v>104</v>
      </c>
      <c r="T504" s="1" t="s">
        <v>104</v>
      </c>
      <c r="U504" s="1" t="s">
        <v>104</v>
      </c>
      <c r="V504" s="1" t="s">
        <v>104</v>
      </c>
      <c r="W504" s="1" t="s">
        <v>104</v>
      </c>
      <c r="X504" s="1" t="s">
        <v>730</v>
      </c>
      <c r="Y504" s="1"/>
      <c r="Z504" s="8"/>
      <c r="AA504" s="8"/>
      <c r="AB504" s="8"/>
      <c r="AC504" s="8"/>
      <c r="AD504" s="8">
        <v>1</v>
      </c>
      <c r="AE504" s="8"/>
      <c r="AF504" s="8"/>
      <c r="AG504" s="8">
        <v>1</v>
      </c>
      <c r="AH504" s="8">
        <v>1</v>
      </c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>
        <v>1</v>
      </c>
      <c r="AT504" s="8">
        <v>1</v>
      </c>
      <c r="AU504" s="8"/>
      <c r="AV504" s="8"/>
      <c r="AW504" s="8"/>
      <c r="AX504" s="8"/>
      <c r="AY504" s="8"/>
      <c r="AZ504" s="8"/>
      <c r="BA504" s="8"/>
      <c r="BB504" s="1"/>
      <c r="BL504" s="58"/>
      <c r="BP504" t="str">
        <f t="shared" si="18"/>
        <v>FairyDark</v>
      </c>
      <c r="BQ504" t="s">
        <v>2</v>
      </c>
      <c r="BR504">
        <v>6</v>
      </c>
    </row>
    <row r="505" spans="1:70" x14ac:dyDescent="0.25">
      <c r="A505">
        <f t="shared" si="19"/>
        <v>458</v>
      </c>
      <c r="B505" t="s">
        <v>567</v>
      </c>
      <c r="D505" s="1" t="s">
        <v>7</v>
      </c>
      <c r="E505" s="1" t="s">
        <v>0</v>
      </c>
      <c r="F505" s="1" t="s">
        <v>50</v>
      </c>
      <c r="G505" s="1" t="s">
        <v>50</v>
      </c>
      <c r="H505" s="1" t="s">
        <v>50</v>
      </c>
      <c r="I505" s="1" t="s">
        <v>50</v>
      </c>
      <c r="J505" s="1" t="s">
        <v>50</v>
      </c>
      <c r="K505" s="1" t="s">
        <v>50</v>
      </c>
      <c r="L505" s="1"/>
      <c r="M505" s="1" t="s">
        <v>104</v>
      </c>
      <c r="N505" s="1" t="s">
        <v>50</v>
      </c>
      <c r="O505" s="1" t="s">
        <v>50</v>
      </c>
      <c r="P505" s="13" t="s">
        <v>104</v>
      </c>
      <c r="Q505" s="1" t="s">
        <v>104</v>
      </c>
      <c r="R505" s="1" t="s">
        <v>104</v>
      </c>
      <c r="S505" s="1" t="s">
        <v>104</v>
      </c>
      <c r="T505" s="1" t="s">
        <v>104</v>
      </c>
      <c r="U505" s="1" t="s">
        <v>104</v>
      </c>
      <c r="V505" s="1" t="s">
        <v>104</v>
      </c>
      <c r="W505" s="1" t="s">
        <v>104</v>
      </c>
      <c r="X505" s="1" t="s">
        <v>730</v>
      </c>
      <c r="Y505" s="1"/>
      <c r="Z505" s="8"/>
      <c r="AA505" s="8"/>
      <c r="AB505" s="8"/>
      <c r="AC505" s="8"/>
      <c r="AD505" s="8">
        <v>1</v>
      </c>
      <c r="AE505" s="8"/>
      <c r="AF505" s="8"/>
      <c r="AG505" s="8">
        <v>1</v>
      </c>
      <c r="AH505" s="8">
        <v>1</v>
      </c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>
        <v>1</v>
      </c>
      <c r="AT505" s="8">
        <v>1</v>
      </c>
      <c r="AU505" s="8"/>
      <c r="AV505" s="8"/>
      <c r="AW505" s="8"/>
      <c r="AX505" s="8"/>
      <c r="AY505" s="8"/>
      <c r="AZ505" s="8"/>
      <c r="BA505" s="8"/>
      <c r="BB505" s="1"/>
      <c r="BJ505">
        <v>1</v>
      </c>
      <c r="BL505" s="58"/>
      <c r="BP505" t="str">
        <f t="shared" si="18"/>
        <v>FairyDark</v>
      </c>
      <c r="BR505">
        <v>6</v>
      </c>
    </row>
    <row r="506" spans="1:70" x14ac:dyDescent="0.25">
      <c r="A506">
        <f t="shared" si="19"/>
        <v>459</v>
      </c>
      <c r="B506" t="s">
        <v>572</v>
      </c>
      <c r="D506" s="1" t="s">
        <v>17</v>
      </c>
      <c r="E506" s="1" t="s">
        <v>16</v>
      </c>
      <c r="F506" s="1" t="s">
        <v>50</v>
      </c>
      <c r="G506" s="1" t="s">
        <v>50</v>
      </c>
      <c r="H506" s="1"/>
      <c r="I506" s="1" t="s">
        <v>50</v>
      </c>
      <c r="J506" s="1" t="s">
        <v>50</v>
      </c>
      <c r="K506" s="1" t="s">
        <v>50</v>
      </c>
      <c r="L506" s="1"/>
      <c r="M506" s="1" t="s">
        <v>50</v>
      </c>
      <c r="N506" s="1" t="s">
        <v>50</v>
      </c>
      <c r="O506" s="1" t="s">
        <v>50</v>
      </c>
      <c r="P506" s="1" t="s">
        <v>104</v>
      </c>
      <c r="Q506" s="1" t="s">
        <v>104</v>
      </c>
      <c r="R506" s="1" t="s">
        <v>104</v>
      </c>
      <c r="S506" s="1" t="s">
        <v>104</v>
      </c>
      <c r="T506" s="1" t="s">
        <v>104</v>
      </c>
      <c r="U506" s="1" t="s">
        <v>104</v>
      </c>
      <c r="V506" s="1" t="s">
        <v>104</v>
      </c>
      <c r="W506" s="1" t="s">
        <v>104</v>
      </c>
      <c r="X506" s="1" t="s">
        <v>733</v>
      </c>
      <c r="Y506" s="1"/>
      <c r="Z506" s="8"/>
      <c r="AA506" s="8">
        <v>1</v>
      </c>
      <c r="AB506" s="8">
        <v>1</v>
      </c>
      <c r="AC506" s="8">
        <v>1</v>
      </c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1"/>
      <c r="BL506" s="58"/>
      <c r="BP506" t="str">
        <f t="shared" si="18"/>
        <v>BugFlying</v>
      </c>
      <c r="BQ506" t="s">
        <v>2</v>
      </c>
      <c r="BR506">
        <v>1</v>
      </c>
    </row>
    <row r="507" spans="1:70" x14ac:dyDescent="0.25">
      <c r="A507">
        <f t="shared" si="19"/>
        <v>460</v>
      </c>
      <c r="B507" t="s">
        <v>573</v>
      </c>
      <c r="D507" s="1" t="s">
        <v>17</v>
      </c>
      <c r="E507" s="1" t="s">
        <v>16</v>
      </c>
      <c r="F507" s="1" t="s">
        <v>50</v>
      </c>
      <c r="G507" s="1" t="s">
        <v>50</v>
      </c>
      <c r="H507" s="1"/>
      <c r="I507" s="1" t="s">
        <v>50</v>
      </c>
      <c r="J507" s="1" t="s">
        <v>50</v>
      </c>
      <c r="K507" s="1" t="s">
        <v>50</v>
      </c>
      <c r="L507" s="1"/>
      <c r="M507" s="1" t="s">
        <v>104</v>
      </c>
      <c r="N507" s="1" t="s">
        <v>50</v>
      </c>
      <c r="O507" s="1" t="s">
        <v>50</v>
      </c>
      <c r="P507" s="1" t="s">
        <v>104</v>
      </c>
      <c r="Q507" s="1" t="s">
        <v>104</v>
      </c>
      <c r="R507" s="1" t="s">
        <v>104</v>
      </c>
      <c r="S507" s="1" t="s">
        <v>104</v>
      </c>
      <c r="T507" s="1" t="s">
        <v>104</v>
      </c>
      <c r="U507" s="1" t="s">
        <v>104</v>
      </c>
      <c r="V507" s="1" t="s">
        <v>104</v>
      </c>
      <c r="W507" s="1" t="s">
        <v>104</v>
      </c>
      <c r="X507" s="1" t="s">
        <v>733</v>
      </c>
      <c r="Y507" s="1"/>
      <c r="Z507" s="8"/>
      <c r="AA507" s="8">
        <v>1</v>
      </c>
      <c r="AB507" s="8">
        <v>1</v>
      </c>
      <c r="AC507" s="8">
        <v>1</v>
      </c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1"/>
      <c r="BL507" s="58"/>
      <c r="BP507" t="str">
        <f t="shared" si="18"/>
        <v>BugFlying</v>
      </c>
      <c r="BQ507" t="s">
        <v>2</v>
      </c>
      <c r="BR507">
        <v>1</v>
      </c>
    </row>
    <row r="508" spans="1:70" x14ac:dyDescent="0.25">
      <c r="A508">
        <f t="shared" si="19"/>
        <v>461</v>
      </c>
      <c r="B508" t="s">
        <v>574</v>
      </c>
      <c r="D508" s="1" t="s">
        <v>17</v>
      </c>
      <c r="E508" s="1" t="s">
        <v>16</v>
      </c>
      <c r="F508" s="1" t="s">
        <v>50</v>
      </c>
      <c r="G508" s="1" t="s">
        <v>50</v>
      </c>
      <c r="H508" s="1" t="s">
        <v>50</v>
      </c>
      <c r="I508" s="1" t="s">
        <v>50</v>
      </c>
      <c r="J508" s="1" t="s">
        <v>50</v>
      </c>
      <c r="K508" s="1" t="s">
        <v>50</v>
      </c>
      <c r="L508" s="1"/>
      <c r="M508" s="1" t="s">
        <v>104</v>
      </c>
      <c r="N508" s="1" t="s">
        <v>50</v>
      </c>
      <c r="O508" s="1" t="s">
        <v>50</v>
      </c>
      <c r="P508" s="1" t="s">
        <v>104</v>
      </c>
      <c r="Q508" s="1" t="s">
        <v>1767</v>
      </c>
      <c r="R508" s="1" t="s">
        <v>1767</v>
      </c>
      <c r="S508" s="1" t="s">
        <v>104</v>
      </c>
      <c r="T508" s="1" t="s">
        <v>1767</v>
      </c>
      <c r="U508" s="1" t="s">
        <v>1767</v>
      </c>
      <c r="V508" s="1" t="s">
        <v>1767</v>
      </c>
      <c r="W508" s="1" t="s">
        <v>1767</v>
      </c>
      <c r="X508" s="1" t="s">
        <v>733</v>
      </c>
      <c r="Y508" s="1"/>
      <c r="Z508" s="8"/>
      <c r="AA508" s="8">
        <v>1</v>
      </c>
      <c r="AB508" s="8">
        <v>1</v>
      </c>
      <c r="AC508" s="8">
        <v>1</v>
      </c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1"/>
      <c r="BJ508">
        <v>3</v>
      </c>
      <c r="BK508">
        <v>1</v>
      </c>
      <c r="BL508" s="58"/>
      <c r="BP508" t="str">
        <f t="shared" si="18"/>
        <v>BugFlying</v>
      </c>
      <c r="BR508">
        <v>2</v>
      </c>
    </row>
    <row r="509" spans="1:70" x14ac:dyDescent="0.25">
      <c r="A509">
        <f t="shared" si="19"/>
        <v>462</v>
      </c>
      <c r="B509" t="s">
        <v>575</v>
      </c>
      <c r="D509" s="1" t="s">
        <v>17</v>
      </c>
      <c r="E509" s="1" t="s">
        <v>16</v>
      </c>
      <c r="F509" s="1" t="s">
        <v>50</v>
      </c>
      <c r="G509" s="1" t="s">
        <v>50</v>
      </c>
      <c r="H509" s="1"/>
      <c r="I509" s="1" t="s">
        <v>50</v>
      </c>
      <c r="J509" s="1" t="s">
        <v>50</v>
      </c>
      <c r="K509" s="1" t="s">
        <v>50</v>
      </c>
      <c r="L509" s="1"/>
      <c r="M509" s="1" t="s">
        <v>50</v>
      </c>
      <c r="N509" s="1" t="s">
        <v>50</v>
      </c>
      <c r="O509" s="1" t="s">
        <v>50</v>
      </c>
      <c r="P509" s="1" t="s">
        <v>104</v>
      </c>
      <c r="Q509" s="1" t="s">
        <v>104</v>
      </c>
      <c r="R509" s="1" t="s">
        <v>104</v>
      </c>
      <c r="S509" s="1" t="s">
        <v>104</v>
      </c>
      <c r="T509" s="1" t="s">
        <v>104</v>
      </c>
      <c r="U509" s="1" t="s">
        <v>104</v>
      </c>
      <c r="V509" s="1" t="s">
        <v>104</v>
      </c>
      <c r="W509" s="1" t="s">
        <v>104</v>
      </c>
      <c r="X509" s="1" t="s">
        <v>729</v>
      </c>
      <c r="Y509" s="1"/>
      <c r="Z509" s="8"/>
      <c r="AA509" s="8">
        <v>1</v>
      </c>
      <c r="AB509" s="8">
        <v>1</v>
      </c>
      <c r="AC509" s="8">
        <v>1</v>
      </c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>
        <v>1</v>
      </c>
      <c r="AT509" s="8">
        <v>1</v>
      </c>
      <c r="AU509" s="8"/>
      <c r="AV509" s="8"/>
      <c r="AW509" s="8"/>
      <c r="AX509" s="8"/>
      <c r="AY509" s="8"/>
      <c r="AZ509" s="8"/>
      <c r="BA509" s="8"/>
      <c r="BB509" s="1"/>
      <c r="BL509" s="58"/>
      <c r="BP509" t="str">
        <f t="shared" si="18"/>
        <v>BugFlying</v>
      </c>
      <c r="BQ509" t="s">
        <v>2</v>
      </c>
      <c r="BR509">
        <v>7</v>
      </c>
    </row>
    <row r="510" spans="1:70" x14ac:dyDescent="0.25">
      <c r="A510">
        <f t="shared" si="19"/>
        <v>463</v>
      </c>
      <c r="B510" t="s">
        <v>576</v>
      </c>
      <c r="D510" s="1" t="s">
        <v>17</v>
      </c>
      <c r="E510" s="1" t="s">
        <v>16</v>
      </c>
      <c r="F510" s="1" t="s">
        <v>50</v>
      </c>
      <c r="G510" s="1" t="s">
        <v>50</v>
      </c>
      <c r="H510" s="1" t="s">
        <v>50</v>
      </c>
      <c r="I510" s="1" t="s">
        <v>50</v>
      </c>
      <c r="J510" s="1" t="s">
        <v>50</v>
      </c>
      <c r="K510" s="1" t="s">
        <v>50</v>
      </c>
      <c r="L510" s="1"/>
      <c r="M510" s="1" t="s">
        <v>104</v>
      </c>
      <c r="N510" s="1" t="s">
        <v>50</v>
      </c>
      <c r="O510" s="1" t="s">
        <v>50</v>
      </c>
      <c r="P510" s="1" t="s">
        <v>104</v>
      </c>
      <c r="Q510" s="1" t="s">
        <v>104</v>
      </c>
      <c r="R510" s="1" t="s">
        <v>104</v>
      </c>
      <c r="S510" s="1" t="s">
        <v>104</v>
      </c>
      <c r="T510" s="1" t="s">
        <v>104</v>
      </c>
      <c r="U510" s="1" t="s">
        <v>104</v>
      </c>
      <c r="V510" s="1" t="s">
        <v>104</v>
      </c>
      <c r="W510" s="1" t="s">
        <v>104</v>
      </c>
      <c r="X510" s="1" t="s">
        <v>729</v>
      </c>
      <c r="Y510" s="1"/>
      <c r="Z510" s="8"/>
      <c r="AA510" s="8">
        <v>1</v>
      </c>
      <c r="AB510" s="8">
        <v>1</v>
      </c>
      <c r="AC510" s="8">
        <v>1</v>
      </c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>
        <v>1</v>
      </c>
      <c r="AT510" s="8">
        <v>1</v>
      </c>
      <c r="AU510" s="8"/>
      <c r="AV510" s="8"/>
      <c r="AW510" s="8"/>
      <c r="AX510" s="8"/>
      <c r="AY510" s="8"/>
      <c r="AZ510" s="8"/>
      <c r="BA510" s="8"/>
      <c r="BB510" s="1"/>
      <c r="BJ510">
        <v>3</v>
      </c>
      <c r="BL510" s="58"/>
      <c r="BP510" t="str">
        <f t="shared" si="18"/>
        <v>BugFlying</v>
      </c>
      <c r="BR510">
        <v>7</v>
      </c>
    </row>
    <row r="511" spans="1:70" x14ac:dyDescent="0.25">
      <c r="A511">
        <f t="shared" si="19"/>
        <v>464</v>
      </c>
      <c r="B511" t="s">
        <v>577</v>
      </c>
      <c r="D511" s="1" t="s">
        <v>4</v>
      </c>
      <c r="E511" s="1">
        <v>0</v>
      </c>
      <c r="F511" s="1" t="s">
        <v>50</v>
      </c>
      <c r="G511" s="1" t="s">
        <v>50</v>
      </c>
      <c r="H511" s="1"/>
      <c r="I511" s="1" t="s">
        <v>50</v>
      </c>
      <c r="J511" s="1" t="s">
        <v>50</v>
      </c>
      <c r="K511" s="1" t="s">
        <v>50</v>
      </c>
      <c r="L511" s="1"/>
      <c r="M511" s="1" t="s">
        <v>50</v>
      </c>
      <c r="N511" s="1" t="s">
        <v>50</v>
      </c>
      <c r="O511" s="1" t="s">
        <v>50</v>
      </c>
      <c r="P511" s="1" t="s">
        <v>104</v>
      </c>
      <c r="Q511" s="1" t="s">
        <v>104</v>
      </c>
      <c r="R511" s="1" t="s">
        <v>104</v>
      </c>
      <c r="S511" s="1" t="s">
        <v>104</v>
      </c>
      <c r="T511" s="1" t="s">
        <v>104</v>
      </c>
      <c r="U511" s="1" t="s">
        <v>104</v>
      </c>
      <c r="V511" s="1" t="s">
        <v>104</v>
      </c>
      <c r="W511" s="1" t="s">
        <v>104</v>
      </c>
      <c r="X511" s="1" t="s">
        <v>733</v>
      </c>
      <c r="Y511" s="1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>
        <v>1</v>
      </c>
      <c r="AT511" s="8"/>
      <c r="AU511" s="8">
        <v>1</v>
      </c>
      <c r="AV511" s="8"/>
      <c r="AW511" s="8"/>
      <c r="AX511" s="8"/>
      <c r="AY511" s="8"/>
      <c r="AZ511" s="8"/>
      <c r="BA511" s="8"/>
      <c r="BB511" s="1"/>
      <c r="BL511" s="58"/>
      <c r="BP511" t="str">
        <f t="shared" si="18"/>
        <v>Psychic0</v>
      </c>
      <c r="BQ511" t="s">
        <v>2</v>
      </c>
      <c r="BR511">
        <v>1</v>
      </c>
    </row>
    <row r="512" spans="1:70" x14ac:dyDescent="0.25">
      <c r="A512">
        <f t="shared" si="19"/>
        <v>465</v>
      </c>
      <c r="B512" t="s">
        <v>578</v>
      </c>
      <c r="D512" s="1" t="s">
        <v>4</v>
      </c>
      <c r="E512" s="1">
        <v>0</v>
      </c>
      <c r="F512" s="1" t="s">
        <v>50</v>
      </c>
      <c r="G512" s="1" t="s">
        <v>50</v>
      </c>
      <c r="H512" s="1" t="s">
        <v>50</v>
      </c>
      <c r="I512" s="1" t="s">
        <v>50</v>
      </c>
      <c r="J512" s="1" t="s">
        <v>50</v>
      </c>
      <c r="K512" s="1" t="s">
        <v>50</v>
      </c>
      <c r="L512" s="1"/>
      <c r="M512" s="1" t="s">
        <v>104</v>
      </c>
      <c r="N512" s="1" t="s">
        <v>50</v>
      </c>
      <c r="O512" s="1" t="s">
        <v>50</v>
      </c>
      <c r="P512" s="1" t="s">
        <v>104</v>
      </c>
      <c r="Q512" s="1" t="s">
        <v>104</v>
      </c>
      <c r="R512" s="1" t="s">
        <v>104</v>
      </c>
      <c r="S512" s="1" t="s">
        <v>104</v>
      </c>
      <c r="T512" s="1" t="s">
        <v>104</v>
      </c>
      <c r="U512" s="1" t="s">
        <v>104</v>
      </c>
      <c r="V512" s="1" t="s">
        <v>104</v>
      </c>
      <c r="W512" s="1" t="s">
        <v>104</v>
      </c>
      <c r="X512" s="1" t="s">
        <v>733</v>
      </c>
      <c r="Y512" s="1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>
        <v>1</v>
      </c>
      <c r="AT512" s="8"/>
      <c r="AU512" s="8">
        <v>1</v>
      </c>
      <c r="AV512" s="8"/>
      <c r="AW512" s="8"/>
      <c r="AX512" s="8"/>
      <c r="AY512" s="8"/>
      <c r="AZ512" s="8"/>
      <c r="BA512" s="8"/>
      <c r="BB512" s="1"/>
      <c r="BJ512">
        <v>5</v>
      </c>
      <c r="BK512">
        <v>1</v>
      </c>
      <c r="BL512" s="58"/>
      <c r="BP512" t="str">
        <f t="shared" si="18"/>
        <v>Psychic0</v>
      </c>
      <c r="BR512">
        <v>1</v>
      </c>
    </row>
    <row r="513" spans="1:70" x14ac:dyDescent="0.25">
      <c r="A513">
        <f t="shared" si="19"/>
        <v>466</v>
      </c>
      <c r="B513" t="s">
        <v>579</v>
      </c>
      <c r="D513" s="1" t="s">
        <v>5</v>
      </c>
      <c r="E513" s="1" t="s">
        <v>1</v>
      </c>
      <c r="F513" s="1" t="s">
        <v>50</v>
      </c>
      <c r="G513" s="1" t="s">
        <v>50</v>
      </c>
      <c r="H513" s="1"/>
      <c r="I513" s="1" t="s">
        <v>50</v>
      </c>
      <c r="J513" s="1" t="s">
        <v>50</v>
      </c>
      <c r="K513" s="1" t="s">
        <v>50</v>
      </c>
      <c r="L513" s="1" t="s">
        <v>50</v>
      </c>
      <c r="M513" s="1" t="s">
        <v>50</v>
      </c>
      <c r="N513" s="1" t="s">
        <v>50</v>
      </c>
      <c r="O513" s="1" t="s">
        <v>50</v>
      </c>
      <c r="P513" s="1" t="s">
        <v>104</v>
      </c>
      <c r="Q513" s="1" t="s">
        <v>104</v>
      </c>
      <c r="R513" s="1" t="s">
        <v>104</v>
      </c>
      <c r="S513" s="1" t="s">
        <v>104</v>
      </c>
      <c r="T513" s="1" t="s">
        <v>104</v>
      </c>
      <c r="U513" s="1" t="s">
        <v>104</v>
      </c>
      <c r="V513" s="1" t="s">
        <v>104</v>
      </c>
      <c r="W513" s="1" t="s">
        <v>104</v>
      </c>
      <c r="X513" s="1" t="s">
        <v>727</v>
      </c>
      <c r="Y513" s="1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>
        <v>1</v>
      </c>
      <c r="AP513" s="8">
        <v>1</v>
      </c>
      <c r="AQ513" s="8">
        <v>1</v>
      </c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1"/>
      <c r="BL513" s="58"/>
      <c r="BP513" t="str">
        <f t="shared" si="18"/>
        <v>IceNormal</v>
      </c>
      <c r="BQ513" t="s">
        <v>2</v>
      </c>
      <c r="BR513">
        <v>8</v>
      </c>
    </row>
    <row r="514" spans="1:70" x14ac:dyDescent="0.25">
      <c r="A514">
        <f t="shared" si="19"/>
        <v>467</v>
      </c>
      <c r="B514" t="s">
        <v>580</v>
      </c>
      <c r="D514" s="1" t="s">
        <v>5</v>
      </c>
      <c r="E514" s="1" t="s">
        <v>1</v>
      </c>
      <c r="F514" s="1" t="s">
        <v>50</v>
      </c>
      <c r="G514" s="1" t="s">
        <v>50</v>
      </c>
      <c r="H514" s="1" t="s">
        <v>50</v>
      </c>
      <c r="I514" s="1" t="s">
        <v>50</v>
      </c>
      <c r="J514" s="1" t="s">
        <v>50</v>
      </c>
      <c r="K514" s="1" t="s">
        <v>50</v>
      </c>
      <c r="L514" s="1"/>
      <c r="M514" s="1" t="s">
        <v>104</v>
      </c>
      <c r="N514" s="1" t="s">
        <v>50</v>
      </c>
      <c r="O514" s="1" t="s">
        <v>50</v>
      </c>
      <c r="P514" s="1" t="s">
        <v>104</v>
      </c>
      <c r="Q514" s="1" t="s">
        <v>104</v>
      </c>
      <c r="R514" s="1" t="s">
        <v>104</v>
      </c>
      <c r="S514" s="1" t="s">
        <v>104</v>
      </c>
      <c r="T514" s="1" t="s">
        <v>104</v>
      </c>
      <c r="U514" s="1" t="s">
        <v>104</v>
      </c>
      <c r="V514" s="1" t="s">
        <v>104</v>
      </c>
      <c r="W514" s="1" t="s">
        <v>104</v>
      </c>
      <c r="X514" s="1" t="s">
        <v>727</v>
      </c>
      <c r="Y514" s="1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>
        <v>1</v>
      </c>
      <c r="AP514" s="8">
        <v>1</v>
      </c>
      <c r="AQ514" s="8">
        <v>1</v>
      </c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1"/>
      <c r="BJ514">
        <v>1</v>
      </c>
      <c r="BL514" s="58"/>
      <c r="BP514" t="str">
        <f t="shared" ref="BP514:BP577" si="20">D514&amp;E514</f>
        <v>IceNormal</v>
      </c>
      <c r="BR514">
        <v>8</v>
      </c>
    </row>
    <row r="515" spans="1:70" x14ac:dyDescent="0.25">
      <c r="A515">
        <f t="shared" si="19"/>
        <v>468</v>
      </c>
      <c r="B515" t="s">
        <v>581</v>
      </c>
      <c r="D515" s="1" t="s">
        <v>13</v>
      </c>
      <c r="E515" s="1" t="s">
        <v>8</v>
      </c>
      <c r="F515" s="1" t="s">
        <v>50</v>
      </c>
      <c r="G515" s="1" t="s">
        <v>50</v>
      </c>
      <c r="H515" s="1"/>
      <c r="I515" s="1" t="s">
        <v>50</v>
      </c>
      <c r="J515" s="13" t="s">
        <v>50</v>
      </c>
      <c r="K515" s="1" t="s">
        <v>50</v>
      </c>
      <c r="L515" s="1" t="s">
        <v>1767</v>
      </c>
      <c r="M515" s="1" t="s">
        <v>50</v>
      </c>
      <c r="N515" s="1" t="s">
        <v>50</v>
      </c>
      <c r="O515" s="1" t="s">
        <v>50</v>
      </c>
      <c r="P515" s="13" t="s">
        <v>2066</v>
      </c>
      <c r="Q515" s="1" t="s">
        <v>104</v>
      </c>
      <c r="R515" s="1" t="s">
        <v>104</v>
      </c>
      <c r="S515" s="1" t="s">
        <v>104</v>
      </c>
      <c r="T515" s="1" t="s">
        <v>104</v>
      </c>
      <c r="U515" s="1" t="s">
        <v>104</v>
      </c>
      <c r="V515" s="1" t="s">
        <v>104</v>
      </c>
      <c r="W515" s="1" t="s">
        <v>104</v>
      </c>
      <c r="X515" s="1" t="s">
        <v>737</v>
      </c>
      <c r="Y515" s="1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>
        <v>1</v>
      </c>
      <c r="AW515" s="8">
        <v>1</v>
      </c>
      <c r="AX515" s="8"/>
      <c r="AY515" s="8"/>
      <c r="AZ515" s="8"/>
      <c r="BA515" s="8"/>
      <c r="BB515" s="1"/>
      <c r="BL515" s="58"/>
      <c r="BP515" t="str">
        <f t="shared" si="20"/>
        <v>FireGround</v>
      </c>
      <c r="BQ515" t="s">
        <v>2</v>
      </c>
      <c r="BR515">
        <v>1</v>
      </c>
    </row>
    <row r="516" spans="1:70" x14ac:dyDescent="0.25">
      <c r="A516">
        <f t="shared" si="19"/>
        <v>469</v>
      </c>
      <c r="B516" t="s">
        <v>582</v>
      </c>
      <c r="D516" s="1" t="s">
        <v>13</v>
      </c>
      <c r="E516" s="1" t="s">
        <v>8</v>
      </c>
      <c r="F516" s="1" t="s">
        <v>50</v>
      </c>
      <c r="G516" s="1" t="s">
        <v>50</v>
      </c>
      <c r="H516" s="1" t="s">
        <v>50</v>
      </c>
      <c r="I516" s="1" t="s">
        <v>50</v>
      </c>
      <c r="J516" s="13" t="s">
        <v>50</v>
      </c>
      <c r="K516" s="1" t="s">
        <v>50</v>
      </c>
      <c r="L516" s="1" t="s">
        <v>1767</v>
      </c>
      <c r="M516" s="1" t="s">
        <v>104</v>
      </c>
      <c r="N516" s="1" t="s">
        <v>50</v>
      </c>
      <c r="O516" s="1" t="s">
        <v>50</v>
      </c>
      <c r="P516" s="13" t="s">
        <v>2066</v>
      </c>
      <c r="Q516" s="1" t="s">
        <v>1767</v>
      </c>
      <c r="R516" s="1" t="s">
        <v>1767</v>
      </c>
      <c r="S516" s="1" t="s">
        <v>104</v>
      </c>
      <c r="T516" s="1" t="s">
        <v>1767</v>
      </c>
      <c r="U516" s="1" t="s">
        <v>1767</v>
      </c>
      <c r="V516" s="1" t="s">
        <v>1767</v>
      </c>
      <c r="W516" s="1" t="s">
        <v>1767</v>
      </c>
      <c r="X516" s="1" t="s">
        <v>737</v>
      </c>
      <c r="Y516" s="1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>
        <v>1</v>
      </c>
      <c r="AW516" s="8">
        <v>1</v>
      </c>
      <c r="AX516" s="8"/>
      <c r="AY516" s="8"/>
      <c r="AZ516" s="8"/>
      <c r="BA516" s="8"/>
      <c r="BB516" s="1"/>
      <c r="BJ516">
        <v>1</v>
      </c>
      <c r="BL516" s="58"/>
      <c r="BP516" t="str">
        <f t="shared" si="20"/>
        <v>FireGround</v>
      </c>
      <c r="BR516">
        <v>1</v>
      </c>
    </row>
    <row r="517" spans="1:70" x14ac:dyDescent="0.25">
      <c r="A517">
        <f t="shared" si="19"/>
        <v>470</v>
      </c>
      <c r="B517" t="s">
        <v>583</v>
      </c>
      <c r="D517" s="1" t="s">
        <v>5</v>
      </c>
      <c r="E517" s="1" t="s">
        <v>8</v>
      </c>
      <c r="F517" s="1" t="s">
        <v>50</v>
      </c>
      <c r="G517" s="1" t="s">
        <v>50</v>
      </c>
      <c r="H517" s="1"/>
      <c r="I517" s="1" t="s">
        <v>50</v>
      </c>
      <c r="J517" s="13" t="s">
        <v>50</v>
      </c>
      <c r="K517" s="1" t="s">
        <v>50</v>
      </c>
      <c r="L517" s="1" t="s">
        <v>104</v>
      </c>
      <c r="M517" s="1" t="s">
        <v>50</v>
      </c>
      <c r="N517" s="1" t="s">
        <v>50</v>
      </c>
      <c r="O517" s="1" t="s">
        <v>50</v>
      </c>
      <c r="P517" s="13" t="s">
        <v>1840</v>
      </c>
      <c r="Q517" s="1" t="s">
        <v>104</v>
      </c>
      <c r="R517" s="1" t="s">
        <v>104</v>
      </c>
      <c r="S517" s="1" t="s">
        <v>104</v>
      </c>
      <c r="T517" s="1" t="s">
        <v>104</v>
      </c>
      <c r="U517" s="1" t="s">
        <v>104</v>
      </c>
      <c r="V517" s="1" t="s">
        <v>104</v>
      </c>
      <c r="W517" s="1" t="s">
        <v>104</v>
      </c>
      <c r="X517" s="1" t="s">
        <v>727</v>
      </c>
      <c r="Y517" s="1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>
        <v>1</v>
      </c>
      <c r="AP517" s="8">
        <v>1</v>
      </c>
      <c r="AQ517" s="8">
        <v>1</v>
      </c>
      <c r="AR517" s="8">
        <v>1</v>
      </c>
      <c r="AS517" s="8"/>
      <c r="AT517" s="8"/>
      <c r="AU517" s="8"/>
      <c r="AV517" s="8"/>
      <c r="AW517" s="8"/>
      <c r="AX517" s="8">
        <v>1</v>
      </c>
      <c r="AY517" s="8"/>
      <c r="AZ517" s="8"/>
      <c r="BA517" s="8"/>
      <c r="BB517" s="1"/>
      <c r="BL517" s="58"/>
      <c r="BP517" t="str">
        <f t="shared" si="20"/>
        <v>IceGround</v>
      </c>
      <c r="BQ517" t="s">
        <v>2</v>
      </c>
      <c r="BR517">
        <v>2</v>
      </c>
    </row>
    <row r="518" spans="1:70" x14ac:dyDescent="0.25">
      <c r="A518">
        <f t="shared" si="19"/>
        <v>471</v>
      </c>
      <c r="B518" t="s">
        <v>584</v>
      </c>
      <c r="D518" s="1" t="s">
        <v>5</v>
      </c>
      <c r="E518" s="1" t="s">
        <v>8</v>
      </c>
      <c r="F518" s="1" t="s">
        <v>50</v>
      </c>
      <c r="G518" s="1" t="s">
        <v>50</v>
      </c>
      <c r="H518" s="1" t="s">
        <v>50</v>
      </c>
      <c r="I518" s="1" t="s">
        <v>50</v>
      </c>
      <c r="J518" s="13" t="s">
        <v>50</v>
      </c>
      <c r="K518" s="1" t="s">
        <v>50</v>
      </c>
      <c r="L518" s="1" t="s">
        <v>104</v>
      </c>
      <c r="M518" s="1" t="s">
        <v>104</v>
      </c>
      <c r="N518" s="1" t="s">
        <v>50</v>
      </c>
      <c r="O518" s="1" t="s">
        <v>50</v>
      </c>
      <c r="P518" s="13" t="s">
        <v>1840</v>
      </c>
      <c r="Q518" s="1" t="s">
        <v>50</v>
      </c>
      <c r="R518" s="1" t="s">
        <v>50</v>
      </c>
      <c r="S518" s="1" t="s">
        <v>50</v>
      </c>
      <c r="T518" s="1" t="s">
        <v>50</v>
      </c>
      <c r="U518" s="1" t="s">
        <v>50</v>
      </c>
      <c r="V518" s="1" t="s">
        <v>50</v>
      </c>
      <c r="W518" s="1" t="s">
        <v>50</v>
      </c>
      <c r="X518" s="1" t="s">
        <v>727</v>
      </c>
      <c r="Y518" s="1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>
        <v>1</v>
      </c>
      <c r="AP518" s="8">
        <v>1</v>
      </c>
      <c r="AQ518" s="8">
        <v>1</v>
      </c>
      <c r="AR518" s="8">
        <v>1</v>
      </c>
      <c r="AS518" s="8"/>
      <c r="AT518" s="8"/>
      <c r="AU518" s="8"/>
      <c r="AV518" s="8"/>
      <c r="AW518" s="8"/>
      <c r="AX518" s="8">
        <v>1</v>
      </c>
      <c r="AY518" s="8"/>
      <c r="AZ518" s="8"/>
      <c r="BA518" s="8"/>
      <c r="BB518" s="1"/>
      <c r="BJ518">
        <v>5</v>
      </c>
      <c r="BK518">
        <v>1</v>
      </c>
      <c r="BL518" s="58"/>
      <c r="BP518" t="str">
        <f t="shared" si="20"/>
        <v>IceGround</v>
      </c>
      <c r="BR518">
        <v>2</v>
      </c>
    </row>
    <row r="519" spans="1:70" x14ac:dyDescent="0.25">
      <c r="A519">
        <f t="shared" si="19"/>
        <v>472</v>
      </c>
      <c r="B519" t="s">
        <v>585</v>
      </c>
      <c r="D519" s="1" t="s">
        <v>11</v>
      </c>
      <c r="E519" s="1" t="s">
        <v>16</v>
      </c>
      <c r="F519" s="1" t="s">
        <v>50</v>
      </c>
      <c r="G519" s="1" t="s">
        <v>50</v>
      </c>
      <c r="H519" s="1"/>
      <c r="I519" s="1" t="s">
        <v>50</v>
      </c>
      <c r="J519" s="13" t="s">
        <v>50</v>
      </c>
      <c r="K519" s="1" t="s">
        <v>50</v>
      </c>
      <c r="L519" s="1" t="s">
        <v>50</v>
      </c>
      <c r="M519" s="1" t="s">
        <v>50</v>
      </c>
      <c r="N519" s="1" t="s">
        <v>50</v>
      </c>
      <c r="O519" s="1" t="s">
        <v>50</v>
      </c>
      <c r="P519" s="1" t="s">
        <v>730</v>
      </c>
      <c r="Q519" s="1" t="s">
        <v>104</v>
      </c>
      <c r="R519" s="1" t="s">
        <v>104</v>
      </c>
      <c r="S519" s="1" t="s">
        <v>104</v>
      </c>
      <c r="T519" s="1" t="s">
        <v>104</v>
      </c>
      <c r="U519" s="1" t="s">
        <v>104</v>
      </c>
      <c r="V519" s="1" t="s">
        <v>104</v>
      </c>
      <c r="W519" s="1" t="s">
        <v>104</v>
      </c>
      <c r="X519" s="1" t="s">
        <v>735</v>
      </c>
      <c r="Y519" s="1"/>
      <c r="Z519" s="8"/>
      <c r="AA519" s="8">
        <v>1</v>
      </c>
      <c r="AB519" s="8">
        <v>1</v>
      </c>
      <c r="AC519" s="8"/>
      <c r="AD519" s="8"/>
      <c r="AE519" s="8"/>
      <c r="AF519" s="8"/>
      <c r="AG519" s="8"/>
      <c r="AH519" s="8"/>
      <c r="AI519" s="8"/>
      <c r="AJ519" s="8">
        <v>1</v>
      </c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>
        <v>1</v>
      </c>
      <c r="AY519" s="8"/>
      <c r="AZ519" s="8"/>
      <c r="BA519" s="8"/>
      <c r="BB519" s="1"/>
      <c r="BL519" s="58"/>
      <c r="BP519" t="str">
        <f t="shared" si="20"/>
        <v>GrassFlying</v>
      </c>
      <c r="BQ519" t="s">
        <v>2</v>
      </c>
      <c r="BR519">
        <v>7</v>
      </c>
    </row>
    <row r="520" spans="1:70" x14ac:dyDescent="0.25">
      <c r="A520">
        <f t="shared" si="19"/>
        <v>473</v>
      </c>
      <c r="B520" t="s">
        <v>586</v>
      </c>
      <c r="D520" s="1" t="s">
        <v>11</v>
      </c>
      <c r="E520" s="1" t="s">
        <v>16</v>
      </c>
      <c r="F520" s="1" t="s">
        <v>50</v>
      </c>
      <c r="G520" s="1" t="s">
        <v>50</v>
      </c>
      <c r="H520" s="1"/>
      <c r="I520" s="1" t="s">
        <v>50</v>
      </c>
      <c r="J520" s="13" t="s">
        <v>50</v>
      </c>
      <c r="K520" s="1" t="s">
        <v>50</v>
      </c>
      <c r="L520" s="1"/>
      <c r="M520" s="1" t="s">
        <v>104</v>
      </c>
      <c r="N520" s="1" t="s">
        <v>50</v>
      </c>
      <c r="O520" s="1" t="s">
        <v>50</v>
      </c>
      <c r="P520" s="1" t="s">
        <v>730</v>
      </c>
      <c r="Q520" s="1" t="s">
        <v>104</v>
      </c>
      <c r="R520" s="1" t="s">
        <v>104</v>
      </c>
      <c r="S520" s="1" t="s">
        <v>104</v>
      </c>
      <c r="T520" s="1" t="s">
        <v>104</v>
      </c>
      <c r="U520" s="1" t="s">
        <v>104</v>
      </c>
      <c r="V520" s="1" t="s">
        <v>104</v>
      </c>
      <c r="W520" s="1" t="s">
        <v>104</v>
      </c>
      <c r="X520" s="1" t="s">
        <v>735</v>
      </c>
      <c r="Y520" s="1"/>
      <c r="Z520" s="8"/>
      <c r="AA520" s="8">
        <v>1</v>
      </c>
      <c r="AB520" s="8">
        <v>1</v>
      </c>
      <c r="AC520" s="8"/>
      <c r="AD520" s="8"/>
      <c r="AE520" s="8"/>
      <c r="AF520" s="8"/>
      <c r="AG520" s="8"/>
      <c r="AH520" s="8"/>
      <c r="AI520" s="8"/>
      <c r="AJ520" s="8">
        <v>1</v>
      </c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>
        <v>1</v>
      </c>
      <c r="AY520" s="8"/>
      <c r="AZ520" s="8"/>
      <c r="BA520" s="8"/>
      <c r="BB520" s="1"/>
      <c r="BL520" s="58"/>
      <c r="BP520" t="str">
        <f t="shared" si="20"/>
        <v>GrassFlying</v>
      </c>
      <c r="BQ520" t="s">
        <v>2</v>
      </c>
      <c r="BR520">
        <v>7</v>
      </c>
    </row>
    <row r="521" spans="1:70" x14ac:dyDescent="0.25">
      <c r="A521">
        <f t="shared" ref="A521:A584" si="21">A520+1</f>
        <v>474</v>
      </c>
      <c r="B521" t="s">
        <v>587</v>
      </c>
      <c r="D521" s="1" t="s">
        <v>11</v>
      </c>
      <c r="E521" s="1" t="s">
        <v>16</v>
      </c>
      <c r="F521" s="1" t="s">
        <v>50</v>
      </c>
      <c r="G521" s="1" t="s">
        <v>50</v>
      </c>
      <c r="H521" s="1" t="s">
        <v>50</v>
      </c>
      <c r="I521" s="1" t="s">
        <v>50</v>
      </c>
      <c r="J521" s="13" t="s">
        <v>50</v>
      </c>
      <c r="K521" s="1" t="s">
        <v>50</v>
      </c>
      <c r="L521" s="1" t="s">
        <v>50</v>
      </c>
      <c r="M521" s="1" t="s">
        <v>104</v>
      </c>
      <c r="N521" s="1" t="s">
        <v>50</v>
      </c>
      <c r="O521" s="1" t="s">
        <v>50</v>
      </c>
      <c r="P521" s="1" t="s">
        <v>730</v>
      </c>
      <c r="Q521" s="1" t="s">
        <v>104</v>
      </c>
      <c r="R521" s="1" t="s">
        <v>104</v>
      </c>
      <c r="S521" s="1" t="s">
        <v>104</v>
      </c>
      <c r="T521" s="1" t="s">
        <v>104</v>
      </c>
      <c r="U521" s="1" t="s">
        <v>104</v>
      </c>
      <c r="V521" s="1" t="s">
        <v>104</v>
      </c>
      <c r="W521" s="1" t="s">
        <v>104</v>
      </c>
      <c r="X521" s="1" t="s">
        <v>735</v>
      </c>
      <c r="Y521" s="1"/>
      <c r="Z521" s="8"/>
      <c r="AA521" s="8">
        <v>1</v>
      </c>
      <c r="AB521" s="8">
        <v>1</v>
      </c>
      <c r="AC521" s="8"/>
      <c r="AD521" s="8"/>
      <c r="AE521" s="8"/>
      <c r="AF521" s="8"/>
      <c r="AG521" s="8"/>
      <c r="AH521" s="8"/>
      <c r="AI521" s="8"/>
      <c r="AJ521" s="8">
        <v>1</v>
      </c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>
        <v>1</v>
      </c>
      <c r="AY521" s="8"/>
      <c r="AZ521" s="8"/>
      <c r="BA521" s="8"/>
      <c r="BB521" s="1"/>
      <c r="BJ521">
        <v>5</v>
      </c>
      <c r="BL521" s="58"/>
      <c r="BP521" t="str">
        <f t="shared" si="20"/>
        <v>GrassFlying</v>
      </c>
      <c r="BR521">
        <v>7</v>
      </c>
    </row>
    <row r="522" spans="1:70" x14ac:dyDescent="0.25">
      <c r="A522">
        <f t="shared" si="21"/>
        <v>475</v>
      </c>
      <c r="B522" t="s">
        <v>588</v>
      </c>
      <c r="D522" s="1" t="s">
        <v>9</v>
      </c>
      <c r="E522" s="1" t="s">
        <v>7</v>
      </c>
      <c r="F522" s="1" t="s">
        <v>50</v>
      </c>
      <c r="G522" s="1" t="s">
        <v>50</v>
      </c>
      <c r="H522" s="1"/>
      <c r="I522" s="1" t="s">
        <v>50</v>
      </c>
      <c r="J522" s="13" t="s">
        <v>50</v>
      </c>
      <c r="K522" s="1" t="s">
        <v>50</v>
      </c>
      <c r="L522" s="1"/>
      <c r="M522" s="1" t="s">
        <v>50</v>
      </c>
      <c r="N522" s="1" t="s">
        <v>50</v>
      </c>
      <c r="O522" s="1" t="s">
        <v>50</v>
      </c>
      <c r="P522" s="1" t="s">
        <v>104</v>
      </c>
      <c r="Q522" s="1" t="s">
        <v>104</v>
      </c>
      <c r="R522" s="1" t="s">
        <v>104</v>
      </c>
      <c r="S522" s="1" t="s">
        <v>104</v>
      </c>
      <c r="T522" s="1" t="s">
        <v>104</v>
      </c>
      <c r="U522" s="1" t="s">
        <v>104</v>
      </c>
      <c r="V522" s="1" t="s">
        <v>104</v>
      </c>
      <c r="W522" s="1" t="s">
        <v>104</v>
      </c>
      <c r="X522" s="1" t="s">
        <v>727</v>
      </c>
      <c r="Y522" s="1"/>
      <c r="Z522" s="8"/>
      <c r="AA522" s="8"/>
      <c r="AB522" s="8"/>
      <c r="AC522" s="8"/>
      <c r="AD522" s="8">
        <v>1</v>
      </c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>
        <v>1</v>
      </c>
      <c r="AS522" s="8"/>
      <c r="AT522" s="8"/>
      <c r="AU522" s="8"/>
      <c r="AV522" s="8"/>
      <c r="AW522" s="8"/>
      <c r="AX522" s="8">
        <v>1</v>
      </c>
      <c r="AY522" s="8">
        <v>1</v>
      </c>
      <c r="AZ522" s="8"/>
      <c r="BA522" s="8"/>
      <c r="BB522" s="1"/>
      <c r="BL522" s="58"/>
      <c r="BP522" t="str">
        <f t="shared" si="20"/>
        <v>RockFairy</v>
      </c>
      <c r="BQ522" t="s">
        <v>2</v>
      </c>
      <c r="BR522">
        <v>2</v>
      </c>
    </row>
    <row r="523" spans="1:70" x14ac:dyDescent="0.25">
      <c r="A523">
        <f t="shared" si="21"/>
        <v>476</v>
      </c>
      <c r="B523" t="s">
        <v>589</v>
      </c>
      <c r="D523" s="1" t="s">
        <v>9</v>
      </c>
      <c r="E523" s="1" t="s">
        <v>7</v>
      </c>
      <c r="F523" s="1" t="s">
        <v>50</v>
      </c>
      <c r="G523" s="1" t="s">
        <v>50</v>
      </c>
      <c r="H523" s="1" t="s">
        <v>50</v>
      </c>
      <c r="I523" s="1" t="s">
        <v>50</v>
      </c>
      <c r="J523" s="13" t="s">
        <v>50</v>
      </c>
      <c r="K523" s="1" t="s">
        <v>50</v>
      </c>
      <c r="L523" s="1" t="s">
        <v>50</v>
      </c>
      <c r="M523" s="1" t="s">
        <v>104</v>
      </c>
      <c r="N523" s="1" t="s">
        <v>50</v>
      </c>
      <c r="O523" s="1" t="s">
        <v>50</v>
      </c>
      <c r="P523" s="1" t="s">
        <v>104</v>
      </c>
      <c r="Q523" s="1" t="s">
        <v>1767</v>
      </c>
      <c r="R523" s="1" t="s">
        <v>1767</v>
      </c>
      <c r="S523" s="1" t="s">
        <v>104</v>
      </c>
      <c r="T523" s="1" t="s">
        <v>1767</v>
      </c>
      <c r="U523" s="1" t="s">
        <v>1767</v>
      </c>
      <c r="V523" s="1" t="s">
        <v>1767</v>
      </c>
      <c r="W523" s="1" t="s">
        <v>1767</v>
      </c>
      <c r="X523" s="1" t="s">
        <v>727</v>
      </c>
      <c r="Y523" s="1"/>
      <c r="Z523" s="8"/>
      <c r="AA523" s="8"/>
      <c r="AB523" s="8"/>
      <c r="AC523" s="8"/>
      <c r="AD523" s="8">
        <v>1</v>
      </c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>
        <v>1</v>
      </c>
      <c r="AS523" s="8"/>
      <c r="AT523" s="8"/>
      <c r="AU523" s="8"/>
      <c r="AV523" s="8"/>
      <c r="AW523" s="8"/>
      <c r="AX523" s="8">
        <v>1</v>
      </c>
      <c r="AY523" s="8">
        <v>1</v>
      </c>
      <c r="AZ523" s="8"/>
      <c r="BA523" s="8"/>
      <c r="BB523" s="1"/>
      <c r="BJ523">
        <v>1</v>
      </c>
      <c r="BL523" s="58"/>
      <c r="BP523" t="str">
        <f t="shared" si="20"/>
        <v>RockFairy</v>
      </c>
      <c r="BR523">
        <v>2</v>
      </c>
    </row>
    <row r="524" spans="1:70" x14ac:dyDescent="0.25">
      <c r="A524">
        <f t="shared" si="21"/>
        <v>477</v>
      </c>
      <c r="B524" t="s">
        <v>590</v>
      </c>
      <c r="D524" s="1" t="s">
        <v>5</v>
      </c>
      <c r="E524" s="1" t="s">
        <v>16</v>
      </c>
      <c r="F524" s="1" t="s">
        <v>50</v>
      </c>
      <c r="G524" s="1" t="s">
        <v>50</v>
      </c>
      <c r="H524" s="1"/>
      <c r="I524" s="1" t="s">
        <v>50</v>
      </c>
      <c r="J524" s="13" t="s">
        <v>50</v>
      </c>
      <c r="K524" s="1" t="s">
        <v>50</v>
      </c>
      <c r="L524" s="1"/>
      <c r="M524" s="1" t="s">
        <v>50</v>
      </c>
      <c r="N524" s="1" t="s">
        <v>50</v>
      </c>
      <c r="O524" s="1" t="s">
        <v>50</v>
      </c>
      <c r="P524" s="1" t="s">
        <v>104</v>
      </c>
      <c r="Q524" s="1" t="s">
        <v>104</v>
      </c>
      <c r="R524" s="1" t="s">
        <v>104</v>
      </c>
      <c r="S524" s="1" t="s">
        <v>104</v>
      </c>
      <c r="T524" s="1" t="s">
        <v>104</v>
      </c>
      <c r="U524" s="1" t="s">
        <v>104</v>
      </c>
      <c r="V524" s="1" t="s">
        <v>104</v>
      </c>
      <c r="W524" s="1" t="s">
        <v>104</v>
      </c>
      <c r="X524" s="1" t="s">
        <v>736</v>
      </c>
      <c r="Y524" s="1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>
        <v>1</v>
      </c>
      <c r="AP524" s="8">
        <v>1</v>
      </c>
      <c r="AQ524" s="8">
        <v>1</v>
      </c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1"/>
      <c r="BL524" s="58"/>
      <c r="BP524" t="str">
        <f t="shared" si="20"/>
        <v>IceFlying</v>
      </c>
      <c r="BQ524" t="s">
        <v>2</v>
      </c>
      <c r="BR524">
        <v>2</v>
      </c>
    </row>
    <row r="525" spans="1:70" x14ac:dyDescent="0.25">
      <c r="A525">
        <f t="shared" si="21"/>
        <v>478</v>
      </c>
      <c r="B525" t="s">
        <v>591</v>
      </c>
      <c r="D525" s="1" t="s">
        <v>5</v>
      </c>
      <c r="E525" s="1" t="s">
        <v>16</v>
      </c>
      <c r="F525" s="1" t="s">
        <v>50</v>
      </c>
      <c r="G525" s="1" t="s">
        <v>50</v>
      </c>
      <c r="H525" s="1" t="s">
        <v>50</v>
      </c>
      <c r="I525" s="1" t="s">
        <v>50</v>
      </c>
      <c r="J525" s="13" t="s">
        <v>50</v>
      </c>
      <c r="K525" s="1" t="s">
        <v>50</v>
      </c>
      <c r="L525" s="1"/>
      <c r="M525" s="1" t="s">
        <v>104</v>
      </c>
      <c r="N525" s="1" t="s">
        <v>50</v>
      </c>
      <c r="O525" s="1" t="s">
        <v>50</v>
      </c>
      <c r="P525" s="1" t="s">
        <v>104</v>
      </c>
      <c r="Q525" s="1" t="s">
        <v>1767</v>
      </c>
      <c r="R525" s="1" t="s">
        <v>1767</v>
      </c>
      <c r="S525" s="1" t="s">
        <v>104</v>
      </c>
      <c r="T525" s="1" t="s">
        <v>1767</v>
      </c>
      <c r="U525" s="1" t="s">
        <v>1767</v>
      </c>
      <c r="V525" s="1" t="s">
        <v>1767</v>
      </c>
      <c r="W525" s="1" t="s">
        <v>1767</v>
      </c>
      <c r="X525" s="1" t="s">
        <v>736</v>
      </c>
      <c r="Y525" s="1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>
        <v>1</v>
      </c>
      <c r="AP525" s="8">
        <v>1</v>
      </c>
      <c r="AQ525" s="8">
        <v>1</v>
      </c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1"/>
      <c r="BJ525">
        <v>2</v>
      </c>
      <c r="BK525">
        <v>2</v>
      </c>
      <c r="BL525" s="58">
        <v>1</v>
      </c>
      <c r="BP525" t="str">
        <f t="shared" si="20"/>
        <v>IceFlying</v>
      </c>
      <c r="BR525">
        <v>2</v>
      </c>
    </row>
    <row r="526" spans="1:70" x14ac:dyDescent="0.25">
      <c r="A526">
        <f t="shared" si="21"/>
        <v>479</v>
      </c>
      <c r="B526" t="s">
        <v>592</v>
      </c>
      <c r="D526" s="1" t="s">
        <v>14</v>
      </c>
      <c r="E526" s="1" t="s">
        <v>18</v>
      </c>
      <c r="F526" s="1" t="s">
        <v>50</v>
      </c>
      <c r="G526" s="1" t="s">
        <v>50</v>
      </c>
      <c r="H526" s="1"/>
      <c r="I526" s="1" t="s">
        <v>50</v>
      </c>
      <c r="J526" s="13" t="s">
        <v>50</v>
      </c>
      <c r="K526" s="1" t="s">
        <v>50</v>
      </c>
      <c r="L526" s="1" t="s">
        <v>1767</v>
      </c>
      <c r="M526" s="1" t="s">
        <v>50</v>
      </c>
      <c r="N526" s="1" t="s">
        <v>50</v>
      </c>
      <c r="O526" s="1" t="s">
        <v>50</v>
      </c>
      <c r="P526" s="1" t="s">
        <v>104</v>
      </c>
      <c r="Q526" s="1" t="s">
        <v>104</v>
      </c>
      <c r="R526" s="1" t="s">
        <v>104</v>
      </c>
      <c r="S526" s="1" t="s">
        <v>104</v>
      </c>
      <c r="T526" s="1" t="s">
        <v>104</v>
      </c>
      <c r="U526" s="1" t="s">
        <v>104</v>
      </c>
      <c r="V526" s="1" t="s">
        <v>104</v>
      </c>
      <c r="W526" s="1" t="s">
        <v>104</v>
      </c>
      <c r="X526" s="1" t="s">
        <v>727</v>
      </c>
      <c r="Y526" s="1"/>
      <c r="Z526" s="8"/>
      <c r="AA526" s="8"/>
      <c r="AB526" s="8"/>
      <c r="AC526" s="8"/>
      <c r="AD526" s="8">
        <v>1</v>
      </c>
      <c r="AE526" s="8"/>
      <c r="AF526" s="8"/>
      <c r="AG526" s="8">
        <v>1</v>
      </c>
      <c r="AH526" s="8">
        <v>1</v>
      </c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>
        <v>1</v>
      </c>
      <c r="AT526" s="8">
        <v>1</v>
      </c>
      <c r="AU526" s="8"/>
      <c r="AV526" s="8"/>
      <c r="AW526" s="8"/>
      <c r="AX526" s="8"/>
      <c r="AY526" s="8"/>
      <c r="AZ526" s="8"/>
      <c r="BA526" s="8"/>
      <c r="BB526" s="1"/>
      <c r="BL526" s="58"/>
      <c r="BP526" t="str">
        <f t="shared" si="20"/>
        <v>GhostFighting</v>
      </c>
      <c r="BQ526" t="s">
        <v>2</v>
      </c>
      <c r="BR526">
        <v>7</v>
      </c>
    </row>
    <row r="527" spans="1:70" x14ac:dyDescent="0.25">
      <c r="A527">
        <f t="shared" si="21"/>
        <v>480</v>
      </c>
      <c r="B527" t="s">
        <v>593</v>
      </c>
      <c r="D527" s="1" t="s">
        <v>14</v>
      </c>
      <c r="E527" s="1" t="s">
        <v>18</v>
      </c>
      <c r="F527" s="1" t="s">
        <v>50</v>
      </c>
      <c r="G527" s="1" t="s">
        <v>50</v>
      </c>
      <c r="H527" s="1" t="s">
        <v>50</v>
      </c>
      <c r="I527" s="1" t="s">
        <v>50</v>
      </c>
      <c r="J527" s="13" t="s">
        <v>50</v>
      </c>
      <c r="K527" s="1" t="s">
        <v>50</v>
      </c>
      <c r="L527" s="1"/>
      <c r="M527" s="1" t="s">
        <v>104</v>
      </c>
      <c r="N527" s="1" t="s">
        <v>50</v>
      </c>
      <c r="O527" s="1" t="s">
        <v>50</v>
      </c>
      <c r="P527" s="1" t="s">
        <v>104</v>
      </c>
      <c r="Q527" s="1" t="s">
        <v>1767</v>
      </c>
      <c r="R527" s="1" t="s">
        <v>1767</v>
      </c>
      <c r="S527" s="1" t="s">
        <v>104</v>
      </c>
      <c r="T527" s="1" t="s">
        <v>1767</v>
      </c>
      <c r="U527" s="1" t="s">
        <v>1767</v>
      </c>
      <c r="V527" s="1" t="s">
        <v>1767</v>
      </c>
      <c r="W527" s="1" t="s">
        <v>1767</v>
      </c>
      <c r="X527" s="1" t="s">
        <v>727</v>
      </c>
      <c r="Y527" s="1"/>
      <c r="Z527" s="8"/>
      <c r="AA527" s="8"/>
      <c r="AB527" s="8"/>
      <c r="AC527" s="8"/>
      <c r="AD527" s="8">
        <v>1</v>
      </c>
      <c r="AE527" s="8"/>
      <c r="AF527" s="8"/>
      <c r="AG527" s="8">
        <v>1</v>
      </c>
      <c r="AH527" s="8">
        <v>1</v>
      </c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>
        <v>1</v>
      </c>
      <c r="AT527" s="8">
        <v>1</v>
      </c>
      <c r="AU527" s="8"/>
      <c r="AV527" s="8"/>
      <c r="AW527" s="8"/>
      <c r="AX527" s="8"/>
      <c r="AY527" s="8"/>
      <c r="AZ527" s="8"/>
      <c r="BA527" s="8"/>
      <c r="BB527" s="1"/>
      <c r="BJ527">
        <v>2</v>
      </c>
      <c r="BL527" s="58"/>
      <c r="BP527" t="str">
        <f t="shared" si="20"/>
        <v>GhostFighting</v>
      </c>
      <c r="BR527">
        <v>7</v>
      </c>
    </row>
    <row r="528" spans="1:70" x14ac:dyDescent="0.25">
      <c r="A528">
        <f t="shared" si="21"/>
        <v>481</v>
      </c>
      <c r="B528" t="s">
        <v>594</v>
      </c>
      <c r="D528" s="1" t="s">
        <v>44</v>
      </c>
      <c r="E528" s="1" t="s">
        <v>9</v>
      </c>
      <c r="F528" s="1" t="s">
        <v>50</v>
      </c>
      <c r="G528" s="1" t="s">
        <v>50</v>
      </c>
      <c r="H528" s="1" t="s">
        <v>50</v>
      </c>
      <c r="I528" s="1" t="s">
        <v>50</v>
      </c>
      <c r="J528" s="13" t="s">
        <v>50</v>
      </c>
      <c r="K528" s="1" t="s">
        <v>50</v>
      </c>
      <c r="L528" s="1" t="s">
        <v>50</v>
      </c>
      <c r="M528" s="1" t="s">
        <v>50</v>
      </c>
      <c r="N528" s="13" t="s">
        <v>50</v>
      </c>
      <c r="O528" s="13" t="s">
        <v>50</v>
      </c>
      <c r="P528" s="13" t="s">
        <v>1726</v>
      </c>
      <c r="Q528" s="1" t="s">
        <v>104</v>
      </c>
      <c r="R528" s="1" t="s">
        <v>104</v>
      </c>
      <c r="S528" s="1" t="s">
        <v>104</v>
      </c>
      <c r="T528" s="1" t="s">
        <v>104</v>
      </c>
      <c r="U528" s="1" t="s">
        <v>104</v>
      </c>
      <c r="V528" s="1" t="s">
        <v>104</v>
      </c>
      <c r="W528" s="1" t="s">
        <v>104</v>
      </c>
      <c r="X528" s="1" t="s">
        <v>727</v>
      </c>
      <c r="Y528" s="1"/>
      <c r="Z528" s="8"/>
      <c r="AA528" s="8"/>
      <c r="AB528" s="8"/>
      <c r="AC528" s="8"/>
      <c r="AD528" s="8">
        <v>1</v>
      </c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>
        <v>1</v>
      </c>
      <c r="AV528" s="8">
        <v>1</v>
      </c>
      <c r="AW528" s="8"/>
      <c r="AX528" s="8">
        <v>1</v>
      </c>
      <c r="AY528" s="8">
        <v>1</v>
      </c>
      <c r="AZ528" s="8"/>
      <c r="BA528" s="8"/>
      <c r="BB528" s="1"/>
      <c r="BJ528">
        <v>1</v>
      </c>
      <c r="BL528" s="58"/>
      <c r="BP528" t="str">
        <f t="shared" si="20"/>
        <v>LightRock</v>
      </c>
      <c r="BR528">
        <v>6</v>
      </c>
    </row>
    <row r="529" spans="1:70" x14ac:dyDescent="0.25">
      <c r="A529">
        <f t="shared" si="21"/>
        <v>482</v>
      </c>
      <c r="B529" t="s">
        <v>595</v>
      </c>
      <c r="D529" s="1" t="s">
        <v>14</v>
      </c>
      <c r="E529" s="1" t="s">
        <v>12</v>
      </c>
      <c r="F529" s="1" t="s">
        <v>50</v>
      </c>
      <c r="G529" s="1" t="s">
        <v>50</v>
      </c>
      <c r="H529" s="1"/>
      <c r="I529" s="1" t="s">
        <v>50</v>
      </c>
      <c r="J529" s="13" t="s">
        <v>50</v>
      </c>
      <c r="K529" s="1" t="s">
        <v>50</v>
      </c>
      <c r="L529" s="1"/>
      <c r="M529" s="1" t="s">
        <v>50</v>
      </c>
      <c r="N529" s="13" t="s">
        <v>50</v>
      </c>
      <c r="O529" s="1" t="s">
        <v>50</v>
      </c>
      <c r="P529" s="1" t="s">
        <v>104</v>
      </c>
      <c r="Q529" s="1" t="s">
        <v>104</v>
      </c>
      <c r="R529" s="1" t="s">
        <v>104</v>
      </c>
      <c r="S529" s="1" t="s">
        <v>104</v>
      </c>
      <c r="T529" s="1" t="s">
        <v>104</v>
      </c>
      <c r="U529" s="1" t="s">
        <v>104</v>
      </c>
      <c r="V529" s="1" t="s">
        <v>104</v>
      </c>
      <c r="W529" s="1" t="s">
        <v>104</v>
      </c>
      <c r="X529" s="1" t="s">
        <v>729</v>
      </c>
      <c r="Y529" s="1"/>
      <c r="Z529" s="8"/>
      <c r="AA529" s="8"/>
      <c r="AB529" s="8"/>
      <c r="AC529" s="8"/>
      <c r="AD529" s="8">
        <v>1</v>
      </c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>
        <v>1</v>
      </c>
      <c r="AV529" s="8">
        <v>1</v>
      </c>
      <c r="AW529" s="8"/>
      <c r="AX529" s="8">
        <v>1</v>
      </c>
      <c r="AY529" s="8">
        <v>1</v>
      </c>
      <c r="AZ529" s="8"/>
      <c r="BA529" s="8"/>
      <c r="BB529" s="1"/>
      <c r="BL529" s="58"/>
      <c r="BP529" t="str">
        <f t="shared" si="20"/>
        <v>GhostDragon</v>
      </c>
      <c r="BQ529" t="s">
        <v>2</v>
      </c>
      <c r="BR529">
        <v>4</v>
      </c>
    </row>
    <row r="530" spans="1:70" x14ac:dyDescent="0.25">
      <c r="A530">
        <f t="shared" si="21"/>
        <v>483</v>
      </c>
      <c r="B530" t="s">
        <v>596</v>
      </c>
      <c r="D530" s="1" t="s">
        <v>14</v>
      </c>
      <c r="E530" s="1" t="s">
        <v>12</v>
      </c>
      <c r="F530" s="1" t="s">
        <v>50</v>
      </c>
      <c r="G530" s="1" t="s">
        <v>50</v>
      </c>
      <c r="H530" s="1"/>
      <c r="I530" s="1" t="s">
        <v>50</v>
      </c>
      <c r="J530" s="13" t="s">
        <v>50</v>
      </c>
      <c r="K530" s="1" t="s">
        <v>50</v>
      </c>
      <c r="L530" s="1"/>
      <c r="M530" s="1" t="s">
        <v>104</v>
      </c>
      <c r="N530" s="13" t="s">
        <v>50</v>
      </c>
      <c r="O530" s="1" t="s">
        <v>50</v>
      </c>
      <c r="P530" s="1" t="s">
        <v>104</v>
      </c>
      <c r="Q530" s="1" t="s">
        <v>104</v>
      </c>
      <c r="R530" s="1" t="s">
        <v>104</v>
      </c>
      <c r="S530" s="1" t="s">
        <v>104</v>
      </c>
      <c r="T530" s="1" t="s">
        <v>104</v>
      </c>
      <c r="U530" s="1" t="s">
        <v>104</v>
      </c>
      <c r="V530" s="1" t="s">
        <v>104</v>
      </c>
      <c r="W530" s="1" t="s">
        <v>104</v>
      </c>
      <c r="X530" s="1" t="s">
        <v>729</v>
      </c>
      <c r="Y530" s="1"/>
      <c r="Z530" s="8"/>
      <c r="AA530" s="8"/>
      <c r="AB530" s="8"/>
      <c r="AC530" s="8"/>
      <c r="AD530" s="8">
        <v>1</v>
      </c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>
        <v>1</v>
      </c>
      <c r="AV530" s="8">
        <v>1</v>
      </c>
      <c r="AW530" s="8"/>
      <c r="AX530" s="8">
        <v>1</v>
      </c>
      <c r="AY530" s="8">
        <v>1</v>
      </c>
      <c r="AZ530" s="8"/>
      <c r="BA530" s="8"/>
      <c r="BB530" s="1"/>
      <c r="BL530" s="58"/>
      <c r="BP530" t="str">
        <f t="shared" si="20"/>
        <v>GhostDragon</v>
      </c>
      <c r="BQ530" t="s">
        <v>2</v>
      </c>
      <c r="BR530">
        <v>4</v>
      </c>
    </row>
    <row r="531" spans="1:70" x14ac:dyDescent="0.25">
      <c r="A531">
        <f t="shared" si="21"/>
        <v>484</v>
      </c>
      <c r="B531" t="s">
        <v>597</v>
      </c>
      <c r="D531" s="1" t="s">
        <v>14</v>
      </c>
      <c r="E531" s="1" t="s">
        <v>12</v>
      </c>
      <c r="F531" s="1" t="s">
        <v>50</v>
      </c>
      <c r="G531" s="1" t="s">
        <v>50</v>
      </c>
      <c r="H531" s="1" t="s">
        <v>50</v>
      </c>
      <c r="I531" s="1" t="s">
        <v>50</v>
      </c>
      <c r="J531" s="13" t="s">
        <v>50</v>
      </c>
      <c r="K531" s="1" t="s">
        <v>50</v>
      </c>
      <c r="L531" s="1"/>
      <c r="M531" s="1" t="s">
        <v>104</v>
      </c>
      <c r="N531" s="13" t="s">
        <v>50</v>
      </c>
      <c r="O531" s="1" t="s">
        <v>50</v>
      </c>
      <c r="P531" s="1" t="s">
        <v>104</v>
      </c>
      <c r="Q531" s="1" t="s">
        <v>50</v>
      </c>
      <c r="R531" s="1" t="s">
        <v>50</v>
      </c>
      <c r="S531" s="1" t="s">
        <v>50</v>
      </c>
      <c r="T531" s="1" t="s">
        <v>50</v>
      </c>
      <c r="U531" s="1" t="s">
        <v>50</v>
      </c>
      <c r="V531" s="1" t="s">
        <v>50</v>
      </c>
      <c r="W531" s="1" t="s">
        <v>50</v>
      </c>
      <c r="X531" s="1" t="s">
        <v>729</v>
      </c>
      <c r="Y531" s="1"/>
      <c r="Z531" s="8"/>
      <c r="AA531" s="8"/>
      <c r="AB531" s="8"/>
      <c r="AC531" s="8"/>
      <c r="AD531" s="8">
        <v>1</v>
      </c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>
        <v>1</v>
      </c>
      <c r="AV531" s="8">
        <v>1</v>
      </c>
      <c r="AW531" s="8"/>
      <c r="AX531" s="8">
        <v>1</v>
      </c>
      <c r="AY531" s="8">
        <v>1</v>
      </c>
      <c r="AZ531" s="8"/>
      <c r="BA531" s="8"/>
      <c r="BB531" s="1"/>
      <c r="BJ531">
        <v>20</v>
      </c>
      <c r="BK531">
        <v>6</v>
      </c>
      <c r="BL531" s="58">
        <v>1</v>
      </c>
      <c r="BP531" t="str">
        <f t="shared" si="20"/>
        <v>GhostDragon</v>
      </c>
      <c r="BR531">
        <v>4</v>
      </c>
    </row>
    <row r="532" spans="1:70" x14ac:dyDescent="0.25">
      <c r="A532">
        <f t="shared" si="21"/>
        <v>485</v>
      </c>
      <c r="B532" t="s">
        <v>598</v>
      </c>
      <c r="D532" s="1" t="s">
        <v>42</v>
      </c>
      <c r="E532" s="1">
        <v>0</v>
      </c>
      <c r="F532" s="1" t="s">
        <v>50</v>
      </c>
      <c r="G532" s="1" t="s">
        <v>50</v>
      </c>
      <c r="H532" s="1"/>
      <c r="I532" s="1" t="s">
        <v>50</v>
      </c>
      <c r="J532" s="13" t="s">
        <v>50</v>
      </c>
      <c r="K532" s="1" t="s">
        <v>50</v>
      </c>
      <c r="L532" s="1"/>
      <c r="M532" s="1" t="s">
        <v>50</v>
      </c>
      <c r="N532" s="1" t="s">
        <v>50</v>
      </c>
      <c r="O532" s="1" t="s">
        <v>50</v>
      </c>
      <c r="P532" s="1" t="s">
        <v>104</v>
      </c>
      <c r="Q532" s="1" t="s">
        <v>104</v>
      </c>
      <c r="R532" s="1" t="s">
        <v>104</v>
      </c>
      <c r="S532" s="1" t="s">
        <v>104</v>
      </c>
      <c r="T532" s="1" t="s">
        <v>104</v>
      </c>
      <c r="U532" s="1" t="s">
        <v>104</v>
      </c>
      <c r="V532" s="1" t="s">
        <v>104</v>
      </c>
      <c r="W532" s="1" t="s">
        <v>104</v>
      </c>
      <c r="X532" s="1" t="s">
        <v>748</v>
      </c>
      <c r="Y532" s="1"/>
      <c r="Z532" s="8"/>
      <c r="AA532" s="8"/>
      <c r="AB532" s="8"/>
      <c r="AC532" s="8"/>
      <c r="AD532" s="8">
        <v>1</v>
      </c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>
        <v>1</v>
      </c>
      <c r="AV532" s="8">
        <v>1</v>
      </c>
      <c r="AW532" s="8"/>
      <c r="AX532" s="8">
        <v>1</v>
      </c>
      <c r="AY532" s="8">
        <v>1</v>
      </c>
      <c r="AZ532" s="8"/>
      <c r="BA532" s="8"/>
      <c r="BB532" s="1"/>
      <c r="BL532" s="58"/>
      <c r="BP532" t="str">
        <f t="shared" si="20"/>
        <v>Cosmic0</v>
      </c>
      <c r="BQ532" t="s">
        <v>2</v>
      </c>
      <c r="BR532">
        <v>1</v>
      </c>
    </row>
    <row r="533" spans="1:70" x14ac:dyDescent="0.25">
      <c r="A533">
        <f t="shared" si="21"/>
        <v>486</v>
      </c>
      <c r="B533" t="s">
        <v>599</v>
      </c>
      <c r="D533" s="1" t="s">
        <v>42</v>
      </c>
      <c r="E533" s="1">
        <v>0</v>
      </c>
      <c r="F533" s="1" t="s">
        <v>50</v>
      </c>
      <c r="G533" s="1" t="s">
        <v>50</v>
      </c>
      <c r="H533" s="1" t="s">
        <v>50</v>
      </c>
      <c r="I533" s="1" t="s">
        <v>50</v>
      </c>
      <c r="J533" s="13" t="s">
        <v>50</v>
      </c>
      <c r="K533" s="1" t="s">
        <v>50</v>
      </c>
      <c r="L533" s="1"/>
      <c r="M533" s="1" t="s">
        <v>104</v>
      </c>
      <c r="N533" s="1" t="s">
        <v>50</v>
      </c>
      <c r="O533" s="1" t="s">
        <v>50</v>
      </c>
      <c r="P533" s="1" t="s">
        <v>104</v>
      </c>
      <c r="Q533" s="1" t="s">
        <v>50</v>
      </c>
      <c r="R533" s="1" t="s">
        <v>50</v>
      </c>
      <c r="S533" s="1" t="s">
        <v>50</v>
      </c>
      <c r="T533" s="1" t="s">
        <v>50</v>
      </c>
      <c r="U533" s="1" t="s">
        <v>50</v>
      </c>
      <c r="V533" s="1" t="s">
        <v>50</v>
      </c>
      <c r="W533" s="1" t="s">
        <v>50</v>
      </c>
      <c r="X533" s="1" t="s">
        <v>748</v>
      </c>
      <c r="Y533" s="1"/>
      <c r="Z533" s="8"/>
      <c r="AA533" s="8"/>
      <c r="AB533" s="8"/>
      <c r="AC533" s="8"/>
      <c r="AD533" s="8">
        <v>1</v>
      </c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>
        <v>1</v>
      </c>
      <c r="AV533" s="8">
        <v>1</v>
      </c>
      <c r="AW533" s="8"/>
      <c r="AX533" s="8">
        <v>1</v>
      </c>
      <c r="AY533" s="8">
        <v>1</v>
      </c>
      <c r="AZ533" s="8"/>
      <c r="BA533" s="8"/>
      <c r="BB533" s="1"/>
      <c r="BJ533">
        <v>8</v>
      </c>
      <c r="BL533" s="58"/>
      <c r="BP533" t="str">
        <f t="shared" si="20"/>
        <v>Cosmic0</v>
      </c>
      <c r="BR533">
        <v>1</v>
      </c>
    </row>
    <row r="534" spans="1:70" x14ac:dyDescent="0.25">
      <c r="A534">
        <f t="shared" si="21"/>
        <v>487</v>
      </c>
      <c r="B534" t="s">
        <v>600</v>
      </c>
      <c r="D534" s="1" t="s">
        <v>10</v>
      </c>
      <c r="E534" s="1" t="s">
        <v>18</v>
      </c>
      <c r="F534" s="1" t="s">
        <v>50</v>
      </c>
      <c r="G534" s="1" t="s">
        <v>50</v>
      </c>
      <c r="H534" s="1"/>
      <c r="I534" s="1" t="s">
        <v>50</v>
      </c>
      <c r="J534" s="13" t="s">
        <v>50</v>
      </c>
      <c r="K534" s="1" t="s">
        <v>50</v>
      </c>
      <c r="L534" s="1"/>
      <c r="M534" s="1" t="s">
        <v>50</v>
      </c>
      <c r="N534" s="13" t="s">
        <v>50</v>
      </c>
      <c r="O534" s="1" t="s">
        <v>50</v>
      </c>
      <c r="P534" s="1" t="s">
        <v>104</v>
      </c>
      <c r="Q534" s="1" t="s">
        <v>104</v>
      </c>
      <c r="R534" s="1" t="s">
        <v>104</v>
      </c>
      <c r="S534" s="1" t="s">
        <v>104</v>
      </c>
      <c r="T534" s="1" t="s">
        <v>104</v>
      </c>
      <c r="U534" s="1" t="s">
        <v>104</v>
      </c>
      <c r="V534" s="1" t="s">
        <v>104</v>
      </c>
      <c r="W534" s="1" t="s">
        <v>104</v>
      </c>
      <c r="X534" s="1" t="s">
        <v>735</v>
      </c>
      <c r="Y534" s="1"/>
      <c r="Z534" s="8"/>
      <c r="AA534" s="8"/>
      <c r="AB534" s="8">
        <v>1</v>
      </c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>
        <v>1</v>
      </c>
      <c r="AZ534" s="8">
        <v>1</v>
      </c>
      <c r="BA534" s="8"/>
      <c r="BB534" s="1"/>
      <c r="BL534" s="58"/>
      <c r="BP534" t="str">
        <f t="shared" si="20"/>
        <v>PoisonFighting</v>
      </c>
      <c r="BQ534" t="s">
        <v>2</v>
      </c>
      <c r="BR534">
        <v>7</v>
      </c>
    </row>
    <row r="535" spans="1:70" x14ac:dyDescent="0.25">
      <c r="A535">
        <f t="shared" si="21"/>
        <v>488</v>
      </c>
      <c r="B535" t="s">
        <v>601</v>
      </c>
      <c r="D535" s="1" t="s">
        <v>10</v>
      </c>
      <c r="E535" s="1" t="s">
        <v>18</v>
      </c>
      <c r="F535" s="1" t="s">
        <v>50</v>
      </c>
      <c r="G535" s="1" t="s">
        <v>50</v>
      </c>
      <c r="H535" s="1"/>
      <c r="I535" s="1" t="s">
        <v>50</v>
      </c>
      <c r="J535" s="13" t="s">
        <v>50</v>
      </c>
      <c r="K535" s="1" t="s">
        <v>50</v>
      </c>
      <c r="L535" s="1"/>
      <c r="M535" s="1" t="s">
        <v>104</v>
      </c>
      <c r="N535" s="13" t="s">
        <v>50</v>
      </c>
      <c r="O535" s="1" t="s">
        <v>50</v>
      </c>
      <c r="P535" s="1" t="s">
        <v>104</v>
      </c>
      <c r="Q535" s="1" t="s">
        <v>104</v>
      </c>
      <c r="R535" s="1" t="s">
        <v>104</v>
      </c>
      <c r="S535" s="1" t="s">
        <v>104</v>
      </c>
      <c r="T535" s="1" t="s">
        <v>104</v>
      </c>
      <c r="U535" s="1" t="s">
        <v>104</v>
      </c>
      <c r="V535" s="1" t="s">
        <v>104</v>
      </c>
      <c r="W535" s="1" t="s">
        <v>104</v>
      </c>
      <c r="X535" s="1" t="s">
        <v>735</v>
      </c>
      <c r="Y535" s="1"/>
      <c r="Z535" s="8"/>
      <c r="AA535" s="8"/>
      <c r="AB535" s="8">
        <v>1</v>
      </c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>
        <v>1</v>
      </c>
      <c r="AZ535" s="8">
        <v>1</v>
      </c>
      <c r="BA535" s="8"/>
      <c r="BB535" s="1"/>
      <c r="BL535" s="58"/>
      <c r="BP535" t="str">
        <f t="shared" si="20"/>
        <v>PoisonFighting</v>
      </c>
      <c r="BQ535" t="s">
        <v>2</v>
      </c>
      <c r="BR535">
        <v>7</v>
      </c>
    </row>
    <row r="536" spans="1:70" x14ac:dyDescent="0.25">
      <c r="A536">
        <f t="shared" si="21"/>
        <v>489</v>
      </c>
      <c r="B536" t="s">
        <v>602</v>
      </c>
      <c r="D536" s="1" t="s">
        <v>10</v>
      </c>
      <c r="E536" s="1" t="s">
        <v>18</v>
      </c>
      <c r="F536" s="1" t="s">
        <v>50</v>
      </c>
      <c r="G536" s="1" t="s">
        <v>50</v>
      </c>
      <c r="H536" s="1" t="s">
        <v>50</v>
      </c>
      <c r="I536" s="1" t="s">
        <v>50</v>
      </c>
      <c r="J536" s="13" t="s">
        <v>50</v>
      </c>
      <c r="K536" s="1" t="s">
        <v>50</v>
      </c>
      <c r="L536" s="1"/>
      <c r="M536" s="1" t="s">
        <v>104</v>
      </c>
      <c r="N536" s="13" t="s">
        <v>50</v>
      </c>
      <c r="O536" s="1" t="s">
        <v>50</v>
      </c>
      <c r="P536" s="1" t="s">
        <v>104</v>
      </c>
      <c r="Q536" s="1" t="s">
        <v>1767</v>
      </c>
      <c r="R536" s="1" t="s">
        <v>1767</v>
      </c>
      <c r="S536" s="1" t="s">
        <v>104</v>
      </c>
      <c r="T536" s="1" t="s">
        <v>1767</v>
      </c>
      <c r="U536" s="1" t="s">
        <v>1767</v>
      </c>
      <c r="V536" s="1" t="s">
        <v>1767</v>
      </c>
      <c r="W536" s="1" t="s">
        <v>1767</v>
      </c>
      <c r="X536" s="1" t="s">
        <v>735</v>
      </c>
      <c r="Y536" s="1"/>
      <c r="Z536" s="8"/>
      <c r="AA536" s="8"/>
      <c r="AB536" s="8">
        <v>1</v>
      </c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>
        <v>1</v>
      </c>
      <c r="AZ536" s="8">
        <v>1</v>
      </c>
      <c r="BA536" s="8"/>
      <c r="BB536" s="1"/>
      <c r="BJ536">
        <v>4</v>
      </c>
      <c r="BK536">
        <v>1</v>
      </c>
      <c r="BL536" s="58"/>
      <c r="BP536" t="str">
        <f t="shared" si="20"/>
        <v>PoisonFighting</v>
      </c>
      <c r="BR536">
        <v>7</v>
      </c>
    </row>
    <row r="537" spans="1:70" x14ac:dyDescent="0.25">
      <c r="A537">
        <f t="shared" si="21"/>
        <v>490</v>
      </c>
      <c r="B537" t="s">
        <v>603</v>
      </c>
      <c r="D537" s="1" t="s">
        <v>44</v>
      </c>
      <c r="E537" s="1" t="s">
        <v>42</v>
      </c>
      <c r="F537" s="1" t="s">
        <v>50</v>
      </c>
      <c r="G537" s="1" t="s">
        <v>50</v>
      </c>
      <c r="H537" s="1"/>
      <c r="I537" s="1" t="s">
        <v>50</v>
      </c>
      <c r="J537" s="13" t="s">
        <v>50</v>
      </c>
      <c r="K537" s="1" t="s">
        <v>50</v>
      </c>
      <c r="L537" s="1"/>
      <c r="M537" s="1" t="s">
        <v>50</v>
      </c>
      <c r="N537" s="13" t="s">
        <v>50</v>
      </c>
      <c r="O537" s="1" t="s">
        <v>50</v>
      </c>
      <c r="P537" s="1" t="s">
        <v>104</v>
      </c>
      <c r="Q537" s="1" t="s">
        <v>104</v>
      </c>
      <c r="R537" s="1" t="s">
        <v>104</v>
      </c>
      <c r="S537" s="1" t="s">
        <v>104</v>
      </c>
      <c r="T537" s="1" t="s">
        <v>104</v>
      </c>
      <c r="U537" s="1" t="s">
        <v>104</v>
      </c>
      <c r="V537" s="1" t="s">
        <v>104</v>
      </c>
      <c r="W537" s="1" t="s">
        <v>104</v>
      </c>
      <c r="X537" s="1" t="s">
        <v>727</v>
      </c>
      <c r="Y537" s="1"/>
      <c r="Z537" s="8"/>
      <c r="AA537" s="8"/>
      <c r="AB537" s="8"/>
      <c r="AC537" s="8"/>
      <c r="AD537" s="8"/>
      <c r="AE537" s="8"/>
      <c r="AF537" s="8"/>
      <c r="AG537" s="8">
        <v>1</v>
      </c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>
        <v>1</v>
      </c>
      <c r="AV537" s="8">
        <v>1</v>
      </c>
      <c r="AW537" s="8"/>
      <c r="AX537" s="8">
        <v>1</v>
      </c>
      <c r="AY537" s="8">
        <v>1</v>
      </c>
      <c r="AZ537" s="8"/>
      <c r="BA537" s="8"/>
      <c r="BB537" s="1"/>
      <c r="BL537" s="58"/>
      <c r="BP537" t="str">
        <f t="shared" si="20"/>
        <v>LightCosmic</v>
      </c>
      <c r="BQ537" t="s">
        <v>2</v>
      </c>
      <c r="BR537">
        <v>5</v>
      </c>
    </row>
    <row r="538" spans="1:70" x14ac:dyDescent="0.25">
      <c r="A538">
        <f t="shared" si="21"/>
        <v>491</v>
      </c>
      <c r="B538" t="s">
        <v>604</v>
      </c>
      <c r="D538" s="1" t="s">
        <v>44</v>
      </c>
      <c r="E538" s="1" t="s">
        <v>42</v>
      </c>
      <c r="F538" s="1" t="s">
        <v>50</v>
      </c>
      <c r="G538" s="1" t="s">
        <v>50</v>
      </c>
      <c r="H538" s="1" t="s">
        <v>50</v>
      </c>
      <c r="I538" s="1" t="s">
        <v>50</v>
      </c>
      <c r="J538" s="13" t="s">
        <v>50</v>
      </c>
      <c r="K538" s="1" t="s">
        <v>50</v>
      </c>
      <c r="L538" s="1"/>
      <c r="M538" s="1" t="s">
        <v>104</v>
      </c>
      <c r="N538" s="13" t="s">
        <v>50</v>
      </c>
      <c r="O538" s="1" t="s">
        <v>50</v>
      </c>
      <c r="P538" s="1" t="s">
        <v>104</v>
      </c>
      <c r="Q538" s="1" t="s">
        <v>1767</v>
      </c>
      <c r="R538" s="1" t="s">
        <v>1767</v>
      </c>
      <c r="S538" s="1" t="s">
        <v>104</v>
      </c>
      <c r="T538" s="1" t="s">
        <v>1767</v>
      </c>
      <c r="U538" s="1" t="s">
        <v>1767</v>
      </c>
      <c r="V538" s="1" t="s">
        <v>1767</v>
      </c>
      <c r="W538" s="1" t="s">
        <v>1767</v>
      </c>
      <c r="X538" s="1" t="s">
        <v>727</v>
      </c>
      <c r="Y538" s="1"/>
      <c r="Z538" s="8"/>
      <c r="AA538" s="8"/>
      <c r="AB538" s="8"/>
      <c r="AC538" s="8"/>
      <c r="AD538" s="8"/>
      <c r="AE538" s="8"/>
      <c r="AF538" s="8"/>
      <c r="AG538" s="8">
        <v>1</v>
      </c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>
        <v>1</v>
      </c>
      <c r="AV538" s="8">
        <v>1</v>
      </c>
      <c r="AW538" s="8"/>
      <c r="AX538" s="8">
        <v>1</v>
      </c>
      <c r="AY538" s="8">
        <v>1</v>
      </c>
      <c r="AZ538" s="8"/>
      <c r="BA538" s="8"/>
      <c r="BB538" s="1"/>
      <c r="BJ538">
        <v>1</v>
      </c>
      <c r="BK538">
        <v>2</v>
      </c>
      <c r="BL538" s="58"/>
      <c r="BP538" t="str">
        <f t="shared" si="20"/>
        <v>LightCosmic</v>
      </c>
      <c r="BR538">
        <v>5</v>
      </c>
    </row>
    <row r="539" spans="1:70" x14ac:dyDescent="0.25">
      <c r="A539">
        <f t="shared" si="21"/>
        <v>492</v>
      </c>
      <c r="B539" t="s">
        <v>605</v>
      </c>
      <c r="D539" s="1" t="s">
        <v>11</v>
      </c>
      <c r="E539" s="1">
        <v>0</v>
      </c>
      <c r="F539" s="1" t="s">
        <v>50</v>
      </c>
      <c r="G539" s="1" t="s">
        <v>50</v>
      </c>
      <c r="H539" s="1"/>
      <c r="I539" s="1" t="s">
        <v>50</v>
      </c>
      <c r="J539" s="13" t="s">
        <v>50</v>
      </c>
      <c r="K539" s="1" t="s">
        <v>50</v>
      </c>
      <c r="L539" s="1"/>
      <c r="M539" s="1" t="s">
        <v>50</v>
      </c>
      <c r="N539" s="13" t="s">
        <v>50</v>
      </c>
      <c r="O539" s="1" t="s">
        <v>50</v>
      </c>
      <c r="P539" s="1" t="s">
        <v>104</v>
      </c>
      <c r="Q539" s="1" t="s">
        <v>104</v>
      </c>
      <c r="R539" s="1" t="s">
        <v>104</v>
      </c>
      <c r="S539" s="1" t="s">
        <v>104</v>
      </c>
      <c r="T539" s="1" t="s">
        <v>104</v>
      </c>
      <c r="U539" s="1" t="s">
        <v>104</v>
      </c>
      <c r="V539" s="1" t="s">
        <v>104</v>
      </c>
      <c r="W539" s="1" t="s">
        <v>104</v>
      </c>
      <c r="X539" s="1" t="s">
        <v>730</v>
      </c>
      <c r="Y539" s="1"/>
      <c r="Z539" s="8">
        <v>1</v>
      </c>
      <c r="AA539" s="8">
        <v>1</v>
      </c>
      <c r="AB539" s="8">
        <v>1</v>
      </c>
      <c r="AC539" s="8">
        <v>1</v>
      </c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>
        <v>1</v>
      </c>
      <c r="BA539" s="8"/>
      <c r="BB539" s="1"/>
      <c r="BL539" s="58"/>
      <c r="BP539" t="str">
        <f t="shared" si="20"/>
        <v>Grass0</v>
      </c>
      <c r="BQ539" t="s">
        <v>2</v>
      </c>
      <c r="BR539">
        <v>8</v>
      </c>
    </row>
    <row r="540" spans="1:70" x14ac:dyDescent="0.25">
      <c r="A540">
        <f t="shared" si="21"/>
        <v>493</v>
      </c>
      <c r="B540" t="s">
        <v>606</v>
      </c>
      <c r="D540" s="1" t="s">
        <v>11</v>
      </c>
      <c r="E540" s="1" t="s">
        <v>18</v>
      </c>
      <c r="F540" s="1" t="s">
        <v>50</v>
      </c>
      <c r="G540" s="1" t="s">
        <v>50</v>
      </c>
      <c r="H540" s="1" t="s">
        <v>50</v>
      </c>
      <c r="I540" s="1" t="s">
        <v>50</v>
      </c>
      <c r="J540" s="13" t="s">
        <v>50</v>
      </c>
      <c r="K540" s="1" t="s">
        <v>50</v>
      </c>
      <c r="L540" s="1"/>
      <c r="M540" s="1" t="s">
        <v>104</v>
      </c>
      <c r="N540" s="13" t="s">
        <v>50</v>
      </c>
      <c r="O540" s="1" t="s">
        <v>50</v>
      </c>
      <c r="P540" s="1" t="s">
        <v>104</v>
      </c>
      <c r="Q540" s="1" t="s">
        <v>50</v>
      </c>
      <c r="R540" s="1" t="s">
        <v>50</v>
      </c>
      <c r="S540" s="1" t="s">
        <v>104</v>
      </c>
      <c r="T540" s="1" t="s">
        <v>50</v>
      </c>
      <c r="U540" s="1" t="s">
        <v>50</v>
      </c>
      <c r="V540" s="1" t="s">
        <v>50</v>
      </c>
      <c r="W540" s="1" t="s">
        <v>50</v>
      </c>
      <c r="X540" s="1" t="s">
        <v>2303</v>
      </c>
      <c r="Y540" s="1"/>
      <c r="Z540" s="8">
        <v>1</v>
      </c>
      <c r="AA540" s="8">
        <v>1</v>
      </c>
      <c r="AB540" s="8">
        <v>1</v>
      </c>
      <c r="AC540" s="8">
        <v>1</v>
      </c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>
        <v>1</v>
      </c>
      <c r="BA540" s="8"/>
      <c r="BB540" s="1"/>
      <c r="BJ540">
        <v>5</v>
      </c>
      <c r="BL540" s="58"/>
      <c r="BP540" t="str">
        <f t="shared" si="20"/>
        <v>GrassFighting</v>
      </c>
      <c r="BR540">
        <v>8</v>
      </c>
    </row>
    <row r="541" spans="1:70" x14ac:dyDescent="0.25">
      <c r="A541">
        <f t="shared" si="21"/>
        <v>494</v>
      </c>
      <c r="B541" t="s">
        <v>607</v>
      </c>
      <c r="D541" s="1" t="s">
        <v>17</v>
      </c>
      <c r="E541" s="1" t="s">
        <v>4</v>
      </c>
      <c r="F541" s="1" t="s">
        <v>50</v>
      </c>
      <c r="G541" s="1" t="s">
        <v>50</v>
      </c>
      <c r="H541" s="1"/>
      <c r="I541" s="1" t="s">
        <v>50</v>
      </c>
      <c r="J541" s="13" t="s">
        <v>50</v>
      </c>
      <c r="K541" s="1" t="s">
        <v>50</v>
      </c>
      <c r="L541" s="1" t="s">
        <v>50</v>
      </c>
      <c r="M541" s="1" t="s">
        <v>50</v>
      </c>
      <c r="N541" s="13" t="s">
        <v>50</v>
      </c>
      <c r="O541" s="1" t="s">
        <v>50</v>
      </c>
      <c r="P541" s="1" t="s">
        <v>104</v>
      </c>
      <c r="Q541" s="1" t="s">
        <v>104</v>
      </c>
      <c r="R541" s="1" t="s">
        <v>104</v>
      </c>
      <c r="S541" s="1" t="s">
        <v>104</v>
      </c>
      <c r="T541" s="1" t="s">
        <v>104</v>
      </c>
      <c r="U541" s="1" t="s">
        <v>104</v>
      </c>
      <c r="V541" s="1" t="s">
        <v>104</v>
      </c>
      <c r="W541" s="1" t="s">
        <v>104</v>
      </c>
      <c r="X541" s="1" t="s">
        <v>730</v>
      </c>
      <c r="Y541" s="1"/>
      <c r="Z541" s="8">
        <v>1</v>
      </c>
      <c r="AA541" s="8">
        <v>1</v>
      </c>
      <c r="AB541" s="8">
        <v>1</v>
      </c>
      <c r="AC541" s="8">
        <v>1</v>
      </c>
      <c r="AD541" s="8">
        <v>1</v>
      </c>
      <c r="AE541" s="8"/>
      <c r="AF541" s="8">
        <v>1</v>
      </c>
      <c r="AG541" s="8">
        <v>1</v>
      </c>
      <c r="AH541" s="8">
        <v>1</v>
      </c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>
        <v>1</v>
      </c>
      <c r="AT541" s="8">
        <v>1</v>
      </c>
      <c r="AU541" s="8"/>
      <c r="AV541" s="8"/>
      <c r="AW541" s="8"/>
      <c r="AX541" s="8"/>
      <c r="AY541" s="8"/>
      <c r="AZ541" s="8">
        <v>1</v>
      </c>
      <c r="BA541" s="8"/>
      <c r="BB541" s="1"/>
      <c r="BL541" s="58"/>
      <c r="BP541" t="str">
        <f t="shared" si="20"/>
        <v>BugPsychic</v>
      </c>
      <c r="BQ541" t="s">
        <v>2</v>
      </c>
      <c r="BR541">
        <v>7</v>
      </c>
    </row>
    <row r="542" spans="1:70" x14ac:dyDescent="0.25">
      <c r="A542">
        <f t="shared" si="21"/>
        <v>495</v>
      </c>
      <c r="B542" t="s">
        <v>608</v>
      </c>
      <c r="D542" s="1" t="s">
        <v>17</v>
      </c>
      <c r="E542" s="1" t="s">
        <v>4</v>
      </c>
      <c r="F542" s="1" t="s">
        <v>50</v>
      </c>
      <c r="G542" s="1" t="s">
        <v>50</v>
      </c>
      <c r="H542" s="1" t="s">
        <v>50</v>
      </c>
      <c r="I542" s="1" t="s">
        <v>50</v>
      </c>
      <c r="J542" s="13" t="s">
        <v>50</v>
      </c>
      <c r="K542" s="1" t="s">
        <v>50</v>
      </c>
      <c r="L542" s="1"/>
      <c r="M542" s="1" t="s">
        <v>104</v>
      </c>
      <c r="N542" s="13" t="s">
        <v>50</v>
      </c>
      <c r="O542" s="1" t="s">
        <v>50</v>
      </c>
      <c r="P542" s="1" t="s">
        <v>104</v>
      </c>
      <c r="Q542" s="1" t="s">
        <v>1767</v>
      </c>
      <c r="R542" s="1" t="s">
        <v>1767</v>
      </c>
      <c r="S542" s="1" t="s">
        <v>104</v>
      </c>
      <c r="T542" s="1" t="s">
        <v>1767</v>
      </c>
      <c r="U542" s="1" t="s">
        <v>1767</v>
      </c>
      <c r="V542" s="1" t="s">
        <v>1767</v>
      </c>
      <c r="W542" s="1" t="s">
        <v>1767</v>
      </c>
      <c r="X542" s="1" t="s">
        <v>730</v>
      </c>
      <c r="Y542" s="1"/>
      <c r="Z542" s="8">
        <v>1</v>
      </c>
      <c r="AA542" s="8">
        <v>1</v>
      </c>
      <c r="AB542" s="8">
        <v>1</v>
      </c>
      <c r="AC542" s="8">
        <v>1</v>
      </c>
      <c r="AD542" s="8">
        <v>1</v>
      </c>
      <c r="AE542" s="8"/>
      <c r="AF542" s="8">
        <v>1</v>
      </c>
      <c r="AG542" s="8">
        <v>1</v>
      </c>
      <c r="AH542" s="8">
        <v>1</v>
      </c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>
        <v>1</v>
      </c>
      <c r="AT542" s="8">
        <v>1</v>
      </c>
      <c r="AU542" s="8"/>
      <c r="AV542" s="8"/>
      <c r="AW542" s="8"/>
      <c r="AX542" s="8"/>
      <c r="AY542" s="8"/>
      <c r="AZ542" s="8">
        <v>1</v>
      </c>
      <c r="BA542" s="8"/>
      <c r="BB542" s="1"/>
      <c r="BJ542">
        <v>3</v>
      </c>
      <c r="BL542" s="58"/>
      <c r="BP542" t="str">
        <f t="shared" si="20"/>
        <v>BugPsychic</v>
      </c>
      <c r="BR542">
        <v>7</v>
      </c>
    </row>
    <row r="543" spans="1:70" ht="105" x14ac:dyDescent="0.25">
      <c r="A543">
        <f t="shared" si="21"/>
        <v>496</v>
      </c>
      <c r="B543" t="s">
        <v>612</v>
      </c>
      <c r="D543" s="1" t="s">
        <v>7</v>
      </c>
      <c r="E543" s="1" t="s">
        <v>1</v>
      </c>
      <c r="F543" s="1" t="s">
        <v>50</v>
      </c>
      <c r="G543" s="1" t="s">
        <v>50</v>
      </c>
      <c r="H543" s="1"/>
      <c r="I543" s="1" t="s">
        <v>50</v>
      </c>
      <c r="J543" s="13" t="s">
        <v>50</v>
      </c>
      <c r="K543" s="1" t="s">
        <v>50</v>
      </c>
      <c r="L543" s="1"/>
      <c r="M543" s="1" t="s">
        <v>50</v>
      </c>
      <c r="N543" s="1" t="s">
        <v>50</v>
      </c>
      <c r="O543" s="1" t="s">
        <v>50</v>
      </c>
      <c r="P543" s="14" t="s">
        <v>2069</v>
      </c>
      <c r="Q543" s="1" t="s">
        <v>104</v>
      </c>
      <c r="R543" s="1" t="s">
        <v>104</v>
      </c>
      <c r="S543" s="1" t="s">
        <v>104</v>
      </c>
      <c r="T543" s="1" t="s">
        <v>104</v>
      </c>
      <c r="U543" s="1" t="s">
        <v>104</v>
      </c>
      <c r="V543" s="1" t="s">
        <v>104</v>
      </c>
      <c r="W543" s="1" t="s">
        <v>104</v>
      </c>
      <c r="X543" s="1" t="s">
        <v>727</v>
      </c>
      <c r="Y543" s="1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>
        <v>1</v>
      </c>
      <c r="AT543" s="8"/>
      <c r="AU543" s="8"/>
      <c r="AV543" s="8"/>
      <c r="AW543" s="8"/>
      <c r="AX543" s="8"/>
      <c r="AY543" s="8"/>
      <c r="AZ543" s="8"/>
      <c r="BA543" s="8"/>
      <c r="BB543" s="1"/>
      <c r="BL543" s="58"/>
      <c r="BP543" t="str">
        <f t="shared" si="20"/>
        <v>FairyNormal</v>
      </c>
      <c r="BQ543" t="s">
        <v>2</v>
      </c>
      <c r="BR543">
        <v>6</v>
      </c>
    </row>
    <row r="544" spans="1:70" ht="105" x14ac:dyDescent="0.25">
      <c r="A544">
        <f t="shared" si="21"/>
        <v>497</v>
      </c>
      <c r="B544" t="s">
        <v>613</v>
      </c>
      <c r="D544" s="1" t="s">
        <v>7</v>
      </c>
      <c r="E544" s="1" t="s">
        <v>1</v>
      </c>
      <c r="F544" s="1" t="s">
        <v>50</v>
      </c>
      <c r="G544" s="1" t="s">
        <v>50</v>
      </c>
      <c r="H544" s="1"/>
      <c r="I544" s="1" t="s">
        <v>50</v>
      </c>
      <c r="J544" s="13" t="s">
        <v>50</v>
      </c>
      <c r="K544" s="1" t="s">
        <v>50</v>
      </c>
      <c r="L544" s="1"/>
      <c r="M544" s="1" t="s">
        <v>104</v>
      </c>
      <c r="N544" s="1" t="s">
        <v>50</v>
      </c>
      <c r="O544" s="1" t="s">
        <v>50</v>
      </c>
      <c r="P544" s="14" t="s">
        <v>2069</v>
      </c>
      <c r="Q544" s="1" t="s">
        <v>104</v>
      </c>
      <c r="R544" s="1" t="s">
        <v>104</v>
      </c>
      <c r="S544" s="1" t="s">
        <v>104</v>
      </c>
      <c r="T544" s="1" t="s">
        <v>104</v>
      </c>
      <c r="U544" s="1" t="s">
        <v>104</v>
      </c>
      <c r="V544" s="1" t="s">
        <v>104</v>
      </c>
      <c r="W544" s="1" t="s">
        <v>104</v>
      </c>
      <c r="X544" s="1" t="s">
        <v>727</v>
      </c>
      <c r="Y544" s="1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>
        <v>1</v>
      </c>
      <c r="AT544" s="8"/>
      <c r="AU544" s="8"/>
      <c r="AV544" s="8"/>
      <c r="AW544" s="8"/>
      <c r="AX544" s="8"/>
      <c r="AY544" s="8"/>
      <c r="AZ544" s="8"/>
      <c r="BA544" s="8"/>
      <c r="BB544" s="1"/>
      <c r="BL544" s="58"/>
      <c r="BP544" t="str">
        <f t="shared" si="20"/>
        <v>FairyNormal</v>
      </c>
      <c r="BQ544" t="s">
        <v>2</v>
      </c>
      <c r="BR544">
        <v>6</v>
      </c>
    </row>
    <row r="545" spans="1:70" ht="105" x14ac:dyDescent="0.25">
      <c r="A545">
        <f t="shared" si="21"/>
        <v>498</v>
      </c>
      <c r="B545" t="s">
        <v>614</v>
      </c>
      <c r="D545" s="1" t="s">
        <v>7</v>
      </c>
      <c r="E545" s="1" t="s">
        <v>1</v>
      </c>
      <c r="F545" s="1" t="s">
        <v>50</v>
      </c>
      <c r="G545" s="1" t="s">
        <v>50</v>
      </c>
      <c r="H545" s="1" t="s">
        <v>50</v>
      </c>
      <c r="I545" s="1" t="s">
        <v>50</v>
      </c>
      <c r="J545" s="13" t="s">
        <v>50</v>
      </c>
      <c r="K545" s="1" t="s">
        <v>50</v>
      </c>
      <c r="L545" s="1"/>
      <c r="M545" s="1" t="s">
        <v>104</v>
      </c>
      <c r="N545" s="1" t="s">
        <v>50</v>
      </c>
      <c r="O545" s="1" t="s">
        <v>50</v>
      </c>
      <c r="P545" s="14" t="s">
        <v>2069</v>
      </c>
      <c r="Q545" s="1" t="s">
        <v>104</v>
      </c>
      <c r="R545" s="1" t="s">
        <v>104</v>
      </c>
      <c r="S545" s="1" t="s">
        <v>104</v>
      </c>
      <c r="T545" s="1" t="s">
        <v>104</v>
      </c>
      <c r="U545" s="1" t="s">
        <v>104</v>
      </c>
      <c r="V545" s="1" t="s">
        <v>104</v>
      </c>
      <c r="W545" s="1" t="s">
        <v>104</v>
      </c>
      <c r="X545" s="1" t="s">
        <v>727</v>
      </c>
      <c r="Y545" s="1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>
        <v>1</v>
      </c>
      <c r="AT545" s="8"/>
      <c r="AU545" s="8"/>
      <c r="AV545" s="8"/>
      <c r="AW545" s="8"/>
      <c r="AX545" s="8"/>
      <c r="AY545" s="8"/>
      <c r="AZ545" s="8"/>
      <c r="BA545" s="8"/>
      <c r="BB545" s="1"/>
      <c r="BJ545">
        <v>5</v>
      </c>
      <c r="BK545">
        <v>2</v>
      </c>
      <c r="BL545" s="58"/>
      <c r="BP545" t="str">
        <f t="shared" si="20"/>
        <v>FairyNormal</v>
      </c>
      <c r="BR545">
        <v>6</v>
      </c>
    </row>
    <row r="546" spans="1:70" x14ac:dyDescent="0.25">
      <c r="A546">
        <f t="shared" si="21"/>
        <v>499</v>
      </c>
      <c r="B546" t="s">
        <v>615</v>
      </c>
      <c r="D546" s="1" t="s">
        <v>41</v>
      </c>
      <c r="E546" s="1" t="s">
        <v>4</v>
      </c>
      <c r="F546" s="1" t="s">
        <v>50</v>
      </c>
      <c r="G546" s="1" t="s">
        <v>50</v>
      </c>
      <c r="H546" s="1"/>
      <c r="I546" s="1" t="s">
        <v>50</v>
      </c>
      <c r="J546" s="13" t="s">
        <v>50</v>
      </c>
      <c r="K546" s="1" t="s">
        <v>50</v>
      </c>
      <c r="L546" s="1"/>
      <c r="M546" s="1" t="s">
        <v>50</v>
      </c>
      <c r="N546" s="1" t="s">
        <v>50</v>
      </c>
      <c r="O546" s="1" t="s">
        <v>50</v>
      </c>
      <c r="P546" s="13" t="s">
        <v>1727</v>
      </c>
      <c r="Q546" s="1" t="s">
        <v>104</v>
      </c>
      <c r="R546" s="1" t="s">
        <v>104</v>
      </c>
      <c r="S546" s="1" t="s">
        <v>104</v>
      </c>
      <c r="T546" s="1" t="s">
        <v>104</v>
      </c>
      <c r="U546" s="1" t="s">
        <v>104</v>
      </c>
      <c r="V546" s="1" t="s">
        <v>104</v>
      </c>
      <c r="W546" s="1" t="s">
        <v>104</v>
      </c>
      <c r="X546" s="1" t="s">
        <v>727</v>
      </c>
      <c r="Y546" s="1"/>
      <c r="Z546" s="8"/>
      <c r="AA546" s="8"/>
      <c r="AB546" s="8"/>
      <c r="AC546" s="8"/>
      <c r="AD546" s="8"/>
      <c r="AE546" s="8"/>
      <c r="AF546" s="8"/>
      <c r="AG546" s="8">
        <v>1</v>
      </c>
      <c r="AH546" s="8">
        <v>1</v>
      </c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>
        <v>1</v>
      </c>
      <c r="AT546" s="8">
        <v>1</v>
      </c>
      <c r="AU546" s="8"/>
      <c r="AV546" s="8"/>
      <c r="AW546" s="8"/>
      <c r="AX546" s="8"/>
      <c r="AY546" s="8"/>
      <c r="AZ546" s="8"/>
      <c r="BA546" s="8"/>
      <c r="BB546" s="1"/>
      <c r="BL546" s="58"/>
      <c r="BP546" t="str">
        <f t="shared" si="20"/>
        <v>SoundPsychic</v>
      </c>
      <c r="BQ546" t="s">
        <v>2</v>
      </c>
      <c r="BR546">
        <v>4</v>
      </c>
    </row>
    <row r="547" spans="1:70" x14ac:dyDescent="0.25">
      <c r="A547">
        <f t="shared" si="21"/>
        <v>500</v>
      </c>
      <c r="B547" t="s">
        <v>616</v>
      </c>
      <c r="D547" s="1" t="s">
        <v>41</v>
      </c>
      <c r="E547" s="1" t="s">
        <v>4</v>
      </c>
      <c r="F547" s="1" t="s">
        <v>50</v>
      </c>
      <c r="G547" s="1" t="s">
        <v>50</v>
      </c>
      <c r="H547" s="1" t="s">
        <v>50</v>
      </c>
      <c r="I547" s="1" t="s">
        <v>50</v>
      </c>
      <c r="J547" s="13" t="s">
        <v>50</v>
      </c>
      <c r="K547" s="1" t="s">
        <v>50</v>
      </c>
      <c r="L547" s="1" t="s">
        <v>50</v>
      </c>
      <c r="M547" s="1" t="s">
        <v>104</v>
      </c>
      <c r="N547" s="1" t="s">
        <v>50</v>
      </c>
      <c r="O547" s="1" t="s">
        <v>50</v>
      </c>
      <c r="P547" s="13" t="s">
        <v>1727</v>
      </c>
      <c r="Q547" s="1" t="s">
        <v>104</v>
      </c>
      <c r="R547" s="1" t="s">
        <v>104</v>
      </c>
      <c r="S547" s="1" t="s">
        <v>104</v>
      </c>
      <c r="T547" s="1" t="s">
        <v>104</v>
      </c>
      <c r="U547" s="1" t="s">
        <v>104</v>
      </c>
      <c r="V547" s="1" t="s">
        <v>104</v>
      </c>
      <c r="W547" s="1" t="s">
        <v>104</v>
      </c>
      <c r="X547" s="1" t="s">
        <v>731</v>
      </c>
      <c r="Y547" s="1"/>
      <c r="Z547" s="8"/>
      <c r="AA547" s="8"/>
      <c r="AB547" s="8"/>
      <c r="AC547" s="8"/>
      <c r="AD547" s="8"/>
      <c r="AE547" s="8"/>
      <c r="AF547" s="8"/>
      <c r="AG547" s="8">
        <v>1</v>
      </c>
      <c r="AH547" s="8">
        <v>1</v>
      </c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>
        <v>1</v>
      </c>
      <c r="AT547" s="8">
        <v>1</v>
      </c>
      <c r="AU547" s="8"/>
      <c r="AV547" s="8"/>
      <c r="AW547" s="8"/>
      <c r="AX547" s="8"/>
      <c r="AY547" s="8"/>
      <c r="AZ547" s="8"/>
      <c r="BA547" s="8"/>
      <c r="BB547" s="1"/>
      <c r="BL547" s="58"/>
      <c r="BP547" t="str">
        <f t="shared" si="20"/>
        <v>SoundPsychic</v>
      </c>
      <c r="BQ547" t="s">
        <v>2</v>
      </c>
      <c r="BR547">
        <v>1</v>
      </c>
    </row>
    <row r="548" spans="1:70" x14ac:dyDescent="0.25">
      <c r="A548">
        <f t="shared" si="21"/>
        <v>501</v>
      </c>
      <c r="B548" t="s">
        <v>617</v>
      </c>
      <c r="D548" s="1" t="s">
        <v>41</v>
      </c>
      <c r="E548" s="1" t="s">
        <v>4</v>
      </c>
      <c r="F548" s="1" t="s">
        <v>50</v>
      </c>
      <c r="G548" s="1" t="s">
        <v>50</v>
      </c>
      <c r="H548" s="1" t="s">
        <v>50</v>
      </c>
      <c r="I548" s="1" t="s">
        <v>50</v>
      </c>
      <c r="J548" s="13" t="s">
        <v>50</v>
      </c>
      <c r="K548" s="1" t="s">
        <v>50</v>
      </c>
      <c r="L548" s="1"/>
      <c r="M548" s="1" t="s">
        <v>104</v>
      </c>
      <c r="N548" s="1" t="s">
        <v>50</v>
      </c>
      <c r="O548" s="1" t="s">
        <v>50</v>
      </c>
      <c r="P548" s="13" t="s">
        <v>1727</v>
      </c>
      <c r="Q548" s="1" t="s">
        <v>104</v>
      </c>
      <c r="R548" s="1" t="s">
        <v>104</v>
      </c>
      <c r="S548" s="1" t="s">
        <v>104</v>
      </c>
      <c r="T548" s="1" t="s">
        <v>104</v>
      </c>
      <c r="U548" s="1" t="s">
        <v>104</v>
      </c>
      <c r="V548" s="1" t="s">
        <v>104</v>
      </c>
      <c r="W548" s="1" t="s">
        <v>104</v>
      </c>
      <c r="X548" s="1" t="s">
        <v>727</v>
      </c>
      <c r="Y548" s="1"/>
      <c r="Z548" s="8"/>
      <c r="AA548" s="8"/>
      <c r="AB548" s="8"/>
      <c r="AC548" s="8"/>
      <c r="AD548" s="8"/>
      <c r="AE548" s="8"/>
      <c r="AF548" s="8"/>
      <c r="AG548" s="8">
        <v>1</v>
      </c>
      <c r="AH548" s="8">
        <v>1</v>
      </c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>
        <v>1</v>
      </c>
      <c r="AT548" s="8">
        <v>1</v>
      </c>
      <c r="AU548" s="8"/>
      <c r="AV548" s="8"/>
      <c r="AW548" s="8"/>
      <c r="AX548" s="8"/>
      <c r="AY548" s="8"/>
      <c r="AZ548" s="8"/>
      <c r="BA548" s="8"/>
      <c r="BB548" s="1"/>
      <c r="BJ548">
        <v>5</v>
      </c>
      <c r="BL548" s="58"/>
      <c r="BP548" t="str">
        <f t="shared" si="20"/>
        <v>SoundPsychic</v>
      </c>
      <c r="BR548">
        <v>8</v>
      </c>
    </row>
    <row r="549" spans="1:70" x14ac:dyDescent="0.25">
      <c r="A549">
        <f t="shared" si="21"/>
        <v>502</v>
      </c>
      <c r="B549" t="s">
        <v>619</v>
      </c>
      <c r="D549" s="1" t="s">
        <v>5</v>
      </c>
      <c r="E549" s="1">
        <v>0</v>
      </c>
      <c r="F549" s="1" t="s">
        <v>50</v>
      </c>
      <c r="G549" s="1" t="s">
        <v>50</v>
      </c>
      <c r="H549" s="1"/>
      <c r="I549" s="1" t="s">
        <v>50</v>
      </c>
      <c r="J549" s="13" t="s">
        <v>50</v>
      </c>
      <c r="K549" s="1" t="s">
        <v>50</v>
      </c>
      <c r="L549" s="1"/>
      <c r="M549" s="1" t="s">
        <v>50</v>
      </c>
      <c r="N549" s="1" t="s">
        <v>50</v>
      </c>
      <c r="O549" s="1" t="s">
        <v>50</v>
      </c>
      <c r="P549" s="13" t="s">
        <v>810</v>
      </c>
      <c r="Q549" s="1" t="s">
        <v>104</v>
      </c>
      <c r="R549" s="1" t="s">
        <v>104</v>
      </c>
      <c r="S549" s="1" t="s">
        <v>104</v>
      </c>
      <c r="T549" s="1" t="s">
        <v>104</v>
      </c>
      <c r="U549" s="1" t="s">
        <v>104</v>
      </c>
      <c r="V549" s="1" t="s">
        <v>104</v>
      </c>
      <c r="W549" s="1" t="s">
        <v>104</v>
      </c>
      <c r="X549" s="1" t="s">
        <v>731</v>
      </c>
      <c r="Y549" s="1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>
        <v>1</v>
      </c>
      <c r="AP549" s="8">
        <v>1</v>
      </c>
      <c r="AQ549" s="8">
        <v>1</v>
      </c>
      <c r="AR549" s="8">
        <v>1</v>
      </c>
      <c r="AS549" s="8"/>
      <c r="AT549" s="8"/>
      <c r="AU549" s="8"/>
      <c r="AV549" s="8"/>
      <c r="AW549" s="8"/>
      <c r="AX549" s="8"/>
      <c r="AY549" s="8"/>
      <c r="AZ549" s="8"/>
      <c r="BA549" s="8"/>
      <c r="BB549" s="1"/>
      <c r="BL549" s="58"/>
      <c r="BP549" t="str">
        <f t="shared" si="20"/>
        <v>Ice0</v>
      </c>
      <c r="BQ549" t="s">
        <v>2</v>
      </c>
      <c r="BR549">
        <v>1</v>
      </c>
    </row>
    <row r="550" spans="1:70" x14ac:dyDescent="0.25">
      <c r="A550">
        <f t="shared" si="21"/>
        <v>503</v>
      </c>
      <c r="B550" t="s">
        <v>620</v>
      </c>
      <c r="D550" s="1" t="s">
        <v>5</v>
      </c>
      <c r="E550" s="1">
        <v>0</v>
      </c>
      <c r="F550" s="1" t="s">
        <v>50</v>
      </c>
      <c r="G550" s="1" t="s">
        <v>50</v>
      </c>
      <c r="H550" s="1" t="s">
        <v>50</v>
      </c>
      <c r="I550" s="1" t="s">
        <v>50</v>
      </c>
      <c r="J550" s="13" t="s">
        <v>50</v>
      </c>
      <c r="K550" s="1" t="s">
        <v>50</v>
      </c>
      <c r="L550" s="1"/>
      <c r="M550" s="1" t="s">
        <v>104</v>
      </c>
      <c r="N550" s="1" t="s">
        <v>50</v>
      </c>
      <c r="O550" s="1" t="s">
        <v>50</v>
      </c>
      <c r="P550" s="13" t="s">
        <v>810</v>
      </c>
      <c r="Q550" s="1" t="s">
        <v>50</v>
      </c>
      <c r="R550" s="1" t="s">
        <v>50</v>
      </c>
      <c r="S550" s="1" t="s">
        <v>104</v>
      </c>
      <c r="T550" s="1" t="s">
        <v>50</v>
      </c>
      <c r="U550" s="1" t="s">
        <v>50</v>
      </c>
      <c r="V550" s="1" t="s">
        <v>50</v>
      </c>
      <c r="W550" s="1" t="s">
        <v>50</v>
      </c>
      <c r="X550" s="1" t="s">
        <v>2231</v>
      </c>
      <c r="Y550" s="1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>
        <v>1</v>
      </c>
      <c r="AP550" s="8">
        <v>1</v>
      </c>
      <c r="AQ550" s="8">
        <v>1</v>
      </c>
      <c r="AR550" s="8">
        <v>1</v>
      </c>
      <c r="AS550" s="8"/>
      <c r="AT550" s="8"/>
      <c r="AU550" s="8"/>
      <c r="AV550" s="8"/>
      <c r="AW550" s="8"/>
      <c r="AX550" s="8"/>
      <c r="AY550" s="8"/>
      <c r="AZ550" s="8"/>
      <c r="BA550" s="8"/>
      <c r="BB550" s="1"/>
      <c r="BK550">
        <v>1</v>
      </c>
      <c r="BL550" s="58"/>
      <c r="BP550" t="str">
        <f t="shared" si="20"/>
        <v>Ice0</v>
      </c>
      <c r="BR550">
        <v>1</v>
      </c>
    </row>
    <row r="551" spans="1:70" x14ac:dyDescent="0.25">
      <c r="A551">
        <f t="shared" si="21"/>
        <v>504</v>
      </c>
      <c r="B551" t="s">
        <v>621</v>
      </c>
      <c r="D551" s="1" t="s">
        <v>15</v>
      </c>
      <c r="E551" s="1" t="s">
        <v>41</v>
      </c>
      <c r="F551" s="1" t="s">
        <v>50</v>
      </c>
      <c r="G551" s="1" t="s">
        <v>50</v>
      </c>
      <c r="H551" s="1" t="s">
        <v>50</v>
      </c>
      <c r="I551" s="1" t="s">
        <v>50</v>
      </c>
      <c r="J551" s="13" t="s">
        <v>50</v>
      </c>
      <c r="K551" s="1" t="s">
        <v>50</v>
      </c>
      <c r="L551" s="1" t="s">
        <v>50</v>
      </c>
      <c r="M551" s="1" t="s">
        <v>50</v>
      </c>
      <c r="N551" s="1" t="s">
        <v>50</v>
      </c>
      <c r="O551" s="1" t="s">
        <v>50</v>
      </c>
      <c r="P551" s="1" t="s">
        <v>1707</v>
      </c>
      <c r="Q551" s="1" t="s">
        <v>50</v>
      </c>
      <c r="R551" s="1" t="s">
        <v>50</v>
      </c>
      <c r="S551" s="1" t="s">
        <v>50</v>
      </c>
      <c r="T551" s="1" t="s">
        <v>50</v>
      </c>
      <c r="U551" s="1" t="s">
        <v>50</v>
      </c>
      <c r="V551" s="1" t="s">
        <v>50</v>
      </c>
      <c r="W551" s="1" t="s">
        <v>50</v>
      </c>
      <c r="X551" s="1" t="s">
        <v>2381</v>
      </c>
      <c r="Y551" s="1"/>
      <c r="Z551" s="8"/>
      <c r="AA551" s="8"/>
      <c r="AB551" s="8"/>
      <c r="AC551" s="8"/>
      <c r="AD551" s="8"/>
      <c r="AE551" s="8"/>
      <c r="AF551" s="8"/>
      <c r="AG551" s="8"/>
      <c r="AH551" s="8"/>
      <c r="AI551" s="8">
        <v>1</v>
      </c>
      <c r="AJ551" s="8"/>
      <c r="AK551" s="8">
        <v>1</v>
      </c>
      <c r="AL551" s="8">
        <v>1</v>
      </c>
      <c r="AM551" s="8">
        <v>1</v>
      </c>
      <c r="AN551" s="8">
        <v>1</v>
      </c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1"/>
      <c r="BJ551">
        <v>1</v>
      </c>
      <c r="BL551" s="58"/>
      <c r="BP551" t="str">
        <f t="shared" si="20"/>
        <v>WaterSound</v>
      </c>
      <c r="BR551">
        <v>3</v>
      </c>
    </row>
    <row r="552" spans="1:70" x14ac:dyDescent="0.25">
      <c r="A552">
        <f t="shared" si="21"/>
        <v>505</v>
      </c>
      <c r="B552" t="s">
        <v>618</v>
      </c>
      <c r="D552" s="1" t="s">
        <v>0</v>
      </c>
      <c r="E552" s="1">
        <v>0</v>
      </c>
      <c r="F552" s="1" t="s">
        <v>50</v>
      </c>
      <c r="G552" s="1" t="s">
        <v>50</v>
      </c>
      <c r="H552" s="1" t="s">
        <v>50</v>
      </c>
      <c r="I552" s="1" t="s">
        <v>50</v>
      </c>
      <c r="J552" s="13" t="s">
        <v>50</v>
      </c>
      <c r="K552" s="1" t="s">
        <v>50</v>
      </c>
      <c r="L552" s="1" t="s">
        <v>50</v>
      </c>
      <c r="M552" s="1" t="s">
        <v>50</v>
      </c>
      <c r="N552" s="1" t="s">
        <v>50</v>
      </c>
      <c r="O552" s="1" t="s">
        <v>50</v>
      </c>
      <c r="P552" s="13" t="s">
        <v>783</v>
      </c>
      <c r="Q552" s="1" t="s">
        <v>104</v>
      </c>
      <c r="R552" s="1" t="s">
        <v>104</v>
      </c>
      <c r="S552" s="1" t="s">
        <v>104</v>
      </c>
      <c r="T552" s="1" t="s">
        <v>104</v>
      </c>
      <c r="U552" s="1" t="s">
        <v>104</v>
      </c>
      <c r="V552" s="1" t="s">
        <v>104</v>
      </c>
      <c r="W552" s="1" t="s">
        <v>104</v>
      </c>
      <c r="X552" s="1" t="s">
        <v>731</v>
      </c>
      <c r="Y552" s="1"/>
      <c r="Z552" s="8"/>
      <c r="AA552" s="8"/>
      <c r="AB552" s="8"/>
      <c r="AC552" s="8"/>
      <c r="AD552" s="8"/>
      <c r="AE552" s="8"/>
      <c r="AF552" s="8"/>
      <c r="AG552" s="8">
        <v>1</v>
      </c>
      <c r="AH552" s="8">
        <v>1</v>
      </c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>
        <v>1</v>
      </c>
      <c r="AT552" s="8">
        <v>1</v>
      </c>
      <c r="AU552" s="8"/>
      <c r="AV552" s="8"/>
      <c r="AW552" s="8"/>
      <c r="AX552" s="8"/>
      <c r="AY552" s="8"/>
      <c r="AZ552" s="8"/>
      <c r="BA552" s="8"/>
      <c r="BB552" s="1"/>
      <c r="BJ552">
        <v>1</v>
      </c>
      <c r="BL552" s="58"/>
      <c r="BP552" t="str">
        <f t="shared" si="20"/>
        <v>Dark0</v>
      </c>
      <c r="BR552">
        <v>2</v>
      </c>
    </row>
    <row r="553" spans="1:70" x14ac:dyDescent="0.25">
      <c r="A553">
        <f t="shared" si="21"/>
        <v>506</v>
      </c>
      <c r="B553" t="s">
        <v>622</v>
      </c>
      <c r="D553" s="1" t="s">
        <v>5</v>
      </c>
      <c r="E553" s="1" t="s">
        <v>6</v>
      </c>
      <c r="F553" s="1" t="s">
        <v>50</v>
      </c>
      <c r="G553" s="1" t="s">
        <v>50</v>
      </c>
      <c r="H553" s="1"/>
      <c r="I553" s="1" t="s">
        <v>50</v>
      </c>
      <c r="J553" s="13" t="s">
        <v>50</v>
      </c>
      <c r="K553" s="1" t="s">
        <v>50</v>
      </c>
      <c r="L553" s="1"/>
      <c r="M553" s="1" t="s">
        <v>50</v>
      </c>
      <c r="N553" s="1" t="s">
        <v>50</v>
      </c>
      <c r="O553" s="1" t="s">
        <v>50</v>
      </c>
      <c r="P553" s="1" t="s">
        <v>811</v>
      </c>
      <c r="Q553" s="1" t="s">
        <v>104</v>
      </c>
      <c r="R553" s="1" t="s">
        <v>104</v>
      </c>
      <c r="S553" s="1" t="s">
        <v>104</v>
      </c>
      <c r="T553" s="1" t="s">
        <v>104</v>
      </c>
      <c r="U553" s="1" t="s">
        <v>104</v>
      </c>
      <c r="V553" s="1" t="s">
        <v>104</v>
      </c>
      <c r="W553" s="1" t="s">
        <v>104</v>
      </c>
      <c r="X553" s="1" t="s">
        <v>734</v>
      </c>
      <c r="Y553" s="1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>
        <v>1</v>
      </c>
      <c r="AQ553" s="8">
        <v>1</v>
      </c>
      <c r="AR553" s="8">
        <v>1</v>
      </c>
      <c r="AS553" s="8"/>
      <c r="AT553" s="8"/>
      <c r="AU553" s="8"/>
      <c r="AV553" s="8"/>
      <c r="AW553" s="8"/>
      <c r="AX553" s="8"/>
      <c r="AY553" s="8"/>
      <c r="AZ553" s="8"/>
      <c r="BA553" s="8"/>
      <c r="BB553" s="1"/>
      <c r="BL553" s="58"/>
      <c r="BP553" t="str">
        <f t="shared" si="20"/>
        <v>IceSteel</v>
      </c>
      <c r="BQ553" t="s">
        <v>2</v>
      </c>
      <c r="BR553">
        <v>4</v>
      </c>
    </row>
    <row r="554" spans="1:70" x14ac:dyDescent="0.25">
      <c r="A554">
        <f t="shared" si="21"/>
        <v>507</v>
      </c>
      <c r="B554" t="s">
        <v>623</v>
      </c>
      <c r="D554" s="1" t="s">
        <v>5</v>
      </c>
      <c r="E554" s="1" t="s">
        <v>6</v>
      </c>
      <c r="F554" s="1" t="s">
        <v>50</v>
      </c>
      <c r="G554" s="1" t="s">
        <v>50</v>
      </c>
      <c r="H554" s="1" t="s">
        <v>50</v>
      </c>
      <c r="I554" s="1" t="s">
        <v>50</v>
      </c>
      <c r="J554" s="13" t="s">
        <v>50</v>
      </c>
      <c r="K554" s="1" t="s">
        <v>50</v>
      </c>
      <c r="L554" s="1"/>
      <c r="M554" s="1" t="s">
        <v>104</v>
      </c>
      <c r="N554" s="1" t="s">
        <v>50</v>
      </c>
      <c r="O554" s="1" t="s">
        <v>50</v>
      </c>
      <c r="P554" s="1" t="s">
        <v>811</v>
      </c>
      <c r="Q554" s="1" t="s">
        <v>104</v>
      </c>
      <c r="R554" s="1" t="s">
        <v>104</v>
      </c>
      <c r="S554" s="1" t="s">
        <v>104</v>
      </c>
      <c r="T554" s="1" t="s">
        <v>104</v>
      </c>
      <c r="U554" s="1" t="s">
        <v>104</v>
      </c>
      <c r="V554" s="1" t="s">
        <v>104</v>
      </c>
      <c r="W554" s="1" t="s">
        <v>104</v>
      </c>
      <c r="X554" s="1" t="s">
        <v>734</v>
      </c>
      <c r="Y554" s="1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>
        <v>1</v>
      </c>
      <c r="AQ554" s="8">
        <v>1</v>
      </c>
      <c r="AR554" s="8">
        <v>1</v>
      </c>
      <c r="AS554" s="8"/>
      <c r="AT554" s="8"/>
      <c r="AU554" s="8"/>
      <c r="AV554" s="8"/>
      <c r="AW554" s="8"/>
      <c r="AX554" s="8"/>
      <c r="AY554" s="8"/>
      <c r="AZ554" s="8"/>
      <c r="BA554" s="8"/>
      <c r="BB554" s="1"/>
      <c r="BJ554">
        <v>4</v>
      </c>
      <c r="BK554">
        <v>4</v>
      </c>
      <c r="BL554" s="58"/>
      <c r="BP554" t="str">
        <f t="shared" si="20"/>
        <v>IceSteel</v>
      </c>
      <c r="BR554">
        <v>4</v>
      </c>
    </row>
    <row r="555" spans="1:70" x14ac:dyDescent="0.25">
      <c r="A555">
        <f t="shared" si="21"/>
        <v>508</v>
      </c>
      <c r="B555" t="s">
        <v>624</v>
      </c>
      <c r="D555" s="1" t="s">
        <v>6</v>
      </c>
      <c r="E555" s="1">
        <v>0</v>
      </c>
      <c r="F555" s="1" t="s">
        <v>50</v>
      </c>
      <c r="G555" s="1" t="s">
        <v>50</v>
      </c>
      <c r="H555" s="1"/>
      <c r="I555" s="1" t="s">
        <v>50</v>
      </c>
      <c r="J555" s="13" t="s">
        <v>50</v>
      </c>
      <c r="K555" s="1" t="s">
        <v>50</v>
      </c>
      <c r="L555" s="1"/>
      <c r="M555" s="1" t="s">
        <v>50</v>
      </c>
      <c r="N555" s="1" t="s">
        <v>50</v>
      </c>
      <c r="O555" s="1" t="s">
        <v>50</v>
      </c>
      <c r="P555" s="1" t="s">
        <v>104</v>
      </c>
      <c r="Q555" s="1" t="s">
        <v>104</v>
      </c>
      <c r="R555" s="1" t="s">
        <v>104</v>
      </c>
      <c r="S555" s="1" t="s">
        <v>104</v>
      </c>
      <c r="T555" s="1" t="s">
        <v>104</v>
      </c>
      <c r="U555" s="1" t="s">
        <v>104</v>
      </c>
      <c r="V555" s="1" t="s">
        <v>104</v>
      </c>
      <c r="W555" s="1" t="s">
        <v>104</v>
      </c>
      <c r="X555" s="1" t="s">
        <v>733</v>
      </c>
      <c r="Y555" s="1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>
        <v>1</v>
      </c>
      <c r="AT555" s="8">
        <v>1</v>
      </c>
      <c r="AU555" s="8"/>
      <c r="AV555" s="8"/>
      <c r="AW555" s="8"/>
      <c r="AX555" s="8"/>
      <c r="AY555" s="8"/>
      <c r="AZ555" s="8"/>
      <c r="BA555" s="8"/>
      <c r="BB555" s="1"/>
      <c r="BL555" s="58"/>
      <c r="BP555" t="str">
        <f t="shared" si="20"/>
        <v>Steel0</v>
      </c>
      <c r="BQ555" t="s">
        <v>2</v>
      </c>
      <c r="BR555">
        <v>8</v>
      </c>
    </row>
    <row r="556" spans="1:70" x14ac:dyDescent="0.25">
      <c r="A556">
        <f t="shared" si="21"/>
        <v>509</v>
      </c>
      <c r="B556" t="s">
        <v>625</v>
      </c>
      <c r="D556" s="1" t="s">
        <v>6</v>
      </c>
      <c r="E556" s="1" t="s">
        <v>18</v>
      </c>
      <c r="F556" s="1" t="s">
        <v>50</v>
      </c>
      <c r="G556" s="1" t="s">
        <v>50</v>
      </c>
      <c r="H556" s="1" t="s">
        <v>50</v>
      </c>
      <c r="I556" s="1" t="s">
        <v>50</v>
      </c>
      <c r="J556" s="13" t="s">
        <v>50</v>
      </c>
      <c r="K556" s="1" t="s">
        <v>50</v>
      </c>
      <c r="L556" s="1"/>
      <c r="M556" s="1" t="s">
        <v>104</v>
      </c>
      <c r="N556" s="1" t="s">
        <v>50</v>
      </c>
      <c r="O556" s="1" t="s">
        <v>50</v>
      </c>
      <c r="P556" s="1" t="s">
        <v>104</v>
      </c>
      <c r="Q556" s="1" t="s">
        <v>104</v>
      </c>
      <c r="R556" s="1" t="s">
        <v>104</v>
      </c>
      <c r="S556" s="1" t="s">
        <v>104</v>
      </c>
      <c r="T556" s="1" t="s">
        <v>104</v>
      </c>
      <c r="U556" s="1" t="s">
        <v>104</v>
      </c>
      <c r="V556" s="1" t="s">
        <v>104</v>
      </c>
      <c r="W556" s="1" t="s">
        <v>104</v>
      </c>
      <c r="X556" s="1" t="s">
        <v>733</v>
      </c>
      <c r="Y556" s="1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>
        <v>1</v>
      </c>
      <c r="AT556" s="8">
        <v>1</v>
      </c>
      <c r="AU556" s="8"/>
      <c r="AV556" s="8"/>
      <c r="AW556" s="8"/>
      <c r="AX556" s="8"/>
      <c r="AY556" s="8"/>
      <c r="AZ556" s="8"/>
      <c r="BA556" s="8"/>
      <c r="BB556" s="1"/>
      <c r="BJ556">
        <v>1</v>
      </c>
      <c r="BL556" s="58"/>
      <c r="BP556" t="str">
        <f t="shared" si="20"/>
        <v>SteelFighting</v>
      </c>
      <c r="BR556">
        <v>8</v>
      </c>
    </row>
    <row r="557" spans="1:70" x14ac:dyDescent="0.25">
      <c r="A557">
        <f t="shared" si="21"/>
        <v>510</v>
      </c>
      <c r="B557" t="s">
        <v>626</v>
      </c>
      <c r="D557" s="1" t="s">
        <v>6</v>
      </c>
      <c r="E557" s="1" t="s">
        <v>12</v>
      </c>
      <c r="F557" s="1" t="s">
        <v>50</v>
      </c>
      <c r="G557" s="1" t="s">
        <v>50</v>
      </c>
      <c r="H557" s="1" t="s">
        <v>50</v>
      </c>
      <c r="I557" s="1" t="s">
        <v>50</v>
      </c>
      <c r="J557" s="13" t="s">
        <v>50</v>
      </c>
      <c r="K557" s="1" t="s">
        <v>50</v>
      </c>
      <c r="L557" s="1"/>
      <c r="M557" s="1" t="s">
        <v>104</v>
      </c>
      <c r="N557" s="1" t="s">
        <v>50</v>
      </c>
      <c r="O557" s="1" t="s">
        <v>50</v>
      </c>
      <c r="P557" s="1" t="s">
        <v>104</v>
      </c>
      <c r="Q557" s="1" t="s">
        <v>104</v>
      </c>
      <c r="R557" s="1" t="s">
        <v>104</v>
      </c>
      <c r="S557" s="1" t="s">
        <v>104</v>
      </c>
      <c r="T557" s="1" t="s">
        <v>104</v>
      </c>
      <c r="U557" s="1" t="s">
        <v>104</v>
      </c>
      <c r="V557" s="1" t="s">
        <v>104</v>
      </c>
      <c r="W557" s="1" t="s">
        <v>104</v>
      </c>
      <c r="X557" s="1" t="s">
        <v>733</v>
      </c>
      <c r="Y557" s="1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>
        <v>1</v>
      </c>
      <c r="AT557" s="8">
        <v>1</v>
      </c>
      <c r="AU557" s="8"/>
      <c r="AV557" s="8"/>
      <c r="AW557" s="8"/>
      <c r="AX557" s="8"/>
      <c r="AY557" s="8"/>
      <c r="AZ557" s="8"/>
      <c r="BA557" s="8"/>
      <c r="BB557" s="1"/>
      <c r="BK557">
        <v>1</v>
      </c>
      <c r="BL557" s="58"/>
      <c r="BP557" t="str">
        <f t="shared" si="20"/>
        <v>SteelDragon</v>
      </c>
      <c r="BR557">
        <v>8</v>
      </c>
    </row>
    <row r="558" spans="1:70" x14ac:dyDescent="0.25">
      <c r="A558">
        <f t="shared" si="21"/>
        <v>511</v>
      </c>
      <c r="B558" t="s">
        <v>1695</v>
      </c>
      <c r="D558" s="1" t="s">
        <v>5</v>
      </c>
      <c r="E558" s="1" t="s">
        <v>14</v>
      </c>
      <c r="F558" s="1" t="s">
        <v>50</v>
      </c>
      <c r="G558" s="1" t="s">
        <v>50</v>
      </c>
      <c r="H558" s="1" t="s">
        <v>50</v>
      </c>
      <c r="I558" s="1" t="s">
        <v>50</v>
      </c>
      <c r="J558" s="13" t="s">
        <v>50</v>
      </c>
      <c r="K558" s="13" t="s">
        <v>50</v>
      </c>
      <c r="L558" s="1" t="s">
        <v>50</v>
      </c>
      <c r="M558" s="1" t="s">
        <v>50</v>
      </c>
      <c r="N558" s="1" t="s">
        <v>50</v>
      </c>
      <c r="O558" s="1" t="s">
        <v>50</v>
      </c>
      <c r="P558" s="1" t="s">
        <v>104</v>
      </c>
      <c r="Q558" s="1" t="s">
        <v>104</v>
      </c>
      <c r="R558" s="1" t="s">
        <v>104</v>
      </c>
      <c r="S558" s="1" t="s">
        <v>104</v>
      </c>
      <c r="T558" s="1" t="s">
        <v>104</v>
      </c>
      <c r="U558" s="1" t="s">
        <v>104</v>
      </c>
      <c r="V558" s="1" t="s">
        <v>104</v>
      </c>
      <c r="W558" s="1" t="s">
        <v>104</v>
      </c>
      <c r="X558" s="1" t="s">
        <v>727</v>
      </c>
      <c r="Y558" s="1"/>
      <c r="Z558" s="8"/>
      <c r="AA558" s="8"/>
      <c r="AB558" s="8"/>
      <c r="AC558" s="8"/>
      <c r="AD558" s="8">
        <v>1</v>
      </c>
      <c r="AE558" s="8"/>
      <c r="AF558" s="8"/>
      <c r="AG558" s="8"/>
      <c r="AH558" s="8">
        <v>1</v>
      </c>
      <c r="AI558" s="8"/>
      <c r="AJ558" s="8"/>
      <c r="AK558" s="8"/>
      <c r="AL558" s="8"/>
      <c r="AM558" s="8"/>
      <c r="AN558" s="8"/>
      <c r="AO558" s="8"/>
      <c r="AP558" s="8"/>
      <c r="AQ558" s="8">
        <v>1</v>
      </c>
      <c r="AR558" s="8">
        <v>1</v>
      </c>
      <c r="AS558" s="8"/>
      <c r="AT558" s="8"/>
      <c r="AU558" s="8"/>
      <c r="AV558" s="8"/>
      <c r="AW558" s="8"/>
      <c r="AX558" s="8"/>
      <c r="AY558" s="8"/>
      <c r="AZ558" s="8"/>
      <c r="BA558" s="8"/>
      <c r="BB558" s="1"/>
      <c r="BJ558">
        <v>3</v>
      </c>
      <c r="BL558" s="58"/>
      <c r="BP558" t="str">
        <f t="shared" si="20"/>
        <v>IceGhost</v>
      </c>
      <c r="BR558">
        <v>7</v>
      </c>
    </row>
    <row r="559" spans="1:70" x14ac:dyDescent="0.25">
      <c r="A559">
        <f t="shared" si="21"/>
        <v>512</v>
      </c>
      <c r="B559" t="s">
        <v>629</v>
      </c>
      <c r="D559" s="1" t="s">
        <v>9</v>
      </c>
      <c r="E559" s="1" t="s">
        <v>1</v>
      </c>
      <c r="F559" s="1" t="s">
        <v>50</v>
      </c>
      <c r="G559" s="1" t="s">
        <v>50</v>
      </c>
      <c r="H559" s="1"/>
      <c r="I559" s="1" t="s">
        <v>50</v>
      </c>
      <c r="J559" s="13" t="s">
        <v>50</v>
      </c>
      <c r="K559" s="13" t="s">
        <v>50</v>
      </c>
      <c r="L559" s="1"/>
      <c r="M559" s="1" t="s">
        <v>50</v>
      </c>
      <c r="N559" s="1" t="s">
        <v>50</v>
      </c>
      <c r="O559" s="1" t="s">
        <v>50</v>
      </c>
      <c r="P559" s="1" t="s">
        <v>104</v>
      </c>
      <c r="Q559" s="1" t="s">
        <v>104</v>
      </c>
      <c r="R559" s="1" t="s">
        <v>104</v>
      </c>
      <c r="S559" s="1" t="s">
        <v>104</v>
      </c>
      <c r="T559" s="1" t="s">
        <v>104</v>
      </c>
      <c r="U559" s="1" t="s">
        <v>104</v>
      </c>
      <c r="V559" s="1" t="s">
        <v>104</v>
      </c>
      <c r="W559" s="1" t="s">
        <v>104</v>
      </c>
      <c r="X559" s="1" t="s">
        <v>733</v>
      </c>
      <c r="Y559" s="1"/>
      <c r="Z559" s="8">
        <v>1</v>
      </c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>
        <v>1</v>
      </c>
      <c r="AQ559" s="8"/>
      <c r="AR559" s="8"/>
      <c r="AS559" s="8"/>
      <c r="AT559" s="8"/>
      <c r="AU559" s="8"/>
      <c r="AV559" s="8"/>
      <c r="AW559" s="8"/>
      <c r="AX559" s="8">
        <v>1</v>
      </c>
      <c r="AY559" s="8">
        <v>1</v>
      </c>
      <c r="AZ559" s="8"/>
      <c r="BA559" s="8"/>
      <c r="BB559" s="1"/>
      <c r="BL559" s="58"/>
      <c r="BP559" t="str">
        <f t="shared" si="20"/>
        <v>RockNormal</v>
      </c>
      <c r="BQ559" t="s">
        <v>2</v>
      </c>
      <c r="BR559">
        <v>8</v>
      </c>
    </row>
    <row r="560" spans="1:70" x14ac:dyDescent="0.25">
      <c r="A560">
        <f t="shared" si="21"/>
        <v>513</v>
      </c>
      <c r="B560" t="s">
        <v>630</v>
      </c>
      <c r="D560" s="1" t="s">
        <v>9</v>
      </c>
      <c r="E560" s="1" t="s">
        <v>1</v>
      </c>
      <c r="F560" s="1" t="s">
        <v>50</v>
      </c>
      <c r="G560" s="1" t="s">
        <v>50</v>
      </c>
      <c r="H560" s="1" t="s">
        <v>50</v>
      </c>
      <c r="I560" s="1" t="s">
        <v>50</v>
      </c>
      <c r="J560" s="13" t="s">
        <v>50</v>
      </c>
      <c r="K560" s="13" t="s">
        <v>50</v>
      </c>
      <c r="L560" s="1"/>
      <c r="M560" s="1" t="s">
        <v>104</v>
      </c>
      <c r="N560" s="1" t="s">
        <v>50</v>
      </c>
      <c r="O560" s="1" t="s">
        <v>50</v>
      </c>
      <c r="P560" s="1" t="s">
        <v>104</v>
      </c>
      <c r="Q560" s="1" t="s">
        <v>104</v>
      </c>
      <c r="R560" s="1" t="s">
        <v>104</v>
      </c>
      <c r="S560" s="1" t="s">
        <v>104</v>
      </c>
      <c r="T560" s="1" t="s">
        <v>104</v>
      </c>
      <c r="U560" s="1" t="s">
        <v>104</v>
      </c>
      <c r="V560" s="1" t="s">
        <v>104</v>
      </c>
      <c r="W560" s="1" t="s">
        <v>104</v>
      </c>
      <c r="X560" s="1" t="s">
        <v>733</v>
      </c>
      <c r="Y560" s="1"/>
      <c r="Z560" s="8">
        <v>1</v>
      </c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>
        <v>1</v>
      </c>
      <c r="AQ560" s="8"/>
      <c r="AR560" s="8"/>
      <c r="AS560" s="8"/>
      <c r="AT560" s="8"/>
      <c r="AU560" s="8"/>
      <c r="AV560" s="8"/>
      <c r="AW560" s="8"/>
      <c r="AX560" s="8">
        <v>1</v>
      </c>
      <c r="AY560" s="8">
        <v>1</v>
      </c>
      <c r="AZ560" s="8"/>
      <c r="BA560" s="8"/>
      <c r="BB560" s="1"/>
      <c r="BJ560">
        <v>1</v>
      </c>
      <c r="BL560" s="58"/>
      <c r="BP560" t="str">
        <f t="shared" si="20"/>
        <v>RockNormal</v>
      </c>
      <c r="BR560">
        <v>8</v>
      </c>
    </row>
    <row r="561" spans="1:70" x14ac:dyDescent="0.25">
      <c r="A561">
        <f t="shared" si="21"/>
        <v>514</v>
      </c>
      <c r="B561" t="s">
        <v>631</v>
      </c>
      <c r="D561" s="1" t="s">
        <v>4</v>
      </c>
      <c r="E561" s="1" t="s">
        <v>42</v>
      </c>
      <c r="F561" s="1" t="s">
        <v>50</v>
      </c>
      <c r="G561" s="1" t="s">
        <v>50</v>
      </c>
      <c r="H561" s="1" t="s">
        <v>50</v>
      </c>
      <c r="I561" s="1" t="s">
        <v>50</v>
      </c>
      <c r="J561" s="13" t="s">
        <v>50</v>
      </c>
      <c r="K561" s="13" t="s">
        <v>50</v>
      </c>
      <c r="L561" s="1"/>
      <c r="M561" s="1" t="s">
        <v>50</v>
      </c>
      <c r="N561" s="1" t="s">
        <v>50</v>
      </c>
      <c r="O561" s="1" t="s">
        <v>50</v>
      </c>
      <c r="P561" s="1" t="s">
        <v>104</v>
      </c>
      <c r="Q561" s="1" t="s">
        <v>50</v>
      </c>
      <c r="R561" s="1" t="s">
        <v>50</v>
      </c>
      <c r="S561" s="1" t="s">
        <v>50</v>
      </c>
      <c r="T561" s="1" t="s">
        <v>50</v>
      </c>
      <c r="U561" s="1" t="s">
        <v>50</v>
      </c>
      <c r="V561" s="1" t="s">
        <v>50</v>
      </c>
      <c r="W561" s="1" t="s">
        <v>50</v>
      </c>
      <c r="X561" s="1" t="s">
        <v>729</v>
      </c>
      <c r="Y561" s="1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>
        <v>1</v>
      </c>
      <c r="AT561" s="8"/>
      <c r="AU561" s="8">
        <v>1</v>
      </c>
      <c r="AV561" s="8"/>
      <c r="AW561" s="8"/>
      <c r="AX561" s="8"/>
      <c r="AY561" s="8"/>
      <c r="AZ561" s="8"/>
      <c r="BA561" s="8"/>
      <c r="BB561" s="1"/>
      <c r="BJ561">
        <v>4</v>
      </c>
      <c r="BK561">
        <v>2</v>
      </c>
      <c r="BL561" s="58"/>
      <c r="BP561" t="str">
        <f t="shared" si="20"/>
        <v>PsychicCosmic</v>
      </c>
      <c r="BR561">
        <v>3</v>
      </c>
    </row>
    <row r="562" spans="1:70" x14ac:dyDescent="0.25">
      <c r="A562">
        <f t="shared" si="21"/>
        <v>515</v>
      </c>
      <c r="B562" t="s">
        <v>635</v>
      </c>
      <c r="D562" s="1" t="s">
        <v>14</v>
      </c>
      <c r="E562" s="1">
        <v>0</v>
      </c>
      <c r="F562" s="1" t="s">
        <v>50</v>
      </c>
      <c r="G562" s="1" t="s">
        <v>50</v>
      </c>
      <c r="H562" s="1"/>
      <c r="I562" s="1" t="s">
        <v>50</v>
      </c>
      <c r="J562" s="13" t="s">
        <v>50</v>
      </c>
      <c r="K562" s="13" t="s">
        <v>50</v>
      </c>
      <c r="L562" s="1"/>
      <c r="M562" s="1" t="s">
        <v>50</v>
      </c>
      <c r="N562" s="1" t="s">
        <v>50</v>
      </c>
      <c r="O562" s="1" t="s">
        <v>50</v>
      </c>
      <c r="P562" s="1" t="s">
        <v>104</v>
      </c>
      <c r="Q562" s="1" t="s">
        <v>104</v>
      </c>
      <c r="R562" s="1" t="s">
        <v>104</v>
      </c>
      <c r="S562" s="1" t="s">
        <v>104</v>
      </c>
      <c r="T562" s="1" t="s">
        <v>104</v>
      </c>
      <c r="U562" s="1" t="s">
        <v>104</v>
      </c>
      <c r="V562" s="1" t="s">
        <v>104</v>
      </c>
      <c r="W562" s="1" t="s">
        <v>104</v>
      </c>
      <c r="X562" s="1" t="s">
        <v>732</v>
      </c>
      <c r="Y562" s="1"/>
      <c r="Z562" s="8"/>
      <c r="AA562" s="8"/>
      <c r="AB562" s="8"/>
      <c r="AC562" s="8"/>
      <c r="AD562" s="8"/>
      <c r="AE562" s="8"/>
      <c r="AF562" s="8"/>
      <c r="AG562" s="8">
        <v>1</v>
      </c>
      <c r="AH562" s="8">
        <v>1</v>
      </c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>
        <v>1</v>
      </c>
      <c r="AV562" s="8"/>
      <c r="AW562" s="8"/>
      <c r="AX562" s="8"/>
      <c r="AY562" s="8"/>
      <c r="AZ562" s="8"/>
      <c r="BA562" s="8"/>
      <c r="BB562" s="1"/>
      <c r="BL562" s="58"/>
      <c r="BP562" t="str">
        <f t="shared" si="20"/>
        <v>Ghost0</v>
      </c>
      <c r="BQ562" t="s">
        <v>2</v>
      </c>
      <c r="BR562">
        <v>5</v>
      </c>
    </row>
    <row r="563" spans="1:70" x14ac:dyDescent="0.25">
      <c r="A563">
        <f t="shared" si="21"/>
        <v>516</v>
      </c>
      <c r="B563" t="s">
        <v>636</v>
      </c>
      <c r="D563" s="1" t="s">
        <v>14</v>
      </c>
      <c r="E563" s="1">
        <v>0</v>
      </c>
      <c r="F563" s="1" t="s">
        <v>50</v>
      </c>
      <c r="G563" s="1" t="s">
        <v>50</v>
      </c>
      <c r="H563" s="1"/>
      <c r="I563" s="1" t="s">
        <v>50</v>
      </c>
      <c r="J563" s="13" t="s">
        <v>50</v>
      </c>
      <c r="K563" s="13" t="s">
        <v>50</v>
      </c>
      <c r="L563" s="1" t="s">
        <v>50</v>
      </c>
      <c r="M563" s="1" t="s">
        <v>104</v>
      </c>
      <c r="N563" s="1" t="s">
        <v>50</v>
      </c>
      <c r="O563" s="1" t="s">
        <v>50</v>
      </c>
      <c r="P563" s="1" t="s">
        <v>104</v>
      </c>
      <c r="Q563" s="1" t="s">
        <v>104</v>
      </c>
      <c r="R563" s="1" t="s">
        <v>104</v>
      </c>
      <c r="S563" s="1" t="s">
        <v>104</v>
      </c>
      <c r="T563" s="1" t="s">
        <v>104</v>
      </c>
      <c r="U563" s="1" t="s">
        <v>104</v>
      </c>
      <c r="V563" s="1" t="s">
        <v>104</v>
      </c>
      <c r="W563" s="1" t="s">
        <v>104</v>
      </c>
      <c r="X563" s="1" t="s">
        <v>732</v>
      </c>
      <c r="Y563" s="1"/>
      <c r="Z563" s="8"/>
      <c r="AA563" s="8"/>
      <c r="AB563" s="8"/>
      <c r="AC563" s="8"/>
      <c r="AD563" s="8"/>
      <c r="AE563" s="8"/>
      <c r="AF563" s="8"/>
      <c r="AG563" s="8">
        <v>1</v>
      </c>
      <c r="AH563" s="8">
        <v>1</v>
      </c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>
        <v>1</v>
      </c>
      <c r="AV563" s="8"/>
      <c r="AW563" s="8"/>
      <c r="AX563" s="8"/>
      <c r="AY563" s="8"/>
      <c r="AZ563" s="8"/>
      <c r="BA563" s="8"/>
      <c r="BB563" s="1"/>
      <c r="BL563" s="58"/>
      <c r="BP563" t="str">
        <f t="shared" si="20"/>
        <v>Ghost0</v>
      </c>
      <c r="BQ563" t="s">
        <v>2</v>
      </c>
      <c r="BR563">
        <v>5</v>
      </c>
    </row>
    <row r="564" spans="1:70" x14ac:dyDescent="0.25">
      <c r="A564">
        <f t="shared" si="21"/>
        <v>517</v>
      </c>
      <c r="B564" t="s">
        <v>637</v>
      </c>
      <c r="D564" s="1" t="s">
        <v>14</v>
      </c>
      <c r="E564" s="1">
        <v>0</v>
      </c>
      <c r="F564" s="1" t="s">
        <v>50</v>
      </c>
      <c r="G564" s="1" t="s">
        <v>50</v>
      </c>
      <c r="H564" s="1" t="s">
        <v>50</v>
      </c>
      <c r="I564" s="1" t="s">
        <v>50</v>
      </c>
      <c r="J564" s="13" t="s">
        <v>50</v>
      </c>
      <c r="K564" s="13" t="s">
        <v>50</v>
      </c>
      <c r="L564" s="1"/>
      <c r="M564" s="1" t="s">
        <v>104</v>
      </c>
      <c r="N564" s="1" t="s">
        <v>50</v>
      </c>
      <c r="O564" s="1" t="s">
        <v>50</v>
      </c>
      <c r="P564" s="1" t="s">
        <v>104</v>
      </c>
      <c r="Q564" s="1" t="s">
        <v>104</v>
      </c>
      <c r="R564" s="1" t="s">
        <v>104</v>
      </c>
      <c r="S564" s="1" t="s">
        <v>104</v>
      </c>
      <c r="T564" s="1" t="s">
        <v>104</v>
      </c>
      <c r="U564" s="1" t="s">
        <v>104</v>
      </c>
      <c r="V564" s="1" t="s">
        <v>104</v>
      </c>
      <c r="W564" s="1" t="s">
        <v>104</v>
      </c>
      <c r="X564" s="1" t="s">
        <v>2444</v>
      </c>
      <c r="Y564" s="1"/>
      <c r="Z564" s="8"/>
      <c r="AA564" s="8"/>
      <c r="AB564" s="8"/>
      <c r="AC564" s="8"/>
      <c r="AD564" s="8"/>
      <c r="AE564" s="8"/>
      <c r="AF564" s="8"/>
      <c r="AG564" s="8">
        <v>1</v>
      </c>
      <c r="AH564" s="8">
        <v>1</v>
      </c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>
        <v>1</v>
      </c>
      <c r="AV564" s="8"/>
      <c r="AW564" s="8"/>
      <c r="AX564" s="8"/>
      <c r="AY564" s="8"/>
      <c r="AZ564" s="8"/>
      <c r="BA564" s="8"/>
      <c r="BB564" s="1"/>
      <c r="BJ564">
        <v>3</v>
      </c>
      <c r="BL564" s="58"/>
      <c r="BP564" t="str">
        <f t="shared" si="20"/>
        <v>Ghost0</v>
      </c>
      <c r="BR564">
        <v>5</v>
      </c>
    </row>
    <row r="565" spans="1:70" x14ac:dyDescent="0.25">
      <c r="A565">
        <f t="shared" si="21"/>
        <v>518</v>
      </c>
      <c r="B565" t="s">
        <v>632</v>
      </c>
      <c r="D565" s="1" t="s">
        <v>15</v>
      </c>
      <c r="E565" s="1" t="s">
        <v>42</v>
      </c>
      <c r="F565" s="1" t="s">
        <v>50</v>
      </c>
      <c r="G565" s="1" t="s">
        <v>50</v>
      </c>
      <c r="H565" s="1"/>
      <c r="I565" s="1" t="s">
        <v>50</v>
      </c>
      <c r="J565" s="13" t="s">
        <v>50</v>
      </c>
      <c r="K565" s="13" t="s">
        <v>50</v>
      </c>
      <c r="L565" s="1"/>
      <c r="M565" s="1" t="s">
        <v>50</v>
      </c>
      <c r="N565" s="1" t="s">
        <v>50</v>
      </c>
      <c r="O565" s="1" t="s">
        <v>50</v>
      </c>
      <c r="P565" s="1" t="s">
        <v>104</v>
      </c>
      <c r="Q565" s="1" t="s">
        <v>104</v>
      </c>
      <c r="R565" s="1" t="s">
        <v>104</v>
      </c>
      <c r="S565" s="1" t="s">
        <v>104</v>
      </c>
      <c r="T565" s="1" t="s">
        <v>104</v>
      </c>
      <c r="U565" s="1" t="s">
        <v>104</v>
      </c>
      <c r="V565" s="1" t="s">
        <v>104</v>
      </c>
      <c r="W565" s="1" t="s">
        <v>104</v>
      </c>
      <c r="X565" s="1" t="s">
        <v>2122</v>
      </c>
      <c r="Y565" s="1"/>
      <c r="Z565" s="8"/>
      <c r="AA565" s="8"/>
      <c r="AB565" s="8"/>
      <c r="AC565" s="8"/>
      <c r="AD565" s="8"/>
      <c r="AE565" s="8"/>
      <c r="AF565" s="8"/>
      <c r="AG565" s="8"/>
      <c r="AH565" s="8"/>
      <c r="AI565" s="8">
        <v>1</v>
      </c>
      <c r="AJ565" s="8">
        <v>1</v>
      </c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1"/>
      <c r="BL565" s="58"/>
      <c r="BP565" t="str">
        <f t="shared" si="20"/>
        <v>WaterCosmic</v>
      </c>
      <c r="BQ565" t="s">
        <v>2</v>
      </c>
      <c r="BR565">
        <v>6</v>
      </c>
    </row>
    <row r="566" spans="1:70" x14ac:dyDescent="0.25">
      <c r="A566">
        <f t="shared" si="21"/>
        <v>519</v>
      </c>
      <c r="B566" t="s">
        <v>633</v>
      </c>
      <c r="D566" s="1" t="s">
        <v>15</v>
      </c>
      <c r="E566" s="1" t="s">
        <v>42</v>
      </c>
      <c r="F566" s="1" t="s">
        <v>50</v>
      </c>
      <c r="G566" s="1" t="s">
        <v>50</v>
      </c>
      <c r="H566" s="1"/>
      <c r="I566" s="1" t="s">
        <v>50</v>
      </c>
      <c r="J566" s="13" t="s">
        <v>50</v>
      </c>
      <c r="K566" s="13" t="s">
        <v>50</v>
      </c>
      <c r="L566" s="1"/>
      <c r="M566" s="1" t="s">
        <v>104</v>
      </c>
      <c r="N566" s="1" t="s">
        <v>50</v>
      </c>
      <c r="O566" s="1" t="s">
        <v>50</v>
      </c>
      <c r="P566" s="1" t="s">
        <v>104</v>
      </c>
      <c r="Q566" s="1" t="s">
        <v>104</v>
      </c>
      <c r="R566" s="1" t="s">
        <v>104</v>
      </c>
      <c r="S566" s="1" t="s">
        <v>104</v>
      </c>
      <c r="T566" s="1" t="s">
        <v>104</v>
      </c>
      <c r="U566" s="1" t="s">
        <v>104</v>
      </c>
      <c r="V566" s="1" t="s">
        <v>104</v>
      </c>
      <c r="W566" s="1" t="s">
        <v>104</v>
      </c>
      <c r="X566" s="1" t="s">
        <v>729</v>
      </c>
      <c r="Y566" s="1"/>
      <c r="Z566" s="8"/>
      <c r="AA566" s="8"/>
      <c r="AB566" s="8"/>
      <c r="AC566" s="8"/>
      <c r="AD566" s="8"/>
      <c r="AE566" s="8"/>
      <c r="AF566" s="8"/>
      <c r="AG566" s="8"/>
      <c r="AH566" s="8"/>
      <c r="AI566" s="8">
        <v>1</v>
      </c>
      <c r="AJ566" s="8">
        <v>1</v>
      </c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1"/>
      <c r="BL566" s="58"/>
      <c r="BP566" t="str">
        <f t="shared" si="20"/>
        <v>WaterCosmic</v>
      </c>
      <c r="BQ566" t="s">
        <v>2</v>
      </c>
      <c r="BR566">
        <v>6</v>
      </c>
    </row>
    <row r="567" spans="1:70" x14ac:dyDescent="0.25">
      <c r="A567">
        <f t="shared" si="21"/>
        <v>520</v>
      </c>
      <c r="B567" t="s">
        <v>634</v>
      </c>
      <c r="D567" s="1" t="s">
        <v>15</v>
      </c>
      <c r="E567" s="1" t="s">
        <v>42</v>
      </c>
      <c r="F567" s="1" t="s">
        <v>50</v>
      </c>
      <c r="G567" s="1" t="s">
        <v>50</v>
      </c>
      <c r="H567" s="1" t="s">
        <v>50</v>
      </c>
      <c r="I567" s="1" t="s">
        <v>50</v>
      </c>
      <c r="J567" s="13" t="s">
        <v>50</v>
      </c>
      <c r="K567" s="13" t="s">
        <v>50</v>
      </c>
      <c r="L567" s="1"/>
      <c r="M567" s="1" t="s">
        <v>104</v>
      </c>
      <c r="N567" s="1" t="s">
        <v>50</v>
      </c>
      <c r="O567" s="1" t="s">
        <v>50</v>
      </c>
      <c r="P567" s="1" t="s">
        <v>104</v>
      </c>
      <c r="Q567" s="1" t="s">
        <v>104</v>
      </c>
      <c r="R567" s="1" t="s">
        <v>104</v>
      </c>
      <c r="S567" s="1" t="s">
        <v>104</v>
      </c>
      <c r="T567" s="1" t="s">
        <v>104</v>
      </c>
      <c r="U567" s="1" t="s">
        <v>104</v>
      </c>
      <c r="V567" s="1" t="s">
        <v>104</v>
      </c>
      <c r="W567" s="1" t="s">
        <v>104</v>
      </c>
      <c r="X567" s="1" t="s">
        <v>729</v>
      </c>
      <c r="Y567" s="1"/>
      <c r="Z567" s="8"/>
      <c r="AA567" s="8"/>
      <c r="AB567" s="8"/>
      <c r="AC567" s="8"/>
      <c r="AD567" s="8"/>
      <c r="AE567" s="8"/>
      <c r="AF567" s="8"/>
      <c r="AG567" s="8"/>
      <c r="AH567" s="8"/>
      <c r="AI567" s="8">
        <v>1</v>
      </c>
      <c r="AJ567" s="8">
        <v>1</v>
      </c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1"/>
      <c r="BJ567">
        <v>20</v>
      </c>
      <c r="BK567">
        <v>7</v>
      </c>
      <c r="BL567" s="58">
        <v>1</v>
      </c>
      <c r="BP567" t="str">
        <f t="shared" si="20"/>
        <v>WaterCosmic</v>
      </c>
      <c r="BR567">
        <v>6</v>
      </c>
    </row>
    <row r="568" spans="1:70" x14ac:dyDescent="0.25">
      <c r="A568">
        <f t="shared" si="21"/>
        <v>521</v>
      </c>
      <c r="B568" t="s">
        <v>638</v>
      </c>
      <c r="D568" s="1" t="s">
        <v>42</v>
      </c>
      <c r="E568" s="1" t="s">
        <v>9</v>
      </c>
      <c r="F568" s="1" t="s">
        <v>50</v>
      </c>
      <c r="G568" s="1" t="s">
        <v>50</v>
      </c>
      <c r="H568" s="1"/>
      <c r="I568" s="1" t="s">
        <v>50</v>
      </c>
      <c r="J568" s="13" t="s">
        <v>50</v>
      </c>
      <c r="K568" s="13" t="s">
        <v>50</v>
      </c>
      <c r="L568" s="1"/>
      <c r="M568" s="1" t="s">
        <v>50</v>
      </c>
      <c r="N568" s="1" t="s">
        <v>50</v>
      </c>
      <c r="O568" s="1" t="s">
        <v>50</v>
      </c>
      <c r="P568" s="13" t="s">
        <v>807</v>
      </c>
      <c r="Q568" s="1" t="s">
        <v>104</v>
      </c>
      <c r="R568" s="1" t="s">
        <v>104</v>
      </c>
      <c r="S568" s="1" t="s">
        <v>104</v>
      </c>
      <c r="T568" s="1" t="s">
        <v>104</v>
      </c>
      <c r="U568" s="1" t="s">
        <v>104</v>
      </c>
      <c r="V568" s="1" t="s">
        <v>104</v>
      </c>
      <c r="W568" s="1" t="s">
        <v>104</v>
      </c>
      <c r="X568" s="1" t="s">
        <v>748</v>
      </c>
      <c r="Y568" s="1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>
        <v>1</v>
      </c>
      <c r="AV568" s="8"/>
      <c r="AW568" s="8"/>
      <c r="AX568" s="8"/>
      <c r="AY568" s="8"/>
      <c r="AZ568" s="8"/>
      <c r="BA568" s="8"/>
      <c r="BB568" s="1"/>
      <c r="BL568" s="58"/>
      <c r="BP568" t="str">
        <f t="shared" si="20"/>
        <v>CosmicRock</v>
      </c>
      <c r="BQ568" t="s">
        <v>2</v>
      </c>
      <c r="BR568">
        <v>1</v>
      </c>
    </row>
    <row r="569" spans="1:70" x14ac:dyDescent="0.25">
      <c r="A569">
        <f t="shared" si="21"/>
        <v>522</v>
      </c>
      <c r="B569" t="s">
        <v>639</v>
      </c>
      <c r="D569" s="1" t="s">
        <v>42</v>
      </c>
      <c r="E569" s="1" t="s">
        <v>9</v>
      </c>
      <c r="F569" s="1" t="s">
        <v>50</v>
      </c>
      <c r="G569" s="1" t="s">
        <v>50</v>
      </c>
      <c r="H569" s="1" t="s">
        <v>50</v>
      </c>
      <c r="I569" s="1" t="s">
        <v>50</v>
      </c>
      <c r="J569" s="13" t="s">
        <v>50</v>
      </c>
      <c r="K569" s="13" t="s">
        <v>50</v>
      </c>
      <c r="L569" s="1"/>
      <c r="M569" s="1" t="s">
        <v>104</v>
      </c>
      <c r="N569" s="1" t="s">
        <v>50</v>
      </c>
      <c r="O569" s="1" t="s">
        <v>50</v>
      </c>
      <c r="P569" s="13" t="s">
        <v>807</v>
      </c>
      <c r="Q569" s="1" t="s">
        <v>104</v>
      </c>
      <c r="R569" s="1" t="s">
        <v>104</v>
      </c>
      <c r="S569" s="1" t="s">
        <v>104</v>
      </c>
      <c r="T569" s="1" t="s">
        <v>104</v>
      </c>
      <c r="U569" s="1" t="s">
        <v>104</v>
      </c>
      <c r="V569" s="1" t="s">
        <v>104</v>
      </c>
      <c r="W569" s="1" t="s">
        <v>104</v>
      </c>
      <c r="X569" s="1" t="s">
        <v>748</v>
      </c>
      <c r="Y569" s="1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>
        <v>1</v>
      </c>
      <c r="AV569" s="8"/>
      <c r="AW569" s="8"/>
      <c r="AX569" s="8"/>
      <c r="AY569" s="8"/>
      <c r="AZ569" s="8"/>
      <c r="BA569" s="8"/>
      <c r="BB569" s="1"/>
      <c r="BJ569">
        <v>3</v>
      </c>
      <c r="BL569" s="58">
        <v>1</v>
      </c>
      <c r="BP569" t="str">
        <f t="shared" si="20"/>
        <v>CosmicRock</v>
      </c>
      <c r="BR569">
        <v>1</v>
      </c>
    </row>
    <row r="570" spans="1:70" x14ac:dyDescent="0.25">
      <c r="A570">
        <f t="shared" si="21"/>
        <v>523</v>
      </c>
      <c r="B570" t="s">
        <v>640</v>
      </c>
      <c r="D570" s="1" t="s">
        <v>11</v>
      </c>
      <c r="E570" s="1">
        <v>0</v>
      </c>
      <c r="F570" s="1" t="s">
        <v>50</v>
      </c>
      <c r="G570" s="1" t="s">
        <v>50</v>
      </c>
      <c r="H570" s="1"/>
      <c r="I570" s="1" t="s">
        <v>50</v>
      </c>
      <c r="J570" s="13" t="s">
        <v>50</v>
      </c>
      <c r="K570" s="13" t="s">
        <v>50</v>
      </c>
      <c r="L570" s="1" t="s">
        <v>1767</v>
      </c>
      <c r="M570" s="1" t="s">
        <v>50</v>
      </c>
      <c r="N570" s="1" t="s">
        <v>50</v>
      </c>
      <c r="O570" s="1" t="s">
        <v>50</v>
      </c>
      <c r="P570" s="1" t="s">
        <v>812</v>
      </c>
      <c r="Q570" s="1" t="s">
        <v>104</v>
      </c>
      <c r="R570" s="1" t="s">
        <v>104</v>
      </c>
      <c r="S570" s="1" t="s">
        <v>104</v>
      </c>
      <c r="T570" s="1" t="s">
        <v>104</v>
      </c>
      <c r="U570" s="1" t="s">
        <v>104</v>
      </c>
      <c r="V570" s="1" t="s">
        <v>104</v>
      </c>
      <c r="W570" s="1" t="s">
        <v>104</v>
      </c>
      <c r="X570" s="1" t="s">
        <v>2277</v>
      </c>
      <c r="Y570" s="1"/>
      <c r="Z570" s="8"/>
      <c r="AA570" s="8"/>
      <c r="AB570" s="8">
        <v>1</v>
      </c>
      <c r="AC570" s="8"/>
      <c r="AD570" s="8"/>
      <c r="AE570" s="8"/>
      <c r="AF570" s="8"/>
      <c r="AG570" s="8"/>
      <c r="AH570" s="8"/>
      <c r="AI570" s="8"/>
      <c r="AJ570" s="8">
        <v>1</v>
      </c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1"/>
      <c r="BL570" s="58"/>
      <c r="BP570" t="str">
        <f t="shared" si="20"/>
        <v>Grass0</v>
      </c>
      <c r="BQ570" t="s">
        <v>2</v>
      </c>
      <c r="BR570">
        <v>4</v>
      </c>
    </row>
    <row r="571" spans="1:70" x14ac:dyDescent="0.25">
      <c r="A571">
        <f t="shared" si="21"/>
        <v>524</v>
      </c>
      <c r="B571" t="s">
        <v>641</v>
      </c>
      <c r="D571" s="1" t="s">
        <v>11</v>
      </c>
      <c r="E571" s="1">
        <v>0</v>
      </c>
      <c r="F571" s="1" t="s">
        <v>50</v>
      </c>
      <c r="G571" s="1" t="s">
        <v>50</v>
      </c>
      <c r="H571" s="1" t="s">
        <v>50</v>
      </c>
      <c r="I571" s="1" t="s">
        <v>50</v>
      </c>
      <c r="J571" s="13" t="s">
        <v>50</v>
      </c>
      <c r="K571" s="13" t="s">
        <v>50</v>
      </c>
      <c r="L571" s="1"/>
      <c r="M571" s="1" t="s">
        <v>104</v>
      </c>
      <c r="N571" s="1" t="s">
        <v>50</v>
      </c>
      <c r="O571" s="1" t="s">
        <v>50</v>
      </c>
      <c r="P571" s="1" t="s">
        <v>812</v>
      </c>
      <c r="Q571" s="1" t="s">
        <v>50</v>
      </c>
      <c r="R571" s="1" t="s">
        <v>50</v>
      </c>
      <c r="S571" s="1" t="s">
        <v>50</v>
      </c>
      <c r="T571" s="1" t="s">
        <v>50</v>
      </c>
      <c r="U571" s="1" t="s">
        <v>50</v>
      </c>
      <c r="V571" s="1" t="s">
        <v>50</v>
      </c>
      <c r="W571" s="1" t="s">
        <v>50</v>
      </c>
      <c r="X571" s="1" t="s">
        <v>2303</v>
      </c>
      <c r="Y571" s="1"/>
      <c r="Z571" s="8"/>
      <c r="AA571" s="8"/>
      <c r="AB571" s="8">
        <v>1</v>
      </c>
      <c r="AC571" s="8"/>
      <c r="AD571" s="8"/>
      <c r="AE571" s="8"/>
      <c r="AF571" s="8"/>
      <c r="AG571" s="8"/>
      <c r="AH571" s="8"/>
      <c r="AI571" s="8"/>
      <c r="AJ571" s="8">
        <v>1</v>
      </c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1"/>
      <c r="BJ571">
        <v>1</v>
      </c>
      <c r="BL571" s="58"/>
      <c r="BP571" t="str">
        <f t="shared" si="20"/>
        <v>Grass0</v>
      </c>
      <c r="BR571">
        <v>4</v>
      </c>
    </row>
    <row r="572" spans="1:70" x14ac:dyDescent="0.25">
      <c r="A572">
        <f t="shared" si="21"/>
        <v>525</v>
      </c>
      <c r="B572" t="s">
        <v>642</v>
      </c>
      <c r="D572" s="1" t="s">
        <v>13</v>
      </c>
      <c r="E572" s="1" t="s">
        <v>9</v>
      </c>
      <c r="F572" s="1" t="s">
        <v>50</v>
      </c>
      <c r="G572" s="1" t="s">
        <v>50</v>
      </c>
      <c r="H572" s="1"/>
      <c r="I572" s="1" t="s">
        <v>50</v>
      </c>
      <c r="J572" s="13" t="s">
        <v>50</v>
      </c>
      <c r="K572" s="13" t="s">
        <v>50</v>
      </c>
      <c r="L572" s="1" t="s">
        <v>1767</v>
      </c>
      <c r="M572" s="1" t="s">
        <v>50</v>
      </c>
      <c r="N572" s="1" t="s">
        <v>50</v>
      </c>
      <c r="O572" s="1" t="s">
        <v>50</v>
      </c>
      <c r="P572" s="13" t="s">
        <v>1723</v>
      </c>
      <c r="Q572" s="1" t="s">
        <v>104</v>
      </c>
      <c r="R572" s="1" t="s">
        <v>104</v>
      </c>
      <c r="S572" s="1" t="s">
        <v>104</v>
      </c>
      <c r="T572" s="1" t="s">
        <v>104</v>
      </c>
      <c r="U572" s="1" t="s">
        <v>104</v>
      </c>
      <c r="V572" s="1" t="s">
        <v>104</v>
      </c>
      <c r="W572" s="1" t="s">
        <v>104</v>
      </c>
      <c r="X572" s="1" t="s">
        <v>731</v>
      </c>
      <c r="Y572" s="1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>
        <v>1</v>
      </c>
      <c r="AW572" s="8">
        <v>1</v>
      </c>
      <c r="AX572" s="8"/>
      <c r="AY572" s="8">
        <v>1</v>
      </c>
      <c r="AZ572" s="8"/>
      <c r="BA572" s="8"/>
      <c r="BB572" s="1"/>
      <c r="BL572" s="58"/>
      <c r="BP572" t="str">
        <f t="shared" si="20"/>
        <v>FireRock</v>
      </c>
      <c r="BQ572" t="s">
        <v>2</v>
      </c>
      <c r="BR572">
        <v>1</v>
      </c>
    </row>
    <row r="573" spans="1:70" x14ac:dyDescent="0.25">
      <c r="A573">
        <f t="shared" si="21"/>
        <v>526</v>
      </c>
      <c r="B573" t="s">
        <v>643</v>
      </c>
      <c r="D573" s="1" t="s">
        <v>13</v>
      </c>
      <c r="E573" s="1" t="s">
        <v>9</v>
      </c>
      <c r="F573" s="1" t="s">
        <v>50</v>
      </c>
      <c r="G573" s="1" t="s">
        <v>50</v>
      </c>
      <c r="H573" s="1" t="s">
        <v>50</v>
      </c>
      <c r="I573" s="1" t="s">
        <v>50</v>
      </c>
      <c r="J573" s="13" t="s">
        <v>50</v>
      </c>
      <c r="K573" s="13" t="s">
        <v>50</v>
      </c>
      <c r="L573" s="1"/>
      <c r="M573" s="1" t="s">
        <v>104</v>
      </c>
      <c r="N573" s="1" t="s">
        <v>50</v>
      </c>
      <c r="O573" s="1" t="s">
        <v>50</v>
      </c>
      <c r="P573" s="13" t="s">
        <v>1723</v>
      </c>
      <c r="Q573" s="1" t="s">
        <v>104</v>
      </c>
      <c r="R573" s="1" t="s">
        <v>104</v>
      </c>
      <c r="S573" s="1" t="s">
        <v>104</v>
      </c>
      <c r="T573" s="1" t="s">
        <v>104</v>
      </c>
      <c r="U573" s="1" t="s">
        <v>104</v>
      </c>
      <c r="V573" s="1" t="s">
        <v>104</v>
      </c>
      <c r="W573" s="1" t="s">
        <v>104</v>
      </c>
      <c r="X573" s="1" t="s">
        <v>731</v>
      </c>
      <c r="Y573" s="1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>
        <v>1</v>
      </c>
      <c r="AW573" s="8">
        <v>1</v>
      </c>
      <c r="AX573" s="8"/>
      <c r="AY573" s="8">
        <v>1</v>
      </c>
      <c r="AZ573" s="8"/>
      <c r="BA573" s="8"/>
      <c r="BB573" s="1"/>
      <c r="BJ573">
        <v>5</v>
      </c>
      <c r="BK573">
        <v>4</v>
      </c>
      <c r="BL573" s="58"/>
      <c r="BP573" t="str">
        <f t="shared" si="20"/>
        <v>FireRock</v>
      </c>
      <c r="BR573">
        <v>1</v>
      </c>
    </row>
    <row r="574" spans="1:70" x14ac:dyDescent="0.25">
      <c r="A574">
        <f t="shared" si="21"/>
        <v>527</v>
      </c>
      <c r="B574" t="s">
        <v>644</v>
      </c>
      <c r="D574" s="1" t="s">
        <v>15</v>
      </c>
      <c r="E574" s="1" t="s">
        <v>17</v>
      </c>
      <c r="F574" s="1" t="s">
        <v>50</v>
      </c>
      <c r="G574" s="1" t="s">
        <v>50</v>
      </c>
      <c r="H574" s="1" t="s">
        <v>50</v>
      </c>
      <c r="I574" s="1" t="s">
        <v>50</v>
      </c>
      <c r="J574" s="13" t="s">
        <v>50</v>
      </c>
      <c r="K574" s="13" t="s">
        <v>50</v>
      </c>
      <c r="L574" s="1" t="s">
        <v>104</v>
      </c>
      <c r="M574" s="1" t="s">
        <v>50</v>
      </c>
      <c r="N574" s="1" t="s">
        <v>50</v>
      </c>
      <c r="O574" s="1" t="s">
        <v>50</v>
      </c>
      <c r="P574" s="1" t="s">
        <v>1707</v>
      </c>
      <c r="Q574" s="1" t="s">
        <v>50</v>
      </c>
      <c r="R574" s="1" t="s">
        <v>50</v>
      </c>
      <c r="S574" s="1" t="s">
        <v>50</v>
      </c>
      <c r="T574" s="1" t="s">
        <v>50</v>
      </c>
      <c r="U574" s="1" t="s">
        <v>50</v>
      </c>
      <c r="V574" s="1" t="s">
        <v>50</v>
      </c>
      <c r="W574" s="1" t="s">
        <v>50</v>
      </c>
      <c r="X574" s="1" t="s">
        <v>2058</v>
      </c>
      <c r="Y574" s="1"/>
      <c r="Z574" s="8"/>
      <c r="AA574" s="8"/>
      <c r="AB574" s="8"/>
      <c r="AC574" s="8"/>
      <c r="AD574" s="8"/>
      <c r="AE574" s="8"/>
      <c r="AF574" s="8"/>
      <c r="AG574" s="8"/>
      <c r="AH574" s="8"/>
      <c r="AI574" s="8">
        <v>1</v>
      </c>
      <c r="AJ574" s="8"/>
      <c r="AK574" s="8"/>
      <c r="AL574" s="8">
        <v>1</v>
      </c>
      <c r="AM574" s="8">
        <v>1</v>
      </c>
      <c r="AN574" s="8">
        <v>1</v>
      </c>
      <c r="AO574" s="8"/>
      <c r="AP574" s="8"/>
      <c r="AQ574" s="8"/>
      <c r="AR574" s="8">
        <v>1</v>
      </c>
      <c r="AS574" s="8"/>
      <c r="AT574" s="8"/>
      <c r="AU574" s="8"/>
      <c r="AV574" s="8"/>
      <c r="AW574" s="8"/>
      <c r="AX574" s="8"/>
      <c r="AY574" s="8"/>
      <c r="AZ574" s="8"/>
      <c r="BA574" s="8"/>
      <c r="BB574" s="1"/>
      <c r="BL574" s="58"/>
      <c r="BP574" t="str">
        <f t="shared" si="20"/>
        <v>WaterBug</v>
      </c>
      <c r="BR574">
        <v>3</v>
      </c>
    </row>
    <row r="575" spans="1:70" x14ac:dyDescent="0.25">
      <c r="A575">
        <f t="shared" si="21"/>
        <v>528</v>
      </c>
      <c r="B575" t="s">
        <v>646</v>
      </c>
      <c r="D575" s="1" t="s">
        <v>3</v>
      </c>
      <c r="E575" s="1" t="s">
        <v>10</v>
      </c>
      <c r="F575" s="1" t="s">
        <v>50</v>
      </c>
      <c r="G575" s="1" t="s">
        <v>50</v>
      </c>
      <c r="H575" s="1"/>
      <c r="I575" s="1" t="s">
        <v>50</v>
      </c>
      <c r="J575" s="13" t="s">
        <v>50</v>
      </c>
      <c r="K575" s="13" t="s">
        <v>50</v>
      </c>
      <c r="L575" s="1" t="s">
        <v>50</v>
      </c>
      <c r="M575" s="1" t="s">
        <v>50</v>
      </c>
      <c r="N575" s="13" t="s">
        <v>50</v>
      </c>
      <c r="O575" s="13" t="s">
        <v>50</v>
      </c>
      <c r="P575" s="1" t="s">
        <v>104</v>
      </c>
      <c r="Q575" s="1" t="s">
        <v>104</v>
      </c>
      <c r="R575" s="1" t="s">
        <v>104</v>
      </c>
      <c r="S575" s="1" t="s">
        <v>104</v>
      </c>
      <c r="T575" s="1" t="s">
        <v>104</v>
      </c>
      <c r="U575" s="1" t="s">
        <v>104</v>
      </c>
      <c r="V575" s="1" t="s">
        <v>104</v>
      </c>
      <c r="W575" s="1" t="s">
        <v>104</v>
      </c>
      <c r="X575" s="1" t="s">
        <v>727</v>
      </c>
      <c r="Y575" s="1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>
        <v>1</v>
      </c>
      <c r="AK575" s="8"/>
      <c r="AL575" s="8"/>
      <c r="AM575" s="8"/>
      <c r="AN575" s="8"/>
      <c r="AO575" s="8"/>
      <c r="AP575" s="8"/>
      <c r="AQ575" s="8"/>
      <c r="AR575" s="8"/>
      <c r="AS575" s="8">
        <v>1</v>
      </c>
      <c r="AT575" s="8">
        <v>1</v>
      </c>
      <c r="AU575" s="8"/>
      <c r="AV575" s="8"/>
      <c r="AW575" s="8"/>
      <c r="AX575" s="8"/>
      <c r="AY575" s="8"/>
      <c r="AZ575" s="8"/>
      <c r="BA575" s="8"/>
      <c r="BB575" s="1"/>
      <c r="BL575" s="58"/>
      <c r="BP575" t="str">
        <f t="shared" si="20"/>
        <v>ElectricPoison</v>
      </c>
      <c r="BQ575" t="s">
        <v>2</v>
      </c>
      <c r="BR575">
        <v>5</v>
      </c>
    </row>
    <row r="576" spans="1:70" x14ac:dyDescent="0.25">
      <c r="A576">
        <f t="shared" si="21"/>
        <v>529</v>
      </c>
      <c r="B576" t="s">
        <v>647</v>
      </c>
      <c r="D576" s="1" t="s">
        <v>3</v>
      </c>
      <c r="E576" s="1" t="s">
        <v>10</v>
      </c>
      <c r="F576" s="1" t="s">
        <v>50</v>
      </c>
      <c r="G576" s="1" t="s">
        <v>50</v>
      </c>
      <c r="H576" s="1" t="s">
        <v>50</v>
      </c>
      <c r="I576" s="1" t="s">
        <v>50</v>
      </c>
      <c r="J576" s="13" t="s">
        <v>50</v>
      </c>
      <c r="K576" s="13" t="s">
        <v>50</v>
      </c>
      <c r="L576" s="1"/>
      <c r="M576" s="1" t="s">
        <v>104</v>
      </c>
      <c r="N576" s="13" t="s">
        <v>50</v>
      </c>
      <c r="O576" s="13" t="s">
        <v>50</v>
      </c>
      <c r="P576" s="1" t="s">
        <v>104</v>
      </c>
      <c r="Q576" s="1" t="s">
        <v>50</v>
      </c>
      <c r="R576" s="1" t="s">
        <v>50</v>
      </c>
      <c r="S576" s="1" t="s">
        <v>50</v>
      </c>
      <c r="T576" s="1" t="s">
        <v>50</v>
      </c>
      <c r="U576" s="1" t="s">
        <v>50</v>
      </c>
      <c r="V576" s="1" t="s">
        <v>50</v>
      </c>
      <c r="W576" s="1" t="s">
        <v>50</v>
      </c>
      <c r="X576" s="1" t="s">
        <v>727</v>
      </c>
      <c r="Y576" s="1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>
        <v>1</v>
      </c>
      <c r="AK576" s="8"/>
      <c r="AL576" s="8"/>
      <c r="AM576" s="8"/>
      <c r="AN576" s="8"/>
      <c r="AO576" s="8"/>
      <c r="AP576" s="8"/>
      <c r="AQ576" s="8"/>
      <c r="AR576" s="8"/>
      <c r="AS576" s="8">
        <v>1</v>
      </c>
      <c r="AT576" s="8">
        <v>1</v>
      </c>
      <c r="AU576" s="8"/>
      <c r="AV576" s="8"/>
      <c r="AW576" s="8"/>
      <c r="AX576" s="8"/>
      <c r="AY576" s="8"/>
      <c r="AZ576" s="8"/>
      <c r="BA576" s="8"/>
      <c r="BB576" s="1"/>
      <c r="BJ576">
        <v>1</v>
      </c>
      <c r="BL576" s="58">
        <v>1</v>
      </c>
      <c r="BP576" t="str">
        <f t="shared" si="20"/>
        <v>ElectricPoison</v>
      </c>
      <c r="BR576">
        <v>5</v>
      </c>
    </row>
    <row r="577" spans="1:70" x14ac:dyDescent="0.25">
      <c r="A577">
        <f t="shared" si="21"/>
        <v>530</v>
      </c>
      <c r="B577" t="s">
        <v>648</v>
      </c>
      <c r="D577" s="1" t="s">
        <v>3</v>
      </c>
      <c r="E577" s="1" t="s">
        <v>16</v>
      </c>
      <c r="F577" s="1" t="s">
        <v>50</v>
      </c>
      <c r="G577" s="1" t="s">
        <v>50</v>
      </c>
      <c r="H577" s="1"/>
      <c r="I577" s="1" t="s">
        <v>50</v>
      </c>
      <c r="J577" s="13" t="s">
        <v>50</v>
      </c>
      <c r="K577" s="13" t="s">
        <v>50</v>
      </c>
      <c r="L577" s="1" t="s">
        <v>50</v>
      </c>
      <c r="M577" s="1" t="s">
        <v>50</v>
      </c>
      <c r="N577" s="13" t="s">
        <v>50</v>
      </c>
      <c r="O577" s="13" t="s">
        <v>50</v>
      </c>
      <c r="P577" s="13" t="s">
        <v>1722</v>
      </c>
      <c r="Q577" s="1" t="s">
        <v>104</v>
      </c>
      <c r="R577" s="1" t="s">
        <v>104</v>
      </c>
      <c r="S577" s="1" t="s">
        <v>104</v>
      </c>
      <c r="T577" s="1" t="s">
        <v>104</v>
      </c>
      <c r="U577" s="1" t="s">
        <v>104</v>
      </c>
      <c r="V577" s="1" t="s">
        <v>104</v>
      </c>
      <c r="W577" s="1" t="s">
        <v>104</v>
      </c>
      <c r="X577" s="1" t="s">
        <v>727</v>
      </c>
      <c r="Y577" s="1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>
        <v>1</v>
      </c>
      <c r="AY577" s="8">
        <v>1</v>
      </c>
      <c r="AZ577" s="8"/>
      <c r="BA577" s="8"/>
      <c r="BB577" s="1"/>
      <c r="BL577" s="58"/>
      <c r="BP577" t="str">
        <f t="shared" si="20"/>
        <v>ElectricFlying</v>
      </c>
      <c r="BQ577" t="s">
        <v>2</v>
      </c>
      <c r="BR577">
        <v>3</v>
      </c>
    </row>
    <row r="578" spans="1:70" x14ac:dyDescent="0.25">
      <c r="A578">
        <f t="shared" si="21"/>
        <v>531</v>
      </c>
      <c r="B578" t="s">
        <v>649</v>
      </c>
      <c r="D578" s="1" t="s">
        <v>3</v>
      </c>
      <c r="E578" s="1" t="s">
        <v>16</v>
      </c>
      <c r="F578" s="1" t="s">
        <v>50</v>
      </c>
      <c r="G578" s="1" t="s">
        <v>50</v>
      </c>
      <c r="H578" s="1" t="s">
        <v>50</v>
      </c>
      <c r="I578" s="1" t="s">
        <v>50</v>
      </c>
      <c r="J578" s="13" t="s">
        <v>50</v>
      </c>
      <c r="K578" s="13" t="s">
        <v>50</v>
      </c>
      <c r="L578" s="1"/>
      <c r="M578" s="1" t="s">
        <v>104</v>
      </c>
      <c r="N578" s="13" t="s">
        <v>50</v>
      </c>
      <c r="O578" s="13" t="s">
        <v>50</v>
      </c>
      <c r="P578" s="13" t="s">
        <v>1722</v>
      </c>
      <c r="Q578" s="1" t="s">
        <v>50</v>
      </c>
      <c r="R578" s="1" t="s">
        <v>50</v>
      </c>
      <c r="S578" s="1" t="s">
        <v>50</v>
      </c>
      <c r="T578" s="1" t="s">
        <v>50</v>
      </c>
      <c r="U578" s="1" t="s">
        <v>50</v>
      </c>
      <c r="V578" s="1" t="s">
        <v>50</v>
      </c>
      <c r="W578" s="1" t="s">
        <v>50</v>
      </c>
      <c r="X578" s="1" t="s">
        <v>727</v>
      </c>
      <c r="Y578" s="1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>
        <v>1</v>
      </c>
      <c r="AY578" s="8">
        <v>1</v>
      </c>
      <c r="AZ578" s="8"/>
      <c r="BA578" s="8"/>
      <c r="BB578" s="1"/>
      <c r="BJ578">
        <v>2</v>
      </c>
      <c r="BL578" s="58"/>
      <c r="BP578" t="str">
        <f t="shared" ref="BP578:BP641" si="22">D578&amp;E578</f>
        <v>ElectricFlying</v>
      </c>
      <c r="BR578">
        <v>3</v>
      </c>
    </row>
    <row r="579" spans="1:70" x14ac:dyDescent="0.25">
      <c r="A579">
        <f t="shared" si="21"/>
        <v>532</v>
      </c>
      <c r="B579" t="s">
        <v>650</v>
      </c>
      <c r="D579" s="1" t="s">
        <v>15</v>
      </c>
      <c r="E579" s="1" t="s">
        <v>4</v>
      </c>
      <c r="F579" s="1" t="s">
        <v>50</v>
      </c>
      <c r="G579" s="1" t="s">
        <v>50</v>
      </c>
      <c r="H579" s="1"/>
      <c r="I579" s="1" t="s">
        <v>50</v>
      </c>
      <c r="J579" s="13" t="s">
        <v>50</v>
      </c>
      <c r="K579" s="13" t="s">
        <v>50</v>
      </c>
      <c r="L579" s="1"/>
      <c r="M579" s="1" t="s">
        <v>50</v>
      </c>
      <c r="N579" s="13" t="s">
        <v>50</v>
      </c>
      <c r="O579" s="13" t="s">
        <v>50</v>
      </c>
      <c r="P579" s="1" t="s">
        <v>104</v>
      </c>
      <c r="Q579" s="1" t="s">
        <v>104</v>
      </c>
      <c r="R579" s="1" t="s">
        <v>104</v>
      </c>
      <c r="S579" s="1" t="s">
        <v>104</v>
      </c>
      <c r="T579" s="1" t="s">
        <v>104</v>
      </c>
      <c r="U579" s="1" t="s">
        <v>104</v>
      </c>
      <c r="V579" s="1" t="s">
        <v>104</v>
      </c>
      <c r="W579" s="1" t="s">
        <v>104</v>
      </c>
      <c r="X579" s="1" t="s">
        <v>727</v>
      </c>
      <c r="Y579" s="1"/>
      <c r="Z579" s="8"/>
      <c r="AA579" s="8"/>
      <c r="AB579" s="8"/>
      <c r="AC579" s="8"/>
      <c r="AD579" s="8"/>
      <c r="AE579" s="8"/>
      <c r="AF579" s="8"/>
      <c r="AG579" s="8"/>
      <c r="AH579" s="8"/>
      <c r="AI579" s="8">
        <v>1</v>
      </c>
      <c r="AJ579" s="8">
        <v>1</v>
      </c>
      <c r="AK579" s="8"/>
      <c r="AL579" s="8">
        <v>1</v>
      </c>
      <c r="AM579" s="8">
        <v>1</v>
      </c>
      <c r="AN579" s="8">
        <v>1</v>
      </c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1"/>
      <c r="BL579" s="58"/>
      <c r="BP579" t="str">
        <f t="shared" si="22"/>
        <v>WaterPsychic</v>
      </c>
      <c r="BQ579" t="s">
        <v>2</v>
      </c>
      <c r="BR579">
        <v>2</v>
      </c>
    </row>
    <row r="580" spans="1:70" x14ac:dyDescent="0.25">
      <c r="A580">
        <f t="shared" si="21"/>
        <v>533</v>
      </c>
      <c r="B580" t="s">
        <v>651</v>
      </c>
      <c r="D580" s="1" t="s">
        <v>15</v>
      </c>
      <c r="E580" s="1" t="s">
        <v>4</v>
      </c>
      <c r="F580" s="1" t="s">
        <v>50</v>
      </c>
      <c r="G580" s="1" t="s">
        <v>50</v>
      </c>
      <c r="H580" s="1" t="s">
        <v>50</v>
      </c>
      <c r="I580" s="1" t="s">
        <v>50</v>
      </c>
      <c r="J580" s="13" t="s">
        <v>50</v>
      </c>
      <c r="K580" s="13" t="s">
        <v>50</v>
      </c>
      <c r="L580" s="1"/>
      <c r="M580" s="1" t="s">
        <v>104</v>
      </c>
      <c r="N580" s="13" t="s">
        <v>50</v>
      </c>
      <c r="O580" s="13" t="s">
        <v>50</v>
      </c>
      <c r="P580" s="1" t="s">
        <v>104</v>
      </c>
      <c r="Q580" s="1" t="s">
        <v>50</v>
      </c>
      <c r="R580" s="1" t="s">
        <v>50</v>
      </c>
      <c r="S580" s="1" t="s">
        <v>50</v>
      </c>
      <c r="T580" s="1" t="s">
        <v>50</v>
      </c>
      <c r="U580" s="1" t="s">
        <v>50</v>
      </c>
      <c r="V580" s="1" t="s">
        <v>50</v>
      </c>
      <c r="W580" s="1" t="s">
        <v>50</v>
      </c>
      <c r="X580" s="1" t="s">
        <v>727</v>
      </c>
      <c r="Y580" s="1"/>
      <c r="Z580" s="8"/>
      <c r="AA580" s="8"/>
      <c r="AB580" s="8"/>
      <c r="AC580" s="8"/>
      <c r="AD580" s="8"/>
      <c r="AE580" s="8"/>
      <c r="AF580" s="8"/>
      <c r="AG580" s="8"/>
      <c r="AH580" s="8"/>
      <c r="AI580" s="8">
        <v>1</v>
      </c>
      <c r="AJ580" s="8">
        <v>1</v>
      </c>
      <c r="AK580" s="8"/>
      <c r="AL580" s="8">
        <v>1</v>
      </c>
      <c r="AM580" s="8">
        <v>1</v>
      </c>
      <c r="AN580" s="8">
        <v>1</v>
      </c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1"/>
      <c r="BJ580">
        <v>2</v>
      </c>
      <c r="BK580">
        <v>2</v>
      </c>
      <c r="BL580" s="58"/>
      <c r="BP580" t="str">
        <f t="shared" si="22"/>
        <v>WaterPsychic</v>
      </c>
      <c r="BR580">
        <v>2</v>
      </c>
    </row>
    <row r="581" spans="1:70" x14ac:dyDescent="0.25">
      <c r="A581">
        <f t="shared" si="21"/>
        <v>534</v>
      </c>
      <c r="B581" t="s">
        <v>652</v>
      </c>
      <c r="D581" s="1" t="s">
        <v>9</v>
      </c>
      <c r="E581" s="1" t="s">
        <v>44</v>
      </c>
      <c r="F581" s="1" t="s">
        <v>50</v>
      </c>
      <c r="G581" s="1" t="s">
        <v>50</v>
      </c>
      <c r="H581" s="1"/>
      <c r="I581" s="1" t="s">
        <v>50</v>
      </c>
      <c r="J581" s="13" t="s">
        <v>50</v>
      </c>
      <c r="K581" s="13" t="s">
        <v>50</v>
      </c>
      <c r="L581" s="1"/>
      <c r="M581" s="1" t="s">
        <v>50</v>
      </c>
      <c r="N581" s="13" t="s">
        <v>50</v>
      </c>
      <c r="O581" s="13" t="s">
        <v>50</v>
      </c>
      <c r="P581" s="13" t="s">
        <v>1720</v>
      </c>
      <c r="Q581" s="1" t="s">
        <v>104</v>
      </c>
      <c r="R581" s="1" t="s">
        <v>104</v>
      </c>
      <c r="S581" s="1" t="s">
        <v>104</v>
      </c>
      <c r="T581" s="1" t="s">
        <v>104</v>
      </c>
      <c r="U581" s="1" t="s">
        <v>104</v>
      </c>
      <c r="V581" s="1" t="s">
        <v>104</v>
      </c>
      <c r="W581" s="1" t="s">
        <v>104</v>
      </c>
      <c r="X581" s="1" t="s">
        <v>730</v>
      </c>
      <c r="Y581" s="1"/>
      <c r="Z581" s="8"/>
      <c r="AA581" s="8"/>
      <c r="AB581" s="8"/>
      <c r="AC581" s="8"/>
      <c r="AD581" s="8">
        <v>1</v>
      </c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>
        <v>1</v>
      </c>
      <c r="AS581" s="8"/>
      <c r="AT581" s="8"/>
      <c r="AU581" s="8"/>
      <c r="AV581" s="8"/>
      <c r="AW581" s="8"/>
      <c r="AX581" s="8">
        <v>1</v>
      </c>
      <c r="AY581" s="8"/>
      <c r="AZ581" s="8"/>
      <c r="BA581" s="8"/>
      <c r="BB581" s="1"/>
      <c r="BL581" s="58"/>
      <c r="BP581" t="str">
        <f t="shared" si="22"/>
        <v>RockLight</v>
      </c>
      <c r="BQ581" t="s">
        <v>2</v>
      </c>
      <c r="BR581">
        <v>3</v>
      </c>
    </row>
    <row r="582" spans="1:70" x14ac:dyDescent="0.25">
      <c r="A582">
        <f t="shared" si="21"/>
        <v>535</v>
      </c>
      <c r="B582" t="s">
        <v>653</v>
      </c>
      <c r="D582" s="1" t="s">
        <v>9</v>
      </c>
      <c r="E582" s="1" t="s">
        <v>44</v>
      </c>
      <c r="F582" s="1" t="s">
        <v>50</v>
      </c>
      <c r="G582" s="1" t="s">
        <v>50</v>
      </c>
      <c r="H582" s="1"/>
      <c r="I582" s="1" t="s">
        <v>50</v>
      </c>
      <c r="J582" s="13" t="s">
        <v>50</v>
      </c>
      <c r="K582" s="13" t="s">
        <v>50</v>
      </c>
      <c r="L582" s="1"/>
      <c r="M582" s="1" t="s">
        <v>104</v>
      </c>
      <c r="N582" s="13" t="s">
        <v>50</v>
      </c>
      <c r="O582" s="13" t="s">
        <v>50</v>
      </c>
      <c r="P582" s="13" t="s">
        <v>1720</v>
      </c>
      <c r="Q582" s="1" t="s">
        <v>104</v>
      </c>
      <c r="R582" s="1" t="s">
        <v>104</v>
      </c>
      <c r="S582" s="1" t="s">
        <v>104</v>
      </c>
      <c r="T582" s="1" t="s">
        <v>104</v>
      </c>
      <c r="U582" s="1" t="s">
        <v>104</v>
      </c>
      <c r="V582" s="1" t="s">
        <v>104</v>
      </c>
      <c r="W582" s="1" t="s">
        <v>104</v>
      </c>
      <c r="X582" s="1" t="s">
        <v>730</v>
      </c>
      <c r="Y582" s="1"/>
      <c r="Z582" s="8"/>
      <c r="AA582" s="8"/>
      <c r="AB582" s="8"/>
      <c r="AC582" s="8"/>
      <c r="AD582" s="8">
        <v>1</v>
      </c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>
        <v>1</v>
      </c>
      <c r="AS582" s="8"/>
      <c r="AT582" s="8"/>
      <c r="AU582" s="8"/>
      <c r="AV582" s="8"/>
      <c r="AW582" s="8"/>
      <c r="AX582" s="8">
        <v>1</v>
      </c>
      <c r="AY582" s="8"/>
      <c r="AZ582" s="8"/>
      <c r="BA582" s="8"/>
      <c r="BB582" s="1"/>
      <c r="BL582" s="58"/>
      <c r="BP582" t="str">
        <f t="shared" si="22"/>
        <v>RockLight</v>
      </c>
      <c r="BQ582" t="s">
        <v>2</v>
      </c>
      <c r="BR582">
        <v>3</v>
      </c>
    </row>
    <row r="583" spans="1:70" x14ac:dyDescent="0.25">
      <c r="A583">
        <f t="shared" si="21"/>
        <v>536</v>
      </c>
      <c r="B583" t="s">
        <v>654</v>
      </c>
      <c r="D583" s="1" t="s">
        <v>9</v>
      </c>
      <c r="E583" s="1" t="s">
        <v>44</v>
      </c>
      <c r="F583" s="1" t="s">
        <v>50</v>
      </c>
      <c r="G583" s="1" t="s">
        <v>50</v>
      </c>
      <c r="H583" s="1" t="s">
        <v>50</v>
      </c>
      <c r="I583" s="1" t="s">
        <v>50</v>
      </c>
      <c r="J583" s="13" t="s">
        <v>50</v>
      </c>
      <c r="K583" s="13" t="s">
        <v>50</v>
      </c>
      <c r="L583" s="1"/>
      <c r="M583" s="1" t="s">
        <v>104</v>
      </c>
      <c r="N583" s="13" t="s">
        <v>50</v>
      </c>
      <c r="O583" s="13" t="s">
        <v>50</v>
      </c>
      <c r="P583" s="13" t="s">
        <v>1720</v>
      </c>
      <c r="Q583" s="1" t="s">
        <v>50</v>
      </c>
      <c r="R583" s="1" t="s">
        <v>50</v>
      </c>
      <c r="S583" s="1" t="s">
        <v>50</v>
      </c>
      <c r="T583" s="1" t="s">
        <v>50</v>
      </c>
      <c r="U583" s="1" t="s">
        <v>50</v>
      </c>
      <c r="V583" s="1" t="s">
        <v>50</v>
      </c>
      <c r="W583" s="1" t="s">
        <v>50</v>
      </c>
      <c r="X583" s="1" t="s">
        <v>730</v>
      </c>
      <c r="Y583" s="1"/>
      <c r="Z583" s="8"/>
      <c r="AA583" s="8"/>
      <c r="AB583" s="8"/>
      <c r="AC583" s="8"/>
      <c r="AD583" s="8">
        <v>1</v>
      </c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>
        <v>1</v>
      </c>
      <c r="AS583" s="8"/>
      <c r="AT583" s="8"/>
      <c r="AU583" s="8"/>
      <c r="AV583" s="8"/>
      <c r="AW583" s="8"/>
      <c r="AX583" s="8">
        <v>1</v>
      </c>
      <c r="AY583" s="8"/>
      <c r="AZ583" s="8"/>
      <c r="BA583" s="8"/>
      <c r="BB583" s="1"/>
      <c r="BJ583">
        <v>10</v>
      </c>
      <c r="BK583">
        <v>3</v>
      </c>
      <c r="BL583" s="58">
        <v>1</v>
      </c>
      <c r="BP583" t="str">
        <f t="shared" si="22"/>
        <v>RockLight</v>
      </c>
      <c r="BR583">
        <v>3</v>
      </c>
    </row>
    <row r="584" spans="1:70" x14ac:dyDescent="0.25">
      <c r="A584">
        <f t="shared" si="21"/>
        <v>537</v>
      </c>
      <c r="B584" t="s">
        <v>655</v>
      </c>
      <c r="D584" s="1" t="s">
        <v>8</v>
      </c>
      <c r="E584" s="1" t="s">
        <v>44</v>
      </c>
      <c r="F584" s="1" t="s">
        <v>50</v>
      </c>
      <c r="G584" s="1" t="s">
        <v>50</v>
      </c>
      <c r="H584" s="1"/>
      <c r="I584" s="1" t="s">
        <v>50</v>
      </c>
      <c r="J584" s="13" t="s">
        <v>50</v>
      </c>
      <c r="K584" s="13" t="s">
        <v>50</v>
      </c>
      <c r="L584" s="1"/>
      <c r="M584" s="1" t="s">
        <v>50</v>
      </c>
      <c r="N584" s="13" t="s">
        <v>50</v>
      </c>
      <c r="O584" s="13" t="s">
        <v>50</v>
      </c>
      <c r="P584" s="1" t="s">
        <v>1721</v>
      </c>
      <c r="Q584" s="1" t="s">
        <v>104</v>
      </c>
      <c r="R584" s="1" t="s">
        <v>104</v>
      </c>
      <c r="S584" s="1" t="s">
        <v>104</v>
      </c>
      <c r="T584" s="1" t="s">
        <v>104</v>
      </c>
      <c r="U584" s="1" t="s">
        <v>104</v>
      </c>
      <c r="V584" s="1" t="s">
        <v>104</v>
      </c>
      <c r="W584" s="1" t="s">
        <v>104</v>
      </c>
      <c r="X584" s="1" t="s">
        <v>2122</v>
      </c>
      <c r="Y584" s="1"/>
      <c r="Z584" s="8"/>
      <c r="AA584" s="8"/>
      <c r="AB584" s="8"/>
      <c r="AC584" s="8"/>
      <c r="AD584" s="8">
        <v>1</v>
      </c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1"/>
      <c r="BL584" s="58"/>
      <c r="BP584" t="str">
        <f t="shared" si="22"/>
        <v>GroundLight</v>
      </c>
      <c r="BQ584" t="s">
        <v>2</v>
      </c>
      <c r="BR584">
        <v>6</v>
      </c>
    </row>
    <row r="585" spans="1:70" x14ac:dyDescent="0.25">
      <c r="A585">
        <f t="shared" ref="A585:A614" si="23">A584+1</f>
        <v>538</v>
      </c>
      <c r="B585" t="s">
        <v>656</v>
      </c>
      <c r="D585" s="1" t="s">
        <v>8</v>
      </c>
      <c r="E585" s="1" t="s">
        <v>44</v>
      </c>
      <c r="F585" s="1" t="s">
        <v>50</v>
      </c>
      <c r="G585" s="1" t="s">
        <v>50</v>
      </c>
      <c r="H585" s="1"/>
      <c r="I585" s="1" t="s">
        <v>50</v>
      </c>
      <c r="J585" s="13" t="s">
        <v>50</v>
      </c>
      <c r="K585" s="13" t="s">
        <v>50</v>
      </c>
      <c r="L585" s="1"/>
      <c r="M585" s="1" t="s">
        <v>104</v>
      </c>
      <c r="N585" s="13" t="s">
        <v>50</v>
      </c>
      <c r="O585" s="13" t="s">
        <v>50</v>
      </c>
      <c r="P585" s="1" t="s">
        <v>1721</v>
      </c>
      <c r="Q585" s="1" t="s">
        <v>104</v>
      </c>
      <c r="R585" s="1" t="s">
        <v>104</v>
      </c>
      <c r="S585" s="1" t="s">
        <v>104</v>
      </c>
      <c r="T585" s="1" t="s">
        <v>104</v>
      </c>
      <c r="U585" s="1" t="s">
        <v>104</v>
      </c>
      <c r="V585" s="1" t="s">
        <v>104</v>
      </c>
      <c r="W585" s="1" t="s">
        <v>104</v>
      </c>
      <c r="X585" s="1" t="s">
        <v>729</v>
      </c>
      <c r="Y585" s="1"/>
      <c r="Z585" s="8"/>
      <c r="AA585" s="8"/>
      <c r="AB585" s="8"/>
      <c r="AC585" s="8"/>
      <c r="AD585" s="8">
        <v>1</v>
      </c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1"/>
      <c r="BL585" s="58"/>
      <c r="BP585" t="str">
        <f t="shared" si="22"/>
        <v>GroundLight</v>
      </c>
      <c r="BQ585" t="s">
        <v>2</v>
      </c>
      <c r="BR585">
        <v>6</v>
      </c>
    </row>
    <row r="586" spans="1:70" x14ac:dyDescent="0.25">
      <c r="A586">
        <f t="shared" si="23"/>
        <v>539</v>
      </c>
      <c r="B586" t="s">
        <v>657</v>
      </c>
      <c r="D586" s="1" t="s">
        <v>8</v>
      </c>
      <c r="E586" s="1" t="s">
        <v>44</v>
      </c>
      <c r="F586" s="1" t="s">
        <v>50</v>
      </c>
      <c r="G586" s="1" t="s">
        <v>50</v>
      </c>
      <c r="H586" s="1" t="s">
        <v>50</v>
      </c>
      <c r="I586" s="1" t="s">
        <v>50</v>
      </c>
      <c r="J586" s="13" t="s">
        <v>50</v>
      </c>
      <c r="K586" s="13" t="s">
        <v>50</v>
      </c>
      <c r="L586" s="1"/>
      <c r="M586" s="1" t="s">
        <v>104</v>
      </c>
      <c r="N586" s="13" t="s">
        <v>50</v>
      </c>
      <c r="O586" s="13" t="s">
        <v>50</v>
      </c>
      <c r="P586" s="1" t="s">
        <v>1721</v>
      </c>
      <c r="Q586" s="1" t="s">
        <v>104</v>
      </c>
      <c r="R586" s="1" t="s">
        <v>104</v>
      </c>
      <c r="S586" s="1" t="s">
        <v>104</v>
      </c>
      <c r="T586" s="1" t="s">
        <v>104</v>
      </c>
      <c r="U586" s="1" t="s">
        <v>104</v>
      </c>
      <c r="V586" s="1" t="s">
        <v>104</v>
      </c>
      <c r="W586" s="1" t="s">
        <v>104</v>
      </c>
      <c r="X586" s="1" t="s">
        <v>729</v>
      </c>
      <c r="Y586" s="1"/>
      <c r="Z586" s="8"/>
      <c r="AA586" s="8"/>
      <c r="AB586" s="8"/>
      <c r="AC586" s="8"/>
      <c r="AD586" s="8">
        <v>1</v>
      </c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1"/>
      <c r="BJ586">
        <v>6</v>
      </c>
      <c r="BL586" s="58"/>
      <c r="BP586" t="str">
        <f t="shared" si="22"/>
        <v>GroundLight</v>
      </c>
      <c r="BR586">
        <v>6</v>
      </c>
    </row>
    <row r="587" spans="1:70" x14ac:dyDescent="0.25">
      <c r="A587">
        <f t="shared" si="23"/>
        <v>540</v>
      </c>
      <c r="B587" t="s">
        <v>658</v>
      </c>
      <c r="D587" s="1" t="s">
        <v>3</v>
      </c>
      <c r="E587" s="1" t="s">
        <v>14</v>
      </c>
      <c r="F587" s="1" t="s">
        <v>50</v>
      </c>
      <c r="G587" s="1" t="s">
        <v>50</v>
      </c>
      <c r="H587" s="1"/>
      <c r="I587" s="1" t="s">
        <v>50</v>
      </c>
      <c r="J587" s="13" t="s">
        <v>50</v>
      </c>
      <c r="K587" s="13" t="s">
        <v>50</v>
      </c>
      <c r="L587" s="1"/>
      <c r="M587" s="1" t="s">
        <v>50</v>
      </c>
      <c r="N587" s="13" t="s">
        <v>50</v>
      </c>
      <c r="O587" s="13" t="s">
        <v>50</v>
      </c>
      <c r="P587" s="13" t="s">
        <v>104</v>
      </c>
      <c r="Q587" s="1" t="s">
        <v>104</v>
      </c>
      <c r="R587" s="1" t="s">
        <v>104</v>
      </c>
      <c r="S587" s="1" t="s">
        <v>104</v>
      </c>
      <c r="T587" s="1" t="s">
        <v>104</v>
      </c>
      <c r="U587" s="1" t="s">
        <v>104</v>
      </c>
      <c r="V587" s="1" t="s">
        <v>104</v>
      </c>
      <c r="W587" s="1" t="s">
        <v>104</v>
      </c>
      <c r="X587" s="1" t="s">
        <v>2122</v>
      </c>
      <c r="Y587" s="1"/>
      <c r="Z587" s="8"/>
      <c r="AA587" s="8"/>
      <c r="AB587" s="8">
        <v>1</v>
      </c>
      <c r="AC587" s="8"/>
      <c r="AD587" s="8"/>
      <c r="AE587" s="8"/>
      <c r="AF587" s="8"/>
      <c r="AG587" s="8"/>
      <c r="AH587" s="8"/>
      <c r="AI587" s="8">
        <v>1</v>
      </c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>
        <v>1</v>
      </c>
      <c r="AU587" s="8"/>
      <c r="AV587" s="8"/>
      <c r="AW587" s="8"/>
      <c r="AX587" s="8"/>
      <c r="AY587" s="8"/>
      <c r="AZ587" s="8">
        <v>1</v>
      </c>
      <c r="BA587" s="8"/>
      <c r="BB587" s="1"/>
      <c r="BL587" s="58"/>
      <c r="BP587" t="str">
        <f t="shared" si="22"/>
        <v>ElectricGhost</v>
      </c>
      <c r="BQ587" t="s">
        <v>2</v>
      </c>
      <c r="BR587">
        <v>6</v>
      </c>
    </row>
    <row r="588" spans="1:70" x14ac:dyDescent="0.25">
      <c r="A588">
        <f t="shared" si="23"/>
        <v>541</v>
      </c>
      <c r="B588" t="s">
        <v>659</v>
      </c>
      <c r="D588" s="1" t="s">
        <v>3</v>
      </c>
      <c r="E588" s="1" t="s">
        <v>14</v>
      </c>
      <c r="F588" s="1" t="s">
        <v>50</v>
      </c>
      <c r="G588" s="1" t="s">
        <v>50</v>
      </c>
      <c r="H588" s="1"/>
      <c r="I588" s="1" t="s">
        <v>50</v>
      </c>
      <c r="J588" s="13" t="s">
        <v>50</v>
      </c>
      <c r="K588" s="13" t="s">
        <v>50</v>
      </c>
      <c r="L588" s="1"/>
      <c r="M588" s="1" t="s">
        <v>104</v>
      </c>
      <c r="N588" s="13" t="s">
        <v>50</v>
      </c>
      <c r="O588" s="13" t="s">
        <v>50</v>
      </c>
      <c r="P588" s="13" t="s">
        <v>104</v>
      </c>
      <c r="Q588" s="1" t="s">
        <v>104</v>
      </c>
      <c r="R588" s="1" t="s">
        <v>104</v>
      </c>
      <c r="S588" s="1" t="s">
        <v>104</v>
      </c>
      <c r="T588" s="1" t="s">
        <v>104</v>
      </c>
      <c r="U588" s="1" t="s">
        <v>104</v>
      </c>
      <c r="V588" s="1" t="s">
        <v>104</v>
      </c>
      <c r="W588" s="1" t="s">
        <v>104</v>
      </c>
      <c r="X588" s="1" t="s">
        <v>729</v>
      </c>
      <c r="Y588" s="1"/>
      <c r="Z588" s="8"/>
      <c r="AA588" s="8"/>
      <c r="AB588" s="8">
        <v>1</v>
      </c>
      <c r="AC588" s="8"/>
      <c r="AD588" s="8"/>
      <c r="AE588" s="8"/>
      <c r="AF588" s="8"/>
      <c r="AG588" s="8"/>
      <c r="AH588" s="8"/>
      <c r="AI588" s="8">
        <v>1</v>
      </c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>
        <v>1</v>
      </c>
      <c r="AU588" s="8"/>
      <c r="AV588" s="8"/>
      <c r="AW588" s="8"/>
      <c r="AX588" s="8"/>
      <c r="AY588" s="8"/>
      <c r="AZ588" s="8">
        <v>1</v>
      </c>
      <c r="BA588" s="8"/>
      <c r="BB588" s="1"/>
      <c r="BL588" s="58"/>
      <c r="BP588" t="str">
        <f t="shared" si="22"/>
        <v>ElectricGhost</v>
      </c>
      <c r="BQ588" t="s">
        <v>2</v>
      </c>
      <c r="BR588">
        <v>6</v>
      </c>
    </row>
    <row r="589" spans="1:70" x14ac:dyDescent="0.25">
      <c r="A589">
        <f t="shared" si="23"/>
        <v>542</v>
      </c>
      <c r="B589" t="s">
        <v>660</v>
      </c>
      <c r="D589" s="1" t="s">
        <v>3</v>
      </c>
      <c r="E589" s="1" t="s">
        <v>14</v>
      </c>
      <c r="F589" s="1" t="s">
        <v>50</v>
      </c>
      <c r="G589" s="1" t="s">
        <v>50</v>
      </c>
      <c r="H589" s="1" t="s">
        <v>50</v>
      </c>
      <c r="I589" s="1" t="s">
        <v>50</v>
      </c>
      <c r="J589" s="13" t="s">
        <v>50</v>
      </c>
      <c r="K589" s="13" t="s">
        <v>50</v>
      </c>
      <c r="L589" s="1"/>
      <c r="M589" s="1" t="s">
        <v>104</v>
      </c>
      <c r="N589" s="13" t="s">
        <v>50</v>
      </c>
      <c r="O589" s="13" t="s">
        <v>50</v>
      </c>
      <c r="P589" s="13" t="s">
        <v>104</v>
      </c>
      <c r="Q589" s="1" t="s">
        <v>1767</v>
      </c>
      <c r="R589" s="1" t="s">
        <v>1767</v>
      </c>
      <c r="S589" s="1" t="s">
        <v>104</v>
      </c>
      <c r="T589" s="1" t="s">
        <v>1767</v>
      </c>
      <c r="U589" s="1" t="s">
        <v>1767</v>
      </c>
      <c r="V589" s="1" t="s">
        <v>1767</v>
      </c>
      <c r="W589" s="1" t="s">
        <v>1767</v>
      </c>
      <c r="X589" s="1" t="s">
        <v>729</v>
      </c>
      <c r="Y589" s="1"/>
      <c r="Z589" s="8"/>
      <c r="AA589" s="8"/>
      <c r="AB589" s="8">
        <v>1</v>
      </c>
      <c r="AC589" s="8"/>
      <c r="AD589" s="8"/>
      <c r="AE589" s="8"/>
      <c r="AF589" s="8"/>
      <c r="AG589" s="8"/>
      <c r="AH589" s="8"/>
      <c r="AI589" s="8">
        <v>1</v>
      </c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>
        <v>1</v>
      </c>
      <c r="AU589" s="8"/>
      <c r="AV589" s="8"/>
      <c r="AW589" s="8"/>
      <c r="AX589" s="8"/>
      <c r="AY589" s="8"/>
      <c r="AZ589" s="8">
        <v>1</v>
      </c>
      <c r="BA589" s="8"/>
      <c r="BB589" s="1"/>
      <c r="BJ589">
        <v>14</v>
      </c>
      <c r="BK589">
        <v>4</v>
      </c>
      <c r="BL589" s="58"/>
      <c r="BP589" t="str">
        <f t="shared" si="22"/>
        <v>ElectricGhost</v>
      </c>
      <c r="BR589">
        <v>6</v>
      </c>
    </row>
    <row r="590" spans="1:70" x14ac:dyDescent="0.25">
      <c r="A590">
        <f t="shared" si="23"/>
        <v>543</v>
      </c>
      <c r="B590" t="s">
        <v>661</v>
      </c>
      <c r="D590" s="1" t="s">
        <v>6</v>
      </c>
      <c r="E590" s="1" t="s">
        <v>18</v>
      </c>
      <c r="F590" s="1" t="s">
        <v>50</v>
      </c>
      <c r="G590" s="1" t="s">
        <v>50</v>
      </c>
      <c r="H590" s="1"/>
      <c r="I590" s="1" t="s">
        <v>50</v>
      </c>
      <c r="J590" s="13" t="s">
        <v>50</v>
      </c>
      <c r="K590" s="13" t="s">
        <v>50</v>
      </c>
      <c r="L590" s="1"/>
      <c r="M590" s="13" t="s">
        <v>50</v>
      </c>
      <c r="N590" s="13" t="s">
        <v>50</v>
      </c>
      <c r="O590" s="13" t="s">
        <v>50</v>
      </c>
      <c r="P590" s="13" t="s">
        <v>1717</v>
      </c>
      <c r="Q590" s="1" t="s">
        <v>104</v>
      </c>
      <c r="R590" s="1" t="s">
        <v>104</v>
      </c>
      <c r="S590" s="1" t="s">
        <v>104</v>
      </c>
      <c r="T590" s="1" t="s">
        <v>104</v>
      </c>
      <c r="U590" s="1" t="s">
        <v>104</v>
      </c>
      <c r="V590" s="1" t="s">
        <v>104</v>
      </c>
      <c r="W590" s="1" t="s">
        <v>104</v>
      </c>
      <c r="X590" s="1" t="s">
        <v>728</v>
      </c>
      <c r="Y590" s="1"/>
      <c r="Z590" s="8"/>
      <c r="AA590" s="8"/>
      <c r="AB590" s="8"/>
      <c r="AC590" s="8"/>
      <c r="AD590" s="8"/>
      <c r="AE590" s="8"/>
      <c r="AF590" s="8"/>
      <c r="AG590" s="8">
        <v>1</v>
      </c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>
        <v>1</v>
      </c>
      <c r="AW590" s="8"/>
      <c r="AX590" s="8">
        <v>1</v>
      </c>
      <c r="AY590" s="8">
        <v>1</v>
      </c>
      <c r="AZ590" s="8"/>
      <c r="BA590" s="8"/>
      <c r="BB590" s="1"/>
      <c r="BL590" s="58"/>
      <c r="BP590" t="str">
        <f t="shared" si="22"/>
        <v>SteelFighting</v>
      </c>
      <c r="BQ590" t="s">
        <v>2</v>
      </c>
      <c r="BR590">
        <v>7</v>
      </c>
    </row>
    <row r="591" spans="1:70" x14ac:dyDescent="0.25">
      <c r="A591">
        <f t="shared" si="23"/>
        <v>544</v>
      </c>
      <c r="B591" t="s">
        <v>662</v>
      </c>
      <c r="D591" s="1" t="s">
        <v>6</v>
      </c>
      <c r="E591" s="1" t="s">
        <v>18</v>
      </c>
      <c r="F591" s="1" t="s">
        <v>50</v>
      </c>
      <c r="G591" s="1" t="s">
        <v>50</v>
      </c>
      <c r="H591" s="1"/>
      <c r="I591" s="1" t="s">
        <v>50</v>
      </c>
      <c r="J591" s="13" t="s">
        <v>50</v>
      </c>
      <c r="K591" s="13" t="s">
        <v>50</v>
      </c>
      <c r="L591" s="1"/>
      <c r="M591" s="1" t="s">
        <v>104</v>
      </c>
      <c r="N591" s="13" t="s">
        <v>50</v>
      </c>
      <c r="O591" s="13" t="s">
        <v>50</v>
      </c>
      <c r="P591" s="13" t="s">
        <v>1717</v>
      </c>
      <c r="Q591" s="1" t="s">
        <v>104</v>
      </c>
      <c r="R591" s="1" t="s">
        <v>104</v>
      </c>
      <c r="S591" s="1" t="s">
        <v>104</v>
      </c>
      <c r="T591" s="1" t="s">
        <v>104</v>
      </c>
      <c r="U591" s="1" t="s">
        <v>104</v>
      </c>
      <c r="V591" s="1" t="s">
        <v>104</v>
      </c>
      <c r="W591" s="1" t="s">
        <v>104</v>
      </c>
      <c r="X591" s="1" t="s">
        <v>728</v>
      </c>
      <c r="Y591" s="1"/>
      <c r="Z591" s="8"/>
      <c r="AA591" s="8"/>
      <c r="AB591" s="8"/>
      <c r="AC591" s="8"/>
      <c r="AD591" s="8"/>
      <c r="AE591" s="8"/>
      <c r="AF591" s="8"/>
      <c r="AG591" s="8">
        <v>1</v>
      </c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>
        <v>1</v>
      </c>
      <c r="AW591" s="8"/>
      <c r="AX591" s="8">
        <v>1</v>
      </c>
      <c r="AY591" s="8">
        <v>1</v>
      </c>
      <c r="AZ591" s="8"/>
      <c r="BA591" s="8"/>
      <c r="BB591" s="1"/>
      <c r="BL591" s="58"/>
      <c r="BP591" t="str">
        <f t="shared" si="22"/>
        <v>SteelFighting</v>
      </c>
      <c r="BQ591" t="s">
        <v>2</v>
      </c>
      <c r="BR591">
        <v>7</v>
      </c>
    </row>
    <row r="592" spans="1:70" x14ac:dyDescent="0.25">
      <c r="A592">
        <f t="shared" si="23"/>
        <v>545</v>
      </c>
      <c r="B592" t="s">
        <v>663</v>
      </c>
      <c r="D592" s="1" t="s">
        <v>6</v>
      </c>
      <c r="E592" s="1" t="s">
        <v>18</v>
      </c>
      <c r="F592" s="1" t="s">
        <v>50</v>
      </c>
      <c r="G592" s="1" t="s">
        <v>50</v>
      </c>
      <c r="H592" s="1" t="s">
        <v>50</v>
      </c>
      <c r="I592" s="1" t="s">
        <v>50</v>
      </c>
      <c r="J592" s="13" t="s">
        <v>50</v>
      </c>
      <c r="K592" s="13" t="s">
        <v>50</v>
      </c>
      <c r="L592" s="1"/>
      <c r="M592" s="1" t="s">
        <v>104</v>
      </c>
      <c r="N592" s="13" t="s">
        <v>50</v>
      </c>
      <c r="O592" s="13" t="s">
        <v>50</v>
      </c>
      <c r="P592" s="13" t="s">
        <v>1717</v>
      </c>
      <c r="Q592" s="1" t="s">
        <v>104</v>
      </c>
      <c r="R592" s="1" t="s">
        <v>104</v>
      </c>
      <c r="S592" s="1" t="s">
        <v>104</v>
      </c>
      <c r="T592" s="1" t="s">
        <v>104</v>
      </c>
      <c r="U592" s="1" t="s">
        <v>104</v>
      </c>
      <c r="V592" s="1" t="s">
        <v>104</v>
      </c>
      <c r="W592" s="1" t="s">
        <v>104</v>
      </c>
      <c r="X592" s="1" t="s">
        <v>728</v>
      </c>
      <c r="Y592" s="1"/>
      <c r="Z592" s="8"/>
      <c r="AA592" s="8"/>
      <c r="AB592" s="8"/>
      <c r="AC592" s="8"/>
      <c r="AD592" s="8"/>
      <c r="AE592" s="8"/>
      <c r="AF592" s="8"/>
      <c r="AG592" s="8">
        <v>1</v>
      </c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>
        <v>1</v>
      </c>
      <c r="AW592" s="8"/>
      <c r="AX592" s="8">
        <v>1</v>
      </c>
      <c r="AY592" s="8">
        <v>1</v>
      </c>
      <c r="AZ592" s="8"/>
      <c r="BA592" s="8"/>
      <c r="BB592" s="1"/>
      <c r="BJ592">
        <v>29</v>
      </c>
      <c r="BK592">
        <v>12</v>
      </c>
      <c r="BL592" s="58"/>
      <c r="BP592" t="str">
        <f t="shared" si="22"/>
        <v>SteelFighting</v>
      </c>
      <c r="BR592">
        <v>7</v>
      </c>
    </row>
    <row r="593" spans="1:70" x14ac:dyDescent="0.25">
      <c r="A593">
        <f t="shared" si="23"/>
        <v>546</v>
      </c>
      <c r="B593" t="s">
        <v>664</v>
      </c>
      <c r="D593" s="1" t="s">
        <v>41</v>
      </c>
      <c r="E593" s="1" t="s">
        <v>0</v>
      </c>
      <c r="F593" s="1" t="s">
        <v>50</v>
      </c>
      <c r="G593" s="1" t="s">
        <v>50</v>
      </c>
      <c r="H593" s="1"/>
      <c r="I593" s="1" t="s">
        <v>50</v>
      </c>
      <c r="J593" s="13" t="s">
        <v>50</v>
      </c>
      <c r="K593" s="13" t="s">
        <v>50</v>
      </c>
      <c r="L593" s="1" t="s">
        <v>50</v>
      </c>
      <c r="M593" s="13" t="s">
        <v>50</v>
      </c>
      <c r="N593" s="13" t="s">
        <v>50</v>
      </c>
      <c r="O593" s="13" t="s">
        <v>50</v>
      </c>
      <c r="P593" s="13" t="s">
        <v>1718</v>
      </c>
      <c r="Q593" s="1" t="s">
        <v>104</v>
      </c>
      <c r="R593" s="1" t="s">
        <v>104</v>
      </c>
      <c r="S593" s="1" t="s">
        <v>104</v>
      </c>
      <c r="T593" s="1" t="s">
        <v>104</v>
      </c>
      <c r="U593" s="1" t="s">
        <v>104</v>
      </c>
      <c r="V593" s="1" t="s">
        <v>104</v>
      </c>
      <c r="W593" s="1" t="s">
        <v>104</v>
      </c>
      <c r="X593" s="1" t="s">
        <v>727</v>
      </c>
      <c r="Y593" s="1"/>
      <c r="Z593" s="8"/>
      <c r="AA593" s="8"/>
      <c r="AB593" s="8"/>
      <c r="AC593" s="8"/>
      <c r="AD593" s="8"/>
      <c r="AE593" s="8"/>
      <c r="AF593" s="8"/>
      <c r="AG593" s="8">
        <v>1</v>
      </c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>
        <v>1</v>
      </c>
      <c r="AT593" s="8">
        <v>1</v>
      </c>
      <c r="AU593" s="8"/>
      <c r="AV593" s="8"/>
      <c r="AW593" s="8"/>
      <c r="AX593" s="8"/>
      <c r="AY593" s="8"/>
      <c r="AZ593" s="8"/>
      <c r="BA593" s="8"/>
      <c r="BB593" s="1"/>
      <c r="BL593" s="58"/>
      <c r="BP593" t="str">
        <f t="shared" si="22"/>
        <v>SoundDark</v>
      </c>
      <c r="BQ593" t="s">
        <v>2</v>
      </c>
      <c r="BR593">
        <v>5</v>
      </c>
    </row>
    <row r="594" spans="1:70" x14ac:dyDescent="0.25">
      <c r="A594">
        <f t="shared" si="23"/>
        <v>547</v>
      </c>
      <c r="B594" t="s">
        <v>665</v>
      </c>
      <c r="D594" s="1" t="s">
        <v>41</v>
      </c>
      <c r="E594" s="1" t="s">
        <v>0</v>
      </c>
      <c r="F594" s="1" t="s">
        <v>50</v>
      </c>
      <c r="G594" s="1" t="s">
        <v>50</v>
      </c>
      <c r="H594" s="1" t="s">
        <v>50</v>
      </c>
      <c r="I594" s="1" t="s">
        <v>50</v>
      </c>
      <c r="J594" s="13" t="s">
        <v>50</v>
      </c>
      <c r="K594" s="13" t="s">
        <v>50</v>
      </c>
      <c r="L594" s="1" t="s">
        <v>50</v>
      </c>
      <c r="M594" s="1" t="s">
        <v>104</v>
      </c>
      <c r="N594" s="13" t="s">
        <v>50</v>
      </c>
      <c r="O594" s="13" t="s">
        <v>50</v>
      </c>
      <c r="P594" s="13" t="s">
        <v>1718</v>
      </c>
      <c r="Q594" s="1" t="s">
        <v>104</v>
      </c>
      <c r="R594" s="1" t="s">
        <v>104</v>
      </c>
      <c r="S594" s="1" t="s">
        <v>104</v>
      </c>
      <c r="T594" s="1" t="s">
        <v>104</v>
      </c>
      <c r="U594" s="1" t="s">
        <v>104</v>
      </c>
      <c r="V594" s="1" t="s">
        <v>104</v>
      </c>
      <c r="W594" s="1" t="s">
        <v>104</v>
      </c>
      <c r="X594" s="1" t="s">
        <v>727</v>
      </c>
      <c r="Y594" s="1"/>
      <c r="Z594" s="8"/>
      <c r="AA594" s="8"/>
      <c r="AB594" s="8"/>
      <c r="AC594" s="8"/>
      <c r="AD594" s="8"/>
      <c r="AE594" s="8"/>
      <c r="AF594" s="8"/>
      <c r="AG594" s="8">
        <v>1</v>
      </c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>
        <v>1</v>
      </c>
      <c r="AT594" s="8">
        <v>1</v>
      </c>
      <c r="AU594" s="8"/>
      <c r="AV594" s="8"/>
      <c r="AW594" s="8"/>
      <c r="AX594" s="8"/>
      <c r="AY594" s="8"/>
      <c r="AZ594" s="8"/>
      <c r="BA594" s="8"/>
      <c r="BB594" s="1"/>
      <c r="BJ594">
        <v>1</v>
      </c>
      <c r="BL594" s="58"/>
      <c r="BP594" t="str">
        <f t="shared" si="22"/>
        <v>SoundDark</v>
      </c>
      <c r="BR594">
        <v>5</v>
      </c>
    </row>
    <row r="595" spans="1:70" x14ac:dyDescent="0.25">
      <c r="A595">
        <f t="shared" si="23"/>
        <v>548</v>
      </c>
      <c r="B595" t="s">
        <v>666</v>
      </c>
      <c r="D595" s="1" t="s">
        <v>3</v>
      </c>
      <c r="E595" s="1" t="s">
        <v>6</v>
      </c>
      <c r="F595" s="1" t="s">
        <v>50</v>
      </c>
      <c r="G595" s="1" t="s">
        <v>50</v>
      </c>
      <c r="H595" s="1"/>
      <c r="I595" s="1" t="s">
        <v>50</v>
      </c>
      <c r="J595" s="1" t="s">
        <v>50</v>
      </c>
      <c r="K595" s="13" t="s">
        <v>50</v>
      </c>
      <c r="L595" s="1"/>
      <c r="M595" s="1" t="s">
        <v>50</v>
      </c>
      <c r="N595" s="13" t="s">
        <v>50</v>
      </c>
      <c r="O595" s="13" t="s">
        <v>50</v>
      </c>
      <c r="P595" s="13" t="s">
        <v>1793</v>
      </c>
      <c r="Q595" s="1" t="s">
        <v>104</v>
      </c>
      <c r="R595" s="1" t="s">
        <v>104</v>
      </c>
      <c r="S595" s="1" t="s">
        <v>104</v>
      </c>
      <c r="T595" s="1" t="s">
        <v>104</v>
      </c>
      <c r="U595" s="1" t="s">
        <v>104</v>
      </c>
      <c r="V595" s="1" t="s">
        <v>104</v>
      </c>
      <c r="W595" s="1" t="s">
        <v>104</v>
      </c>
      <c r="X595" s="1" t="s">
        <v>726</v>
      </c>
      <c r="Y595" s="1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>
        <v>1</v>
      </c>
      <c r="AT595" s="8"/>
      <c r="AU595" s="8"/>
      <c r="AV595" s="8"/>
      <c r="AW595" s="8"/>
      <c r="AX595" s="8"/>
      <c r="AY595" s="8"/>
      <c r="AZ595" s="8"/>
      <c r="BA595" s="8"/>
      <c r="BB595" s="1"/>
      <c r="BL595" s="58"/>
      <c r="BP595" t="str">
        <f t="shared" si="22"/>
        <v>ElectricSteel</v>
      </c>
      <c r="BQ595" t="s">
        <v>2</v>
      </c>
      <c r="BR595">
        <v>2</v>
      </c>
    </row>
    <row r="596" spans="1:70" x14ac:dyDescent="0.25">
      <c r="A596">
        <f t="shared" si="23"/>
        <v>549</v>
      </c>
      <c r="B596" t="s">
        <v>667</v>
      </c>
      <c r="D596" s="1" t="s">
        <v>3</v>
      </c>
      <c r="E596" s="1" t="s">
        <v>6</v>
      </c>
      <c r="F596" s="1" t="s">
        <v>50</v>
      </c>
      <c r="G596" s="1" t="s">
        <v>50</v>
      </c>
      <c r="H596" s="1"/>
      <c r="I596" s="1" t="s">
        <v>50</v>
      </c>
      <c r="J596" s="1" t="s">
        <v>50</v>
      </c>
      <c r="K596" s="13" t="s">
        <v>50</v>
      </c>
      <c r="L596" s="1"/>
      <c r="M596" s="1" t="s">
        <v>104</v>
      </c>
      <c r="N596" s="13" t="s">
        <v>50</v>
      </c>
      <c r="O596" s="13" t="s">
        <v>50</v>
      </c>
      <c r="P596" s="13" t="s">
        <v>1793</v>
      </c>
      <c r="Q596" s="1" t="s">
        <v>104</v>
      </c>
      <c r="R596" s="1" t="s">
        <v>104</v>
      </c>
      <c r="S596" s="1" t="s">
        <v>104</v>
      </c>
      <c r="T596" s="1" t="s">
        <v>104</v>
      </c>
      <c r="U596" s="1" t="s">
        <v>104</v>
      </c>
      <c r="V596" s="1" t="s">
        <v>104</v>
      </c>
      <c r="W596" s="1" t="s">
        <v>104</v>
      </c>
      <c r="X596" s="1" t="s">
        <v>726</v>
      </c>
      <c r="Y596" s="1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>
        <v>1</v>
      </c>
      <c r="AT596" s="8"/>
      <c r="AU596" s="8"/>
      <c r="AV596" s="8"/>
      <c r="AW596" s="8"/>
      <c r="AX596" s="8"/>
      <c r="AY596" s="8"/>
      <c r="AZ596" s="8"/>
      <c r="BA596" s="8"/>
      <c r="BB596" s="1"/>
      <c r="BL596" s="58"/>
      <c r="BP596" t="str">
        <f t="shared" si="22"/>
        <v>ElectricSteel</v>
      </c>
      <c r="BQ596" t="s">
        <v>2</v>
      </c>
      <c r="BR596">
        <v>2</v>
      </c>
    </row>
    <row r="597" spans="1:70" x14ac:dyDescent="0.25">
      <c r="A597">
        <f t="shared" si="23"/>
        <v>550</v>
      </c>
      <c r="B597" t="s">
        <v>668</v>
      </c>
      <c r="D597" s="1" t="s">
        <v>3</v>
      </c>
      <c r="E597" s="1" t="s">
        <v>6</v>
      </c>
      <c r="F597" s="1" t="s">
        <v>50</v>
      </c>
      <c r="G597" s="1" t="s">
        <v>50</v>
      </c>
      <c r="H597" s="1" t="s">
        <v>50</v>
      </c>
      <c r="I597" s="1" t="s">
        <v>50</v>
      </c>
      <c r="J597" s="1" t="s">
        <v>50</v>
      </c>
      <c r="K597" s="13" t="s">
        <v>50</v>
      </c>
      <c r="L597" s="1"/>
      <c r="M597" s="1" t="s">
        <v>104</v>
      </c>
      <c r="N597" s="13" t="s">
        <v>50</v>
      </c>
      <c r="O597" s="13" t="s">
        <v>50</v>
      </c>
      <c r="P597" s="13" t="s">
        <v>1793</v>
      </c>
      <c r="Q597" s="1" t="s">
        <v>104</v>
      </c>
      <c r="R597" s="1" t="s">
        <v>104</v>
      </c>
      <c r="S597" s="1" t="s">
        <v>104</v>
      </c>
      <c r="T597" s="1" t="s">
        <v>104</v>
      </c>
      <c r="U597" s="1" t="s">
        <v>104</v>
      </c>
      <c r="V597" s="1" t="s">
        <v>104</v>
      </c>
      <c r="W597" s="1" t="s">
        <v>104</v>
      </c>
      <c r="X597" s="1" t="s">
        <v>726</v>
      </c>
      <c r="Y597" s="1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>
        <v>1</v>
      </c>
      <c r="AT597" s="8"/>
      <c r="AU597" s="8"/>
      <c r="AV597" s="8"/>
      <c r="AW597" s="8"/>
      <c r="AX597" s="8"/>
      <c r="AY597" s="8"/>
      <c r="AZ597" s="8"/>
      <c r="BA597" s="8"/>
      <c r="BB597" s="1"/>
      <c r="BJ597">
        <v>1</v>
      </c>
      <c r="BK597">
        <v>1</v>
      </c>
      <c r="BL597" s="58">
        <v>1</v>
      </c>
      <c r="BP597" t="str">
        <f t="shared" si="22"/>
        <v>ElectricSteel</v>
      </c>
      <c r="BR597">
        <v>2</v>
      </c>
    </row>
    <row r="598" spans="1:70" x14ac:dyDescent="0.25">
      <c r="A598">
        <f t="shared" si="23"/>
        <v>551</v>
      </c>
      <c r="B598" t="s">
        <v>669</v>
      </c>
      <c r="D598" s="1" t="s">
        <v>5</v>
      </c>
      <c r="E598" s="1">
        <v>0</v>
      </c>
      <c r="F598" s="1" t="s">
        <v>50</v>
      </c>
      <c r="G598" s="1" t="s">
        <v>50</v>
      </c>
      <c r="H598" s="1"/>
      <c r="I598" s="1" t="s">
        <v>50</v>
      </c>
      <c r="J598" s="13" t="s">
        <v>50</v>
      </c>
      <c r="K598" s="13" t="s">
        <v>50</v>
      </c>
      <c r="L598" s="1"/>
      <c r="M598" s="1" t="s">
        <v>50</v>
      </c>
      <c r="N598" s="13" t="s">
        <v>50</v>
      </c>
      <c r="O598" s="13" t="s">
        <v>50</v>
      </c>
      <c r="P598" s="13" t="s">
        <v>820</v>
      </c>
      <c r="Q598" s="1" t="s">
        <v>104</v>
      </c>
      <c r="R598" s="1" t="s">
        <v>104</v>
      </c>
      <c r="S598" s="1" t="s">
        <v>104</v>
      </c>
      <c r="T598" s="1" t="s">
        <v>104</v>
      </c>
      <c r="U598" s="1" t="s">
        <v>104</v>
      </c>
      <c r="V598" s="1" t="s">
        <v>104</v>
      </c>
      <c r="W598" s="1" t="s">
        <v>104</v>
      </c>
      <c r="X598" s="1" t="s">
        <v>726</v>
      </c>
      <c r="Y598" s="1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>
        <v>1</v>
      </c>
      <c r="AP598" s="8">
        <v>1</v>
      </c>
      <c r="AQ598" s="8">
        <v>1</v>
      </c>
      <c r="AR598" s="8">
        <v>1</v>
      </c>
      <c r="AS598" s="8"/>
      <c r="AT598" s="8"/>
      <c r="AU598" s="8"/>
      <c r="AV598" s="8"/>
      <c r="AW598" s="8"/>
      <c r="AX598" s="8"/>
      <c r="AY598" s="8"/>
      <c r="AZ598" s="8"/>
      <c r="BA598" s="8"/>
      <c r="BB598" s="1"/>
      <c r="BL598" s="58"/>
      <c r="BP598" t="str">
        <f t="shared" si="22"/>
        <v>Ice0</v>
      </c>
      <c r="BQ598" t="s">
        <v>2</v>
      </c>
      <c r="BR598">
        <v>2</v>
      </c>
    </row>
    <row r="599" spans="1:70" x14ac:dyDescent="0.25">
      <c r="A599">
        <f t="shared" si="23"/>
        <v>552</v>
      </c>
      <c r="B599" t="s">
        <v>670</v>
      </c>
      <c r="D599" s="1" t="s">
        <v>5</v>
      </c>
      <c r="E599" s="1">
        <v>0</v>
      </c>
      <c r="F599" s="1" t="s">
        <v>50</v>
      </c>
      <c r="G599" s="1" t="s">
        <v>50</v>
      </c>
      <c r="H599" s="1"/>
      <c r="I599" s="1" t="s">
        <v>50</v>
      </c>
      <c r="J599" s="13" t="s">
        <v>50</v>
      </c>
      <c r="K599" s="13" t="s">
        <v>50</v>
      </c>
      <c r="L599" s="1"/>
      <c r="M599" s="1" t="s">
        <v>104</v>
      </c>
      <c r="N599" s="13" t="s">
        <v>50</v>
      </c>
      <c r="O599" s="13" t="s">
        <v>50</v>
      </c>
      <c r="P599" s="13" t="s">
        <v>820</v>
      </c>
      <c r="Q599" s="1" t="s">
        <v>104</v>
      </c>
      <c r="R599" s="1" t="s">
        <v>104</v>
      </c>
      <c r="S599" s="1" t="s">
        <v>104</v>
      </c>
      <c r="T599" s="1" t="s">
        <v>104</v>
      </c>
      <c r="U599" s="1" t="s">
        <v>104</v>
      </c>
      <c r="V599" s="1" t="s">
        <v>104</v>
      </c>
      <c r="W599" s="1" t="s">
        <v>104</v>
      </c>
      <c r="X599" s="1" t="s">
        <v>726</v>
      </c>
      <c r="Y599" s="1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>
        <v>1</v>
      </c>
      <c r="AP599" s="8">
        <v>1</v>
      </c>
      <c r="AQ599" s="8">
        <v>1</v>
      </c>
      <c r="AR599" s="8">
        <v>1</v>
      </c>
      <c r="AS599" s="8"/>
      <c r="AT599" s="8"/>
      <c r="AU599" s="8"/>
      <c r="AV599" s="8"/>
      <c r="AW599" s="8"/>
      <c r="AX599" s="8"/>
      <c r="AY599" s="8"/>
      <c r="AZ599" s="8"/>
      <c r="BA599" s="8"/>
      <c r="BB599" s="1"/>
      <c r="BL599" s="58"/>
      <c r="BP599" t="str">
        <f t="shared" si="22"/>
        <v>Ice0</v>
      </c>
      <c r="BQ599" t="s">
        <v>2</v>
      </c>
      <c r="BR599">
        <v>2</v>
      </c>
    </row>
    <row r="600" spans="1:70" x14ac:dyDescent="0.25">
      <c r="A600">
        <f t="shared" si="23"/>
        <v>553</v>
      </c>
      <c r="B600" t="s">
        <v>671</v>
      </c>
      <c r="D600" s="1" t="s">
        <v>5</v>
      </c>
      <c r="E600" s="1">
        <v>0</v>
      </c>
      <c r="F600" s="1" t="s">
        <v>50</v>
      </c>
      <c r="G600" s="1" t="s">
        <v>50</v>
      </c>
      <c r="H600" s="1" t="s">
        <v>50</v>
      </c>
      <c r="I600" s="1" t="s">
        <v>50</v>
      </c>
      <c r="J600" s="13" t="s">
        <v>50</v>
      </c>
      <c r="K600" s="13" t="s">
        <v>50</v>
      </c>
      <c r="L600" s="1"/>
      <c r="M600" s="1" t="s">
        <v>104</v>
      </c>
      <c r="N600" s="13" t="s">
        <v>50</v>
      </c>
      <c r="O600" s="13" t="s">
        <v>50</v>
      </c>
      <c r="P600" s="13" t="s">
        <v>820</v>
      </c>
      <c r="Q600" s="1" t="s">
        <v>104</v>
      </c>
      <c r="R600" s="1" t="s">
        <v>104</v>
      </c>
      <c r="S600" s="1" t="s">
        <v>104</v>
      </c>
      <c r="T600" s="1" t="s">
        <v>104</v>
      </c>
      <c r="U600" s="1" t="s">
        <v>104</v>
      </c>
      <c r="V600" s="1" t="s">
        <v>104</v>
      </c>
      <c r="W600" s="1" t="s">
        <v>104</v>
      </c>
      <c r="X600" s="1" t="s">
        <v>726</v>
      </c>
      <c r="Y600" s="1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>
        <v>1</v>
      </c>
      <c r="AP600" s="8">
        <v>1</v>
      </c>
      <c r="AQ600" s="8">
        <v>1</v>
      </c>
      <c r="AR600" s="8">
        <v>1</v>
      </c>
      <c r="AS600" s="8"/>
      <c r="AT600" s="8"/>
      <c r="AU600" s="8"/>
      <c r="AV600" s="8"/>
      <c r="AW600" s="8"/>
      <c r="AX600" s="8"/>
      <c r="AY600" s="8"/>
      <c r="AZ600" s="8"/>
      <c r="BA600" s="8"/>
      <c r="BB600" s="1"/>
      <c r="BJ600">
        <v>2</v>
      </c>
      <c r="BK600">
        <v>1</v>
      </c>
      <c r="BL600" s="58">
        <v>4</v>
      </c>
      <c r="BP600" t="str">
        <f t="shared" si="22"/>
        <v>Ice0</v>
      </c>
      <c r="BR600">
        <v>2</v>
      </c>
    </row>
    <row r="601" spans="1:70" x14ac:dyDescent="0.25">
      <c r="A601">
        <f t="shared" si="23"/>
        <v>554</v>
      </c>
      <c r="B601" t="s">
        <v>672</v>
      </c>
      <c r="D601" s="1" t="s">
        <v>0</v>
      </c>
      <c r="E601" s="1" t="s">
        <v>13</v>
      </c>
      <c r="F601" s="1" t="s">
        <v>50</v>
      </c>
      <c r="G601" s="1" t="s">
        <v>50</v>
      </c>
      <c r="H601" s="1"/>
      <c r="I601" s="1" t="s">
        <v>50</v>
      </c>
      <c r="J601" s="13" t="s">
        <v>50</v>
      </c>
      <c r="K601" s="13" t="s">
        <v>50</v>
      </c>
      <c r="L601" s="1"/>
      <c r="M601" s="1" t="s">
        <v>50</v>
      </c>
      <c r="N601" s="1" t="s">
        <v>50</v>
      </c>
      <c r="O601" s="1" t="s">
        <v>50</v>
      </c>
      <c r="P601" s="13" t="s">
        <v>781</v>
      </c>
      <c r="Q601" s="1" t="s">
        <v>104</v>
      </c>
      <c r="R601" s="1" t="s">
        <v>104</v>
      </c>
      <c r="S601" s="1" t="s">
        <v>104</v>
      </c>
      <c r="T601" s="1" t="s">
        <v>104</v>
      </c>
      <c r="U601" s="1" t="s">
        <v>104</v>
      </c>
      <c r="V601" s="1" t="s">
        <v>104</v>
      </c>
      <c r="W601" s="1" t="s">
        <v>104</v>
      </c>
      <c r="X601" s="1" t="s">
        <v>726</v>
      </c>
      <c r="Y601" s="1"/>
      <c r="Z601" s="8"/>
      <c r="AA601" s="8"/>
      <c r="AB601" s="8"/>
      <c r="AC601" s="8"/>
      <c r="AD601" s="8"/>
      <c r="AE601" s="8"/>
      <c r="AF601" s="8"/>
      <c r="AG601" s="8"/>
      <c r="AH601" s="8">
        <v>1</v>
      </c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>
        <v>1</v>
      </c>
      <c r="AW601" s="8">
        <v>1</v>
      </c>
      <c r="AX601" s="8"/>
      <c r="AY601" s="8"/>
      <c r="AZ601" s="8"/>
      <c r="BA601" s="8"/>
      <c r="BB601" s="1"/>
      <c r="BL601" s="58"/>
      <c r="BP601" t="str">
        <f t="shared" si="22"/>
        <v>DarkFire</v>
      </c>
      <c r="BQ601" t="s">
        <v>2</v>
      </c>
      <c r="BR601">
        <v>2</v>
      </c>
    </row>
    <row r="602" spans="1:70" x14ac:dyDescent="0.25">
      <c r="A602">
        <f t="shared" si="23"/>
        <v>555</v>
      </c>
      <c r="B602" t="s">
        <v>673</v>
      </c>
      <c r="D602" s="1" t="s">
        <v>0</v>
      </c>
      <c r="E602" s="1" t="s">
        <v>13</v>
      </c>
      <c r="F602" s="1" t="s">
        <v>50</v>
      </c>
      <c r="G602" s="1" t="s">
        <v>50</v>
      </c>
      <c r="H602" s="1"/>
      <c r="I602" s="1" t="s">
        <v>50</v>
      </c>
      <c r="J602" s="13" t="s">
        <v>50</v>
      </c>
      <c r="K602" s="13" t="s">
        <v>50</v>
      </c>
      <c r="L602" s="1"/>
      <c r="M602" s="1" t="s">
        <v>104</v>
      </c>
      <c r="N602" s="1" t="s">
        <v>50</v>
      </c>
      <c r="O602" s="1" t="s">
        <v>50</v>
      </c>
      <c r="P602" s="13" t="s">
        <v>781</v>
      </c>
      <c r="Q602" s="1" t="s">
        <v>104</v>
      </c>
      <c r="R602" s="1" t="s">
        <v>104</v>
      </c>
      <c r="S602" s="1" t="s">
        <v>104</v>
      </c>
      <c r="T602" s="1" t="s">
        <v>104</v>
      </c>
      <c r="U602" s="1" t="s">
        <v>104</v>
      </c>
      <c r="V602" s="1" t="s">
        <v>104</v>
      </c>
      <c r="W602" s="1" t="s">
        <v>104</v>
      </c>
      <c r="X602" s="1" t="s">
        <v>726</v>
      </c>
      <c r="Y602" s="1"/>
      <c r="Z602" s="8"/>
      <c r="AA602" s="8"/>
      <c r="AB602" s="8"/>
      <c r="AC602" s="8"/>
      <c r="AD602" s="8"/>
      <c r="AE602" s="8"/>
      <c r="AF602" s="8"/>
      <c r="AG602" s="8"/>
      <c r="AH602" s="8">
        <v>1</v>
      </c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>
        <v>1</v>
      </c>
      <c r="AW602" s="8">
        <v>1</v>
      </c>
      <c r="AX602" s="8"/>
      <c r="AY602" s="8"/>
      <c r="AZ602" s="8"/>
      <c r="BA602" s="8"/>
      <c r="BB602" s="1"/>
      <c r="BL602" s="58"/>
      <c r="BP602" t="str">
        <f t="shared" si="22"/>
        <v>DarkFire</v>
      </c>
      <c r="BQ602" t="s">
        <v>2</v>
      </c>
      <c r="BR602">
        <v>2</v>
      </c>
    </row>
    <row r="603" spans="1:70" x14ac:dyDescent="0.25">
      <c r="A603">
        <f t="shared" si="23"/>
        <v>556</v>
      </c>
      <c r="B603" t="s">
        <v>674</v>
      </c>
      <c r="D603" s="1" t="s">
        <v>0</v>
      </c>
      <c r="E603" s="1" t="s">
        <v>13</v>
      </c>
      <c r="F603" s="1" t="s">
        <v>50</v>
      </c>
      <c r="G603" s="1" t="s">
        <v>50</v>
      </c>
      <c r="H603" s="1" t="s">
        <v>50</v>
      </c>
      <c r="I603" s="1" t="s">
        <v>50</v>
      </c>
      <c r="J603" s="13" t="s">
        <v>50</v>
      </c>
      <c r="K603" s="13" t="s">
        <v>50</v>
      </c>
      <c r="L603" s="1"/>
      <c r="M603" s="1" t="s">
        <v>104</v>
      </c>
      <c r="N603" s="1" t="s">
        <v>50</v>
      </c>
      <c r="O603" s="1" t="s">
        <v>50</v>
      </c>
      <c r="P603" s="13" t="s">
        <v>781</v>
      </c>
      <c r="Q603" s="1" t="s">
        <v>104</v>
      </c>
      <c r="R603" s="1" t="s">
        <v>104</v>
      </c>
      <c r="S603" s="1" t="s">
        <v>104</v>
      </c>
      <c r="T603" s="1" t="s">
        <v>104</v>
      </c>
      <c r="U603" s="1" t="s">
        <v>104</v>
      </c>
      <c r="V603" s="1" t="s">
        <v>104</v>
      </c>
      <c r="W603" s="1" t="s">
        <v>104</v>
      </c>
      <c r="X603" s="1" t="s">
        <v>726</v>
      </c>
      <c r="Y603" s="1"/>
      <c r="Z603" s="8"/>
      <c r="AA603" s="8"/>
      <c r="AB603" s="8"/>
      <c r="AC603" s="8"/>
      <c r="AD603" s="8"/>
      <c r="AE603" s="8"/>
      <c r="AF603" s="8"/>
      <c r="AG603" s="8"/>
      <c r="AH603" s="8">
        <v>1</v>
      </c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>
        <v>1</v>
      </c>
      <c r="AW603" s="8">
        <v>1</v>
      </c>
      <c r="AX603" s="8"/>
      <c r="AY603" s="8"/>
      <c r="AZ603" s="8"/>
      <c r="BA603" s="8"/>
      <c r="BB603" s="1"/>
      <c r="BJ603">
        <v>5</v>
      </c>
      <c r="BK603">
        <v>3</v>
      </c>
      <c r="BL603" s="58"/>
      <c r="BP603" t="str">
        <f t="shared" si="22"/>
        <v>DarkFire</v>
      </c>
      <c r="BR603">
        <v>2</v>
      </c>
    </row>
    <row r="604" spans="1:70" x14ac:dyDescent="0.25">
      <c r="A604">
        <f t="shared" si="23"/>
        <v>557</v>
      </c>
      <c r="B604" t="s">
        <v>675</v>
      </c>
      <c r="D604" s="1" t="s">
        <v>11</v>
      </c>
      <c r="E604" s="1" t="s">
        <v>16</v>
      </c>
      <c r="F604" s="1" t="s">
        <v>50</v>
      </c>
      <c r="G604" s="1" t="s">
        <v>50</v>
      </c>
      <c r="H604" s="1"/>
      <c r="I604" s="1" t="s">
        <v>50</v>
      </c>
      <c r="J604" s="1" t="s">
        <v>50</v>
      </c>
      <c r="K604" s="1" t="s">
        <v>50</v>
      </c>
      <c r="L604" s="1"/>
      <c r="M604" s="1" t="s">
        <v>50</v>
      </c>
      <c r="N604" s="1" t="s">
        <v>50</v>
      </c>
      <c r="O604" s="1" t="s">
        <v>50</v>
      </c>
      <c r="P604" s="13" t="s">
        <v>781</v>
      </c>
      <c r="Q604" s="1" t="s">
        <v>104</v>
      </c>
      <c r="R604" s="1" t="s">
        <v>104</v>
      </c>
      <c r="S604" s="1" t="s">
        <v>104</v>
      </c>
      <c r="T604" s="1" t="s">
        <v>104</v>
      </c>
      <c r="U604" s="1" t="s">
        <v>104</v>
      </c>
      <c r="V604" s="1" t="s">
        <v>104</v>
      </c>
      <c r="W604" s="1" t="s">
        <v>104</v>
      </c>
      <c r="X604" s="1" t="s">
        <v>726</v>
      </c>
      <c r="Y604" s="1"/>
      <c r="Z604" s="8">
        <v>1</v>
      </c>
      <c r="AA604" s="8">
        <v>1</v>
      </c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>
        <v>1</v>
      </c>
      <c r="BA604" s="8"/>
      <c r="BB604" s="1"/>
      <c r="BL604" s="58"/>
      <c r="BP604" t="str">
        <f t="shared" si="22"/>
        <v>GrassFlying</v>
      </c>
      <c r="BQ604" t="s">
        <v>2</v>
      </c>
      <c r="BR604">
        <v>3</v>
      </c>
    </row>
    <row r="605" spans="1:70" x14ac:dyDescent="0.25">
      <c r="A605">
        <f t="shared" si="23"/>
        <v>558</v>
      </c>
      <c r="B605" t="s">
        <v>676</v>
      </c>
      <c r="D605" s="1" t="s">
        <v>11</v>
      </c>
      <c r="E605" s="1" t="s">
        <v>16</v>
      </c>
      <c r="F605" s="1" t="s">
        <v>50</v>
      </c>
      <c r="G605" s="1" t="s">
        <v>50</v>
      </c>
      <c r="H605" s="1" t="s">
        <v>50</v>
      </c>
      <c r="I605" s="1" t="s">
        <v>50</v>
      </c>
      <c r="J605" s="1" t="s">
        <v>50</v>
      </c>
      <c r="K605" s="1" t="s">
        <v>50</v>
      </c>
      <c r="L605" s="1"/>
      <c r="M605" s="1" t="s">
        <v>104</v>
      </c>
      <c r="N605" s="1" t="s">
        <v>50</v>
      </c>
      <c r="O605" s="1" t="s">
        <v>50</v>
      </c>
      <c r="P605" s="13" t="s">
        <v>781</v>
      </c>
      <c r="Q605" s="1" t="s">
        <v>50</v>
      </c>
      <c r="R605" s="1" t="s">
        <v>50</v>
      </c>
      <c r="S605" s="1" t="s">
        <v>50</v>
      </c>
      <c r="T605" s="1" t="s">
        <v>50</v>
      </c>
      <c r="U605" s="1" t="s">
        <v>50</v>
      </c>
      <c r="V605" s="1" t="s">
        <v>50</v>
      </c>
      <c r="W605" s="1" t="s">
        <v>50</v>
      </c>
      <c r="X605" s="1" t="s">
        <v>726</v>
      </c>
      <c r="Y605" s="1"/>
      <c r="Z605" s="8">
        <v>1</v>
      </c>
      <c r="AA605" s="8">
        <v>1</v>
      </c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>
        <v>1</v>
      </c>
      <c r="BA605" s="8"/>
      <c r="BB605" s="1"/>
      <c r="BJ605">
        <v>4</v>
      </c>
      <c r="BK605">
        <v>1</v>
      </c>
      <c r="BL605" s="58"/>
      <c r="BP605" t="str">
        <f t="shared" si="22"/>
        <v>GrassFlying</v>
      </c>
      <c r="BR605">
        <v>3</v>
      </c>
    </row>
    <row r="606" spans="1:70" x14ac:dyDescent="0.25">
      <c r="A606">
        <f t="shared" si="23"/>
        <v>559</v>
      </c>
      <c r="B606" t="s">
        <v>677</v>
      </c>
      <c r="D606" s="1" t="s">
        <v>3</v>
      </c>
      <c r="E606" s="1">
        <v>0</v>
      </c>
      <c r="F606" s="1" t="s">
        <v>50</v>
      </c>
      <c r="G606" s="1" t="s">
        <v>50</v>
      </c>
      <c r="H606" s="1" t="s">
        <v>50</v>
      </c>
      <c r="I606" s="1" t="s">
        <v>50</v>
      </c>
      <c r="J606" s="1" t="s">
        <v>50</v>
      </c>
      <c r="K606" s="1" t="s">
        <v>50</v>
      </c>
      <c r="L606" s="1"/>
      <c r="M606" s="1" t="s">
        <v>50</v>
      </c>
      <c r="N606" s="1" t="s">
        <v>50</v>
      </c>
      <c r="O606" s="1" t="s">
        <v>50</v>
      </c>
      <c r="P606" s="13" t="s">
        <v>1716</v>
      </c>
      <c r="Q606" s="1" t="s">
        <v>104</v>
      </c>
      <c r="R606" s="1" t="s">
        <v>104</v>
      </c>
      <c r="S606" s="1" t="s">
        <v>104</v>
      </c>
      <c r="T606" s="1" t="s">
        <v>104</v>
      </c>
      <c r="U606" s="1" t="s">
        <v>104</v>
      </c>
      <c r="V606" s="1" t="s">
        <v>104</v>
      </c>
      <c r="W606" s="1" t="s">
        <v>104</v>
      </c>
      <c r="X606" s="1" t="s">
        <v>726</v>
      </c>
      <c r="Y606" s="1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>
        <v>1</v>
      </c>
      <c r="AY606" s="8">
        <v>1</v>
      </c>
      <c r="AZ606" s="8"/>
      <c r="BA606" s="8"/>
      <c r="BB606" s="1"/>
      <c r="BL606" s="58"/>
      <c r="BP606" t="str">
        <f t="shared" si="22"/>
        <v>Electric0</v>
      </c>
      <c r="BQ606" t="s">
        <v>2</v>
      </c>
      <c r="BR606">
        <v>2</v>
      </c>
    </row>
    <row r="607" spans="1:70" x14ac:dyDescent="0.25">
      <c r="A607">
        <f t="shared" si="23"/>
        <v>560</v>
      </c>
      <c r="B607" t="s">
        <v>678</v>
      </c>
      <c r="D607" s="1" t="s">
        <v>4</v>
      </c>
      <c r="E607" s="1">
        <v>0</v>
      </c>
      <c r="F607" s="1" t="s">
        <v>50</v>
      </c>
      <c r="G607" s="1" t="s">
        <v>50</v>
      </c>
      <c r="H607" s="1"/>
      <c r="I607" s="1" t="s">
        <v>50</v>
      </c>
      <c r="J607" s="1" t="s">
        <v>50</v>
      </c>
      <c r="K607" s="1" t="s">
        <v>50</v>
      </c>
      <c r="L607" s="1" t="s">
        <v>50</v>
      </c>
      <c r="M607" s="1" t="s">
        <v>50</v>
      </c>
      <c r="N607" s="1" t="s">
        <v>50</v>
      </c>
      <c r="O607" s="1" t="s">
        <v>50</v>
      </c>
      <c r="P607" s="1" t="s">
        <v>1727</v>
      </c>
      <c r="Q607" s="1" t="s">
        <v>104</v>
      </c>
      <c r="R607" s="1" t="s">
        <v>104</v>
      </c>
      <c r="S607" s="1" t="s">
        <v>104</v>
      </c>
      <c r="T607" s="1" t="s">
        <v>104</v>
      </c>
      <c r="U607" s="1" t="s">
        <v>104</v>
      </c>
      <c r="V607" s="1" t="s">
        <v>104</v>
      </c>
      <c r="W607" s="1" t="s">
        <v>104</v>
      </c>
      <c r="X607" s="1" t="s">
        <v>726</v>
      </c>
      <c r="Y607" s="1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>
        <v>1</v>
      </c>
      <c r="AM607" s="8">
        <v>1</v>
      </c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1"/>
      <c r="BK607">
        <v>1</v>
      </c>
      <c r="BL607" s="58"/>
      <c r="BP607" t="str">
        <f t="shared" si="22"/>
        <v>Psychic0</v>
      </c>
      <c r="BQ607" t="s">
        <v>2</v>
      </c>
      <c r="BR607">
        <v>3</v>
      </c>
    </row>
    <row r="608" spans="1:70" x14ac:dyDescent="0.25">
      <c r="A608">
        <f t="shared" si="23"/>
        <v>561</v>
      </c>
      <c r="B608" t="s">
        <v>680</v>
      </c>
      <c r="D608" s="1" t="s">
        <v>15</v>
      </c>
      <c r="E608" s="1" t="s">
        <v>0</v>
      </c>
      <c r="F608" s="1" t="s">
        <v>50</v>
      </c>
      <c r="G608" s="1" t="s">
        <v>50</v>
      </c>
      <c r="H608" s="1" t="s">
        <v>50</v>
      </c>
      <c r="I608" s="1" t="s">
        <v>50</v>
      </c>
      <c r="J608" s="1" t="s">
        <v>50</v>
      </c>
      <c r="K608" s="1" t="s">
        <v>50</v>
      </c>
      <c r="L608" s="1"/>
      <c r="M608" s="1" t="s">
        <v>104</v>
      </c>
      <c r="N608" s="1" t="s">
        <v>50</v>
      </c>
      <c r="O608" s="1" t="s">
        <v>50</v>
      </c>
      <c r="P608" s="1" t="s">
        <v>1727</v>
      </c>
      <c r="Q608" s="1" t="s">
        <v>104</v>
      </c>
      <c r="R608" s="1" t="s">
        <v>104</v>
      </c>
      <c r="S608" s="1" t="s">
        <v>104</v>
      </c>
      <c r="T608" s="1" t="s">
        <v>104</v>
      </c>
      <c r="U608" s="1" t="s">
        <v>104</v>
      </c>
      <c r="V608" s="1" t="s">
        <v>104</v>
      </c>
      <c r="W608" s="1" t="s">
        <v>104</v>
      </c>
      <c r="X608" s="1" t="s">
        <v>1848</v>
      </c>
      <c r="Y608" s="1"/>
      <c r="Z608" s="8"/>
      <c r="AA608" s="8"/>
      <c r="AB608" s="8"/>
      <c r="AC608" s="8"/>
      <c r="AD608" s="8"/>
      <c r="AE608" s="8"/>
      <c r="AF608" s="8"/>
      <c r="AG608" s="8"/>
      <c r="AH608" s="8"/>
      <c r="AI608" s="8">
        <v>1</v>
      </c>
      <c r="AJ608" s="8">
        <v>1</v>
      </c>
      <c r="AK608" s="8">
        <v>1</v>
      </c>
      <c r="AL608" s="8">
        <v>1</v>
      </c>
      <c r="AM608" s="8">
        <v>1</v>
      </c>
      <c r="AN608" s="8">
        <v>1</v>
      </c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1"/>
      <c r="BJ608">
        <v>1</v>
      </c>
      <c r="BL608" s="58"/>
      <c r="BP608" t="str">
        <f t="shared" si="22"/>
        <v>WaterDark</v>
      </c>
      <c r="BR608">
        <v>3</v>
      </c>
    </row>
    <row r="609" spans="1:70" x14ac:dyDescent="0.25">
      <c r="A609">
        <f t="shared" si="23"/>
        <v>562</v>
      </c>
      <c r="B609" t="s">
        <v>679</v>
      </c>
      <c r="D609" s="1" t="s">
        <v>15</v>
      </c>
      <c r="E609" s="1" t="s">
        <v>17</v>
      </c>
      <c r="F609" s="1" t="s">
        <v>50</v>
      </c>
      <c r="G609" s="1" t="s">
        <v>50</v>
      </c>
      <c r="H609" s="1" t="s">
        <v>50</v>
      </c>
      <c r="I609" s="1" t="s">
        <v>50</v>
      </c>
      <c r="J609" s="1" t="s">
        <v>50</v>
      </c>
      <c r="K609" s="1" t="s">
        <v>50</v>
      </c>
      <c r="L609" s="1"/>
      <c r="M609" s="1" t="s">
        <v>104</v>
      </c>
      <c r="N609" s="1" t="s">
        <v>50</v>
      </c>
      <c r="O609" s="1" t="s">
        <v>50</v>
      </c>
      <c r="P609" s="1" t="s">
        <v>1727</v>
      </c>
      <c r="Q609" s="1" t="s">
        <v>104</v>
      </c>
      <c r="R609" s="1" t="s">
        <v>104</v>
      </c>
      <c r="S609" s="1" t="s">
        <v>104</v>
      </c>
      <c r="T609" s="1" t="s">
        <v>104</v>
      </c>
      <c r="U609" s="1" t="s">
        <v>104</v>
      </c>
      <c r="V609" s="1" t="s">
        <v>104</v>
      </c>
      <c r="W609" s="1" t="s">
        <v>104</v>
      </c>
      <c r="X609" s="1" t="s">
        <v>1848</v>
      </c>
      <c r="Y609" s="1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>
        <v>1</v>
      </c>
      <c r="AK609" s="8">
        <v>1</v>
      </c>
      <c r="AL609" s="8">
        <v>1</v>
      </c>
      <c r="AM609" s="8">
        <v>1</v>
      </c>
      <c r="AN609" s="8">
        <v>1</v>
      </c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1"/>
      <c r="BL609" s="58"/>
      <c r="BP609" t="str">
        <f t="shared" si="22"/>
        <v>WaterBug</v>
      </c>
      <c r="BR609">
        <v>3</v>
      </c>
    </row>
    <row r="610" spans="1:70" x14ac:dyDescent="0.25">
      <c r="A610">
        <f t="shared" si="23"/>
        <v>563</v>
      </c>
      <c r="B610" t="s">
        <v>681</v>
      </c>
      <c r="D610" s="1" t="s">
        <v>6</v>
      </c>
      <c r="E610" s="1" t="s">
        <v>41</v>
      </c>
      <c r="F610" s="1" t="s">
        <v>50</v>
      </c>
      <c r="G610" s="1" t="s">
        <v>50</v>
      </c>
      <c r="H610" s="1"/>
      <c r="I610" s="1" t="s">
        <v>50</v>
      </c>
      <c r="J610" s="13" t="s">
        <v>50</v>
      </c>
      <c r="K610" s="13" t="s">
        <v>50</v>
      </c>
      <c r="L610" s="1" t="s">
        <v>50</v>
      </c>
      <c r="M610" s="1" t="s">
        <v>50</v>
      </c>
      <c r="N610" s="1" t="s">
        <v>50</v>
      </c>
      <c r="O610" s="1" t="s">
        <v>50</v>
      </c>
      <c r="P610" s="1" t="s">
        <v>104</v>
      </c>
      <c r="Q610" s="1" t="s">
        <v>104</v>
      </c>
      <c r="R610" s="1" t="s">
        <v>104</v>
      </c>
      <c r="S610" s="1" t="s">
        <v>104</v>
      </c>
      <c r="T610" s="1" t="s">
        <v>104</v>
      </c>
      <c r="U610" s="1" t="s">
        <v>104</v>
      </c>
      <c r="V610" s="1" t="s">
        <v>104</v>
      </c>
      <c r="W610" s="1" t="s">
        <v>104</v>
      </c>
      <c r="X610" s="1" t="s">
        <v>733</v>
      </c>
      <c r="Y610" s="1"/>
      <c r="Z610" s="8"/>
      <c r="AA610" s="8"/>
      <c r="AB610" s="8"/>
      <c r="AC610" s="8"/>
      <c r="AD610" s="8"/>
      <c r="AE610" s="8"/>
      <c r="AF610" s="8"/>
      <c r="AG610" s="8">
        <v>1</v>
      </c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>
        <v>1</v>
      </c>
      <c r="AT610" s="8"/>
      <c r="AU610" s="8"/>
      <c r="AV610" s="8"/>
      <c r="AW610" s="8"/>
      <c r="AX610" s="8"/>
      <c r="AY610" s="8"/>
      <c r="AZ610" s="8"/>
      <c r="BA610" s="8"/>
      <c r="BB610" s="1"/>
      <c r="BL610" s="58"/>
      <c r="BP610" t="str">
        <f t="shared" si="22"/>
        <v>SteelSound</v>
      </c>
      <c r="BQ610" t="s">
        <v>2</v>
      </c>
      <c r="BR610">
        <v>5</v>
      </c>
    </row>
    <row r="611" spans="1:70" x14ac:dyDescent="0.25">
      <c r="A611">
        <f t="shared" si="23"/>
        <v>564</v>
      </c>
      <c r="B611" t="s">
        <v>682</v>
      </c>
      <c r="D611" s="1" t="s">
        <v>6</v>
      </c>
      <c r="E611" s="1" t="s">
        <v>41</v>
      </c>
      <c r="F611" s="1" t="s">
        <v>50</v>
      </c>
      <c r="G611" s="1" t="s">
        <v>50</v>
      </c>
      <c r="H611" s="1"/>
      <c r="I611" s="1" t="s">
        <v>50</v>
      </c>
      <c r="J611" s="13" t="s">
        <v>50</v>
      </c>
      <c r="K611" s="13" t="s">
        <v>50</v>
      </c>
      <c r="L611" s="1"/>
      <c r="M611" s="1" t="s">
        <v>104</v>
      </c>
      <c r="N611" s="1" t="s">
        <v>50</v>
      </c>
      <c r="O611" s="1" t="s">
        <v>50</v>
      </c>
      <c r="P611" s="1" t="s">
        <v>104</v>
      </c>
      <c r="Q611" s="1" t="s">
        <v>104</v>
      </c>
      <c r="R611" s="1" t="s">
        <v>104</v>
      </c>
      <c r="S611" s="1" t="s">
        <v>104</v>
      </c>
      <c r="T611" s="1" t="s">
        <v>104</v>
      </c>
      <c r="U611" s="1" t="s">
        <v>104</v>
      </c>
      <c r="V611" s="1" t="s">
        <v>104</v>
      </c>
      <c r="W611" s="1" t="s">
        <v>104</v>
      </c>
      <c r="X611" s="1" t="s">
        <v>733</v>
      </c>
      <c r="Y611" s="1"/>
      <c r="Z611" s="8"/>
      <c r="AA611" s="8"/>
      <c r="AB611" s="8"/>
      <c r="AC611" s="8"/>
      <c r="AD611" s="8"/>
      <c r="AE611" s="8"/>
      <c r="AF611" s="8"/>
      <c r="AG611" s="8">
        <v>1</v>
      </c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>
        <v>1</v>
      </c>
      <c r="AT611" s="8"/>
      <c r="AU611" s="8"/>
      <c r="AV611" s="8"/>
      <c r="AW611" s="8"/>
      <c r="AX611" s="8"/>
      <c r="AY611" s="8"/>
      <c r="AZ611" s="8"/>
      <c r="BA611" s="8"/>
      <c r="BB611" s="1"/>
      <c r="BL611" s="58"/>
      <c r="BP611" t="str">
        <f t="shared" si="22"/>
        <v>SteelSound</v>
      </c>
      <c r="BQ611" t="s">
        <v>2</v>
      </c>
      <c r="BR611">
        <v>5</v>
      </c>
    </row>
    <row r="612" spans="1:70" x14ac:dyDescent="0.25">
      <c r="A612">
        <f t="shared" si="23"/>
        <v>565</v>
      </c>
      <c r="B612" t="s">
        <v>683</v>
      </c>
      <c r="D612" s="1" t="s">
        <v>6</v>
      </c>
      <c r="E612" s="1" t="s">
        <v>41</v>
      </c>
      <c r="F612" s="1" t="s">
        <v>50</v>
      </c>
      <c r="G612" s="1" t="s">
        <v>50</v>
      </c>
      <c r="H612" s="1" t="s">
        <v>50</v>
      </c>
      <c r="I612" s="1" t="s">
        <v>50</v>
      </c>
      <c r="J612" s="13" t="s">
        <v>50</v>
      </c>
      <c r="K612" s="13" t="s">
        <v>50</v>
      </c>
      <c r="L612" s="1"/>
      <c r="M612" s="1" t="s">
        <v>104</v>
      </c>
      <c r="N612" s="1" t="s">
        <v>50</v>
      </c>
      <c r="O612" s="1" t="s">
        <v>50</v>
      </c>
      <c r="P612" s="1" t="s">
        <v>104</v>
      </c>
      <c r="Q612" s="1" t="s">
        <v>1767</v>
      </c>
      <c r="R612" s="1" t="s">
        <v>1767</v>
      </c>
      <c r="S612" s="1" t="s">
        <v>104</v>
      </c>
      <c r="T612" s="1" t="s">
        <v>1767</v>
      </c>
      <c r="U612" s="1" t="s">
        <v>1767</v>
      </c>
      <c r="V612" s="1" t="s">
        <v>1767</v>
      </c>
      <c r="W612" s="1" t="s">
        <v>1767</v>
      </c>
      <c r="X612" s="1" t="s">
        <v>2455</v>
      </c>
      <c r="Y612" s="1"/>
      <c r="Z612" s="8"/>
      <c r="AA612" s="8"/>
      <c r="AB612" s="8"/>
      <c r="AC612" s="8"/>
      <c r="AD612" s="8"/>
      <c r="AE612" s="8"/>
      <c r="AF612" s="8"/>
      <c r="AG612" s="8">
        <v>1</v>
      </c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>
        <v>1</v>
      </c>
      <c r="AT612" s="8"/>
      <c r="AU612" s="8"/>
      <c r="AV612" s="8"/>
      <c r="AW612" s="8"/>
      <c r="AX612" s="8"/>
      <c r="AY612" s="8"/>
      <c r="AZ612" s="8"/>
      <c r="BA612" s="8"/>
      <c r="BB612" s="1"/>
      <c r="BJ612">
        <v>3</v>
      </c>
      <c r="BK612">
        <v>1</v>
      </c>
      <c r="BL612" s="58">
        <v>1</v>
      </c>
      <c r="BP612" t="str">
        <f t="shared" si="22"/>
        <v>SteelSound</v>
      </c>
      <c r="BR612">
        <v>5</v>
      </c>
    </row>
    <row r="613" spans="1:70" x14ac:dyDescent="0.25">
      <c r="A613">
        <f t="shared" si="23"/>
        <v>566</v>
      </c>
      <c r="B613" t="s">
        <v>684</v>
      </c>
      <c r="D613" s="1" t="s">
        <v>11</v>
      </c>
      <c r="E613" s="1" t="s">
        <v>41</v>
      </c>
      <c r="F613" s="1" t="s">
        <v>50</v>
      </c>
      <c r="G613" s="1" t="s">
        <v>50</v>
      </c>
      <c r="H613" s="1"/>
      <c r="I613" s="1" t="s">
        <v>50</v>
      </c>
      <c r="J613" s="13" t="s">
        <v>50</v>
      </c>
      <c r="K613" s="13" t="s">
        <v>50</v>
      </c>
      <c r="L613" s="1" t="s">
        <v>50</v>
      </c>
      <c r="M613" s="1" t="s">
        <v>50</v>
      </c>
      <c r="N613" s="1" t="s">
        <v>50</v>
      </c>
      <c r="O613" s="1" t="s">
        <v>50</v>
      </c>
      <c r="P613" s="13" t="s">
        <v>1726</v>
      </c>
      <c r="Q613" s="1" t="s">
        <v>104</v>
      </c>
      <c r="R613" s="1" t="s">
        <v>104</v>
      </c>
      <c r="S613" s="1" t="s">
        <v>104</v>
      </c>
      <c r="T613" s="1" t="s">
        <v>104</v>
      </c>
      <c r="U613" s="1" t="s">
        <v>104</v>
      </c>
      <c r="V613" s="1" t="s">
        <v>104</v>
      </c>
      <c r="W613" s="1" t="s">
        <v>104</v>
      </c>
      <c r="X613" s="1" t="s">
        <v>752</v>
      </c>
      <c r="Y613" s="1"/>
      <c r="Z613" s="8"/>
      <c r="AA613" s="8">
        <v>1</v>
      </c>
      <c r="AB613" s="8">
        <v>1</v>
      </c>
      <c r="AC613" s="8">
        <v>1</v>
      </c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>
        <v>1</v>
      </c>
      <c r="BA613" s="8"/>
      <c r="BB613" s="1"/>
      <c r="BL613" s="58"/>
      <c r="BP613" t="str">
        <f t="shared" si="22"/>
        <v>GrassSound</v>
      </c>
      <c r="BQ613" t="s">
        <v>2</v>
      </c>
      <c r="BR613">
        <v>5</v>
      </c>
    </row>
    <row r="614" spans="1:70" x14ac:dyDescent="0.25">
      <c r="A614">
        <f t="shared" si="23"/>
        <v>567</v>
      </c>
      <c r="B614" t="s">
        <v>685</v>
      </c>
      <c r="D614" s="1" t="s">
        <v>11</v>
      </c>
      <c r="E614" s="1" t="s">
        <v>41</v>
      </c>
      <c r="F614" s="1" t="s">
        <v>50</v>
      </c>
      <c r="G614" s="1" t="s">
        <v>50</v>
      </c>
      <c r="H614" s="1" t="s">
        <v>50</v>
      </c>
      <c r="I614" s="1" t="s">
        <v>50</v>
      </c>
      <c r="J614" s="13" t="s">
        <v>50</v>
      </c>
      <c r="K614" s="13" t="s">
        <v>50</v>
      </c>
      <c r="L614" s="1"/>
      <c r="M614" s="1" t="s">
        <v>104</v>
      </c>
      <c r="N614" s="1" t="s">
        <v>50</v>
      </c>
      <c r="O614" s="1" t="s">
        <v>50</v>
      </c>
      <c r="P614" s="13" t="s">
        <v>1726</v>
      </c>
      <c r="Q614" s="1" t="s">
        <v>104</v>
      </c>
      <c r="R614" s="1" t="s">
        <v>104</v>
      </c>
      <c r="S614" s="1" t="s">
        <v>104</v>
      </c>
      <c r="T614" s="1" t="s">
        <v>104</v>
      </c>
      <c r="U614" s="1" t="s">
        <v>104</v>
      </c>
      <c r="V614" s="1" t="s">
        <v>104</v>
      </c>
      <c r="W614" s="1" t="s">
        <v>104</v>
      </c>
      <c r="X614" s="1" t="s">
        <v>752</v>
      </c>
      <c r="Y614" s="1"/>
      <c r="Z614" s="8"/>
      <c r="AA614" s="8">
        <v>1</v>
      </c>
      <c r="AB614" s="8">
        <v>1</v>
      </c>
      <c r="AC614" s="8">
        <v>1</v>
      </c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>
        <v>1</v>
      </c>
      <c r="BA614" s="8"/>
      <c r="BB614" s="1"/>
      <c r="BJ614">
        <v>1</v>
      </c>
      <c r="BL614" s="58"/>
      <c r="BP614" t="str">
        <f t="shared" si="22"/>
        <v>GrassSound</v>
      </c>
      <c r="BR614">
        <v>5</v>
      </c>
    </row>
    <row r="615" spans="1:70" x14ac:dyDescent="0.25">
      <c r="A615" t="s">
        <v>50</v>
      </c>
      <c r="B615" t="s">
        <v>685</v>
      </c>
      <c r="C615" t="s">
        <v>686</v>
      </c>
      <c r="D615" s="1" t="s">
        <v>9</v>
      </c>
      <c r="E615" s="1" t="s">
        <v>41</v>
      </c>
      <c r="F615" s="1" t="s">
        <v>50</v>
      </c>
      <c r="G615" s="1" t="s">
        <v>50</v>
      </c>
      <c r="H615" s="1" t="s">
        <v>50</v>
      </c>
      <c r="I615" s="1" t="s">
        <v>50</v>
      </c>
      <c r="J615" s="13" t="s">
        <v>50</v>
      </c>
      <c r="K615" s="13" t="s">
        <v>50</v>
      </c>
      <c r="L615" s="1"/>
      <c r="M615" s="1" t="s">
        <v>104</v>
      </c>
      <c r="N615" s="1" t="s">
        <v>50</v>
      </c>
      <c r="O615" s="1" t="s">
        <v>50</v>
      </c>
      <c r="P615" s="13" t="s">
        <v>1725</v>
      </c>
      <c r="Q615" s="1" t="s">
        <v>104</v>
      </c>
      <c r="R615" s="1" t="s">
        <v>104</v>
      </c>
      <c r="S615" s="1" t="s">
        <v>104</v>
      </c>
      <c r="T615" s="1" t="s">
        <v>104</v>
      </c>
      <c r="U615" s="1" t="s">
        <v>104</v>
      </c>
      <c r="V615" s="1" t="s">
        <v>104</v>
      </c>
      <c r="W615" s="1" t="s">
        <v>104</v>
      </c>
      <c r="X615" s="1" t="s">
        <v>752</v>
      </c>
      <c r="Y615" s="1"/>
      <c r="Z615" s="8"/>
      <c r="AA615" s="8">
        <v>1</v>
      </c>
      <c r="AB615" s="8">
        <v>1</v>
      </c>
      <c r="AC615" s="8">
        <v>1</v>
      </c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>
        <v>1</v>
      </c>
      <c r="BA615" s="8"/>
      <c r="BB615" s="1"/>
      <c r="BL615" s="58"/>
      <c r="BP615" t="str">
        <f t="shared" si="22"/>
        <v>RockSound</v>
      </c>
      <c r="BR615" s="1" t="s">
        <v>104</v>
      </c>
    </row>
    <row r="616" spans="1:70" x14ac:dyDescent="0.25">
      <c r="A616">
        <f>A614+1</f>
        <v>568</v>
      </c>
      <c r="B616" t="s">
        <v>687</v>
      </c>
      <c r="D616" s="1" t="s">
        <v>11</v>
      </c>
      <c r="E616" s="1" t="s">
        <v>44</v>
      </c>
      <c r="F616" s="1" t="s">
        <v>50</v>
      </c>
      <c r="G616" s="1" t="s">
        <v>50</v>
      </c>
      <c r="H616" s="1"/>
      <c r="I616" s="1" t="s">
        <v>50</v>
      </c>
      <c r="J616" s="13" t="s">
        <v>50</v>
      </c>
      <c r="K616" s="13" t="s">
        <v>50</v>
      </c>
      <c r="L616" s="1"/>
      <c r="M616" s="1" t="s">
        <v>50</v>
      </c>
      <c r="N616" s="1" t="s">
        <v>50</v>
      </c>
      <c r="O616" s="1" t="s">
        <v>50</v>
      </c>
      <c r="P616" s="1" t="s">
        <v>811</v>
      </c>
      <c r="Q616" s="1" t="s">
        <v>104</v>
      </c>
      <c r="R616" s="1" t="s">
        <v>104</v>
      </c>
      <c r="S616" s="1" t="s">
        <v>104</v>
      </c>
      <c r="T616" s="1" t="s">
        <v>104</v>
      </c>
      <c r="U616" s="1" t="s">
        <v>104</v>
      </c>
      <c r="V616" s="1" t="s">
        <v>104</v>
      </c>
      <c r="W616" s="1" t="s">
        <v>104</v>
      </c>
      <c r="X616" s="1" t="s">
        <v>751</v>
      </c>
      <c r="Y616" s="1"/>
      <c r="Z616" s="8">
        <v>1</v>
      </c>
      <c r="AA616" s="8">
        <v>1</v>
      </c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1"/>
      <c r="BK616">
        <v>1</v>
      </c>
      <c r="BL616" s="58"/>
      <c r="BP616" t="str">
        <f t="shared" si="22"/>
        <v>GrassLight</v>
      </c>
      <c r="BQ616" t="s">
        <v>2</v>
      </c>
      <c r="BR616">
        <v>3</v>
      </c>
    </row>
    <row r="617" spans="1:70" x14ac:dyDescent="0.25">
      <c r="A617">
        <f t="shared" ref="A617:A680" si="24">A616+1</f>
        <v>569</v>
      </c>
      <c r="B617" t="s">
        <v>688</v>
      </c>
      <c r="D617" s="1" t="s">
        <v>11</v>
      </c>
      <c r="E617" s="1" t="s">
        <v>44</v>
      </c>
      <c r="F617" s="1" t="s">
        <v>50</v>
      </c>
      <c r="G617" s="1" t="s">
        <v>50</v>
      </c>
      <c r="H617" s="1" t="s">
        <v>50</v>
      </c>
      <c r="I617" s="1" t="s">
        <v>50</v>
      </c>
      <c r="J617" s="13" t="s">
        <v>50</v>
      </c>
      <c r="K617" s="13" t="s">
        <v>50</v>
      </c>
      <c r="L617" s="1"/>
      <c r="M617" s="1" t="s">
        <v>104</v>
      </c>
      <c r="N617" s="1" t="s">
        <v>50</v>
      </c>
      <c r="O617" s="1" t="s">
        <v>50</v>
      </c>
      <c r="P617" s="1" t="s">
        <v>811</v>
      </c>
      <c r="Q617" s="1" t="s">
        <v>104</v>
      </c>
      <c r="R617" s="1" t="s">
        <v>104</v>
      </c>
      <c r="S617" s="1" t="s">
        <v>104</v>
      </c>
      <c r="T617" s="1" t="s">
        <v>104</v>
      </c>
      <c r="U617" s="1" t="s">
        <v>104</v>
      </c>
      <c r="V617" s="1" t="s">
        <v>104</v>
      </c>
      <c r="W617" s="1" t="s">
        <v>104</v>
      </c>
      <c r="X617" s="1" t="s">
        <v>751</v>
      </c>
      <c r="Y617" s="1"/>
      <c r="Z617" s="8">
        <v>1</v>
      </c>
      <c r="AA617" s="8">
        <v>1</v>
      </c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1"/>
      <c r="BJ617">
        <v>5</v>
      </c>
      <c r="BK617">
        <v>4</v>
      </c>
      <c r="BL617" s="58"/>
      <c r="BP617" t="str">
        <f t="shared" si="22"/>
        <v>GrassLight</v>
      </c>
      <c r="BR617">
        <v>3</v>
      </c>
    </row>
    <row r="618" spans="1:70" x14ac:dyDescent="0.25">
      <c r="A618">
        <f t="shared" si="24"/>
        <v>570</v>
      </c>
      <c r="B618" t="s">
        <v>689</v>
      </c>
      <c r="D618" s="1" t="s">
        <v>15</v>
      </c>
      <c r="E618" s="1" t="s">
        <v>16</v>
      </c>
      <c r="F618" s="1" t="s">
        <v>50</v>
      </c>
      <c r="G618" s="1" t="s">
        <v>50</v>
      </c>
      <c r="H618" s="1"/>
      <c r="I618" s="1" t="s">
        <v>50</v>
      </c>
      <c r="J618" s="13" t="s">
        <v>50</v>
      </c>
      <c r="K618" s="13" t="s">
        <v>50</v>
      </c>
      <c r="L618" s="1" t="s">
        <v>50</v>
      </c>
      <c r="M618" s="1" t="s">
        <v>50</v>
      </c>
      <c r="N618" s="1" t="s">
        <v>50</v>
      </c>
      <c r="O618" s="1" t="s">
        <v>50</v>
      </c>
      <c r="P618" s="1" t="s">
        <v>823</v>
      </c>
      <c r="Q618" s="1" t="s">
        <v>104</v>
      </c>
      <c r="R618" s="1" t="s">
        <v>104</v>
      </c>
      <c r="S618" s="1" t="s">
        <v>104</v>
      </c>
      <c r="T618" s="1" t="s">
        <v>104</v>
      </c>
      <c r="U618" s="1" t="s">
        <v>104</v>
      </c>
      <c r="V618" s="1" t="s">
        <v>104</v>
      </c>
      <c r="W618" s="1" t="s">
        <v>104</v>
      </c>
      <c r="X618" s="1" t="s">
        <v>751</v>
      </c>
      <c r="Y618" s="1"/>
      <c r="Z618" s="8"/>
      <c r="AA618" s="8"/>
      <c r="AB618" s="8"/>
      <c r="AC618" s="8"/>
      <c r="AD618" s="8"/>
      <c r="AE618" s="8"/>
      <c r="AF618" s="8"/>
      <c r="AG618" s="8"/>
      <c r="AH618" s="8"/>
      <c r="AI618" s="8">
        <v>1</v>
      </c>
      <c r="AJ618" s="8">
        <v>1</v>
      </c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1"/>
      <c r="BL618" s="58"/>
      <c r="BP618" t="str">
        <f t="shared" si="22"/>
        <v>WaterFlying</v>
      </c>
      <c r="BQ618" t="s">
        <v>2</v>
      </c>
      <c r="BR618">
        <v>1</v>
      </c>
    </row>
    <row r="619" spans="1:70" x14ac:dyDescent="0.25">
      <c r="A619">
        <f t="shared" si="24"/>
        <v>571</v>
      </c>
      <c r="B619" t="s">
        <v>690</v>
      </c>
      <c r="D619" s="1" t="s">
        <v>15</v>
      </c>
      <c r="E619" s="1" t="s">
        <v>16</v>
      </c>
      <c r="F619" s="1" t="s">
        <v>50</v>
      </c>
      <c r="G619" s="1" t="s">
        <v>50</v>
      </c>
      <c r="H619" s="1" t="s">
        <v>50</v>
      </c>
      <c r="I619" s="1" t="s">
        <v>50</v>
      </c>
      <c r="J619" s="13" t="s">
        <v>50</v>
      </c>
      <c r="K619" s="13" t="s">
        <v>50</v>
      </c>
      <c r="L619" s="1"/>
      <c r="M619" s="1" t="s">
        <v>104</v>
      </c>
      <c r="N619" s="1" t="s">
        <v>50</v>
      </c>
      <c r="O619" s="1" t="s">
        <v>50</v>
      </c>
      <c r="P619" s="1" t="s">
        <v>823</v>
      </c>
      <c r="Q619" s="1" t="s">
        <v>104</v>
      </c>
      <c r="R619" s="1" t="s">
        <v>104</v>
      </c>
      <c r="S619" s="1" t="s">
        <v>104</v>
      </c>
      <c r="T619" s="1" t="s">
        <v>104</v>
      </c>
      <c r="U619" s="1" t="s">
        <v>104</v>
      </c>
      <c r="V619" s="1" t="s">
        <v>104</v>
      </c>
      <c r="W619" s="1" t="s">
        <v>104</v>
      </c>
      <c r="X619" s="1" t="s">
        <v>751</v>
      </c>
      <c r="Y619" s="1"/>
      <c r="Z619" s="8"/>
      <c r="AA619" s="8"/>
      <c r="AB619" s="8"/>
      <c r="AC619" s="8"/>
      <c r="AD619" s="8"/>
      <c r="AE619" s="8"/>
      <c r="AF619" s="8"/>
      <c r="AG619" s="8"/>
      <c r="AH619" s="8"/>
      <c r="AI619" s="8">
        <v>1</v>
      </c>
      <c r="AJ619" s="8">
        <v>1</v>
      </c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1"/>
      <c r="BJ619">
        <v>4</v>
      </c>
      <c r="BL619" s="58"/>
      <c r="BP619" t="str">
        <f t="shared" si="22"/>
        <v>WaterFlying</v>
      </c>
      <c r="BR619">
        <v>1</v>
      </c>
    </row>
    <row r="620" spans="1:70" x14ac:dyDescent="0.25">
      <c r="A620">
        <f t="shared" si="24"/>
        <v>572</v>
      </c>
      <c r="B620" t="s">
        <v>691</v>
      </c>
      <c r="D620" s="1" t="s">
        <v>5</v>
      </c>
      <c r="E620" s="1" t="s">
        <v>9</v>
      </c>
      <c r="F620" s="1" t="s">
        <v>50</v>
      </c>
      <c r="G620" s="1" t="s">
        <v>50</v>
      </c>
      <c r="H620" s="1"/>
      <c r="I620" s="1" t="s">
        <v>50</v>
      </c>
      <c r="J620" s="13" t="s">
        <v>50</v>
      </c>
      <c r="K620" s="13" t="s">
        <v>50</v>
      </c>
      <c r="L620" s="1"/>
      <c r="M620" s="1" t="s">
        <v>50</v>
      </c>
      <c r="N620" s="1" t="s">
        <v>50</v>
      </c>
      <c r="O620" s="1" t="s">
        <v>50</v>
      </c>
      <c r="P620" s="1" t="s">
        <v>810</v>
      </c>
      <c r="Q620" s="1" t="s">
        <v>104</v>
      </c>
      <c r="R620" s="1" t="s">
        <v>104</v>
      </c>
      <c r="S620" s="1" t="s">
        <v>104</v>
      </c>
      <c r="T620" s="1" t="s">
        <v>104</v>
      </c>
      <c r="U620" s="1" t="s">
        <v>104</v>
      </c>
      <c r="V620" s="1" t="s">
        <v>104</v>
      </c>
      <c r="W620" s="1" t="s">
        <v>104</v>
      </c>
      <c r="X620" s="1" t="s">
        <v>751</v>
      </c>
      <c r="Y620" s="1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>
        <v>1</v>
      </c>
      <c r="AP620" s="8">
        <v>1</v>
      </c>
      <c r="AQ620" s="8">
        <v>1</v>
      </c>
      <c r="AR620" s="8">
        <v>1</v>
      </c>
      <c r="AS620" s="8"/>
      <c r="AT620" s="8"/>
      <c r="AU620" s="8"/>
      <c r="AV620" s="8"/>
      <c r="AW620" s="8"/>
      <c r="AX620" s="8"/>
      <c r="AY620" s="8"/>
      <c r="AZ620" s="8"/>
      <c r="BA620" s="8"/>
      <c r="BB620" s="1"/>
      <c r="BL620" s="58"/>
      <c r="BP620" t="str">
        <f t="shared" si="22"/>
        <v>IceRock</v>
      </c>
      <c r="BQ620" t="s">
        <v>2</v>
      </c>
      <c r="BR620">
        <v>3</v>
      </c>
    </row>
    <row r="621" spans="1:70" x14ac:dyDescent="0.25">
      <c r="A621">
        <f t="shared" si="24"/>
        <v>573</v>
      </c>
      <c r="B621" t="s">
        <v>692</v>
      </c>
      <c r="D621" s="1" t="s">
        <v>5</v>
      </c>
      <c r="E621" s="1" t="s">
        <v>9</v>
      </c>
      <c r="F621" s="1" t="s">
        <v>50</v>
      </c>
      <c r="G621" s="1" t="s">
        <v>50</v>
      </c>
      <c r="H621" s="1" t="s">
        <v>50</v>
      </c>
      <c r="I621" s="1" t="s">
        <v>50</v>
      </c>
      <c r="J621" s="13" t="s">
        <v>50</v>
      </c>
      <c r="K621" s="13" t="s">
        <v>50</v>
      </c>
      <c r="L621" s="1"/>
      <c r="M621" s="1" t="s">
        <v>104</v>
      </c>
      <c r="N621" s="1" t="s">
        <v>50</v>
      </c>
      <c r="O621" s="1" t="s">
        <v>50</v>
      </c>
      <c r="P621" s="1" t="s">
        <v>810</v>
      </c>
      <c r="Q621" s="1" t="s">
        <v>1767</v>
      </c>
      <c r="R621" s="1" t="s">
        <v>1767</v>
      </c>
      <c r="S621" s="1" t="s">
        <v>104</v>
      </c>
      <c r="T621" s="1" t="s">
        <v>1767</v>
      </c>
      <c r="U621" s="1" t="s">
        <v>1767</v>
      </c>
      <c r="V621" s="1" t="s">
        <v>1767</v>
      </c>
      <c r="W621" s="1" t="s">
        <v>1767</v>
      </c>
      <c r="X621" s="1" t="s">
        <v>751</v>
      </c>
      <c r="Y621" s="1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>
        <v>1</v>
      </c>
      <c r="AP621" s="8">
        <v>1</v>
      </c>
      <c r="AQ621" s="8">
        <v>1</v>
      </c>
      <c r="AR621" s="8">
        <v>1</v>
      </c>
      <c r="AS621" s="8"/>
      <c r="AT621" s="8"/>
      <c r="AU621" s="8"/>
      <c r="AV621" s="8"/>
      <c r="AW621" s="8"/>
      <c r="AX621" s="8"/>
      <c r="AY621" s="8"/>
      <c r="AZ621" s="8"/>
      <c r="BA621" s="8"/>
      <c r="BB621" s="1"/>
      <c r="BJ621">
        <v>1</v>
      </c>
      <c r="BL621" s="58"/>
      <c r="BP621" t="str">
        <f t="shared" si="22"/>
        <v>IceRock</v>
      </c>
      <c r="BR621">
        <v>3</v>
      </c>
    </row>
    <row r="622" spans="1:70" x14ac:dyDescent="0.25">
      <c r="A622">
        <f t="shared" si="24"/>
        <v>574</v>
      </c>
      <c r="B622" t="s">
        <v>693</v>
      </c>
      <c r="D622" s="1" t="s">
        <v>9</v>
      </c>
      <c r="E622" s="1" t="s">
        <v>4</v>
      </c>
      <c r="F622" s="1" t="s">
        <v>50</v>
      </c>
      <c r="G622" s="1" t="s">
        <v>50</v>
      </c>
      <c r="H622" s="1"/>
      <c r="I622" s="1" t="s">
        <v>50</v>
      </c>
      <c r="J622" s="13" t="s">
        <v>50</v>
      </c>
      <c r="K622" s="13" t="s">
        <v>50</v>
      </c>
      <c r="L622" s="1"/>
      <c r="M622" s="1" t="s">
        <v>50</v>
      </c>
      <c r="N622" s="13" t="s">
        <v>50</v>
      </c>
      <c r="O622" s="13" t="s">
        <v>50</v>
      </c>
      <c r="P622" s="13" t="s">
        <v>820</v>
      </c>
      <c r="Q622" s="1" t="s">
        <v>104</v>
      </c>
      <c r="R622" s="1" t="s">
        <v>104</v>
      </c>
      <c r="S622" s="1" t="s">
        <v>104</v>
      </c>
      <c r="T622" s="1" t="s">
        <v>104</v>
      </c>
      <c r="U622" s="1" t="s">
        <v>104</v>
      </c>
      <c r="V622" s="1" t="s">
        <v>104</v>
      </c>
      <c r="W622" s="1" t="s">
        <v>104</v>
      </c>
      <c r="X622" s="1" t="s">
        <v>727</v>
      </c>
      <c r="Y622" s="1"/>
      <c r="Z622" s="8"/>
      <c r="AA622" s="8"/>
      <c r="AB622" s="8"/>
      <c r="AC622" s="8"/>
      <c r="AD622" s="8">
        <v>1</v>
      </c>
      <c r="AE622" s="8"/>
      <c r="AF622" s="8"/>
      <c r="AG622" s="8">
        <v>1</v>
      </c>
      <c r="AH622" s="8"/>
      <c r="AI622" s="8">
        <v>1</v>
      </c>
      <c r="AJ622" s="8">
        <v>1</v>
      </c>
      <c r="AK622" s="8"/>
      <c r="AL622" s="8"/>
      <c r="AM622" s="8">
        <v>1</v>
      </c>
      <c r="AN622" s="8"/>
      <c r="AO622" s="8"/>
      <c r="AP622" s="8"/>
      <c r="AQ622" s="8"/>
      <c r="AR622" s="8">
        <v>1</v>
      </c>
      <c r="AS622" s="8"/>
      <c r="AT622" s="8"/>
      <c r="AU622" s="8">
        <v>1</v>
      </c>
      <c r="AV622" s="8"/>
      <c r="AW622" s="8"/>
      <c r="AX622" s="8"/>
      <c r="AY622" s="8"/>
      <c r="AZ622" s="8"/>
      <c r="BA622" s="8"/>
      <c r="BB622" s="1"/>
      <c r="BL622" s="58"/>
      <c r="BP622" t="str">
        <f t="shared" si="22"/>
        <v>RockPsychic</v>
      </c>
      <c r="BQ622" t="s">
        <v>2</v>
      </c>
      <c r="BR622">
        <v>6</v>
      </c>
    </row>
    <row r="623" spans="1:70" x14ac:dyDescent="0.25">
      <c r="A623">
        <f t="shared" si="24"/>
        <v>575</v>
      </c>
      <c r="B623" t="s">
        <v>694</v>
      </c>
      <c r="D623" s="1" t="s">
        <v>9</v>
      </c>
      <c r="E623" s="1" t="s">
        <v>4</v>
      </c>
      <c r="F623" s="1" t="s">
        <v>50</v>
      </c>
      <c r="G623" s="1" t="s">
        <v>50</v>
      </c>
      <c r="H623" s="1" t="s">
        <v>50</v>
      </c>
      <c r="I623" s="1" t="s">
        <v>50</v>
      </c>
      <c r="J623" s="13" t="s">
        <v>50</v>
      </c>
      <c r="K623" s="13" t="s">
        <v>50</v>
      </c>
      <c r="L623" s="1"/>
      <c r="M623" s="1" t="s">
        <v>104</v>
      </c>
      <c r="N623" s="13" t="s">
        <v>50</v>
      </c>
      <c r="O623" s="13" t="s">
        <v>50</v>
      </c>
      <c r="P623" s="13" t="s">
        <v>820</v>
      </c>
      <c r="Q623" s="1" t="s">
        <v>50</v>
      </c>
      <c r="R623" s="1" t="s">
        <v>50</v>
      </c>
      <c r="S623" s="1" t="s">
        <v>104</v>
      </c>
      <c r="T623" s="1" t="s">
        <v>50</v>
      </c>
      <c r="U623" s="1" t="s">
        <v>50</v>
      </c>
      <c r="V623" s="1" t="s">
        <v>50</v>
      </c>
      <c r="W623" s="1" t="s">
        <v>50</v>
      </c>
      <c r="X623" s="1" t="s">
        <v>2060</v>
      </c>
      <c r="Y623" s="1"/>
      <c r="Z623" s="8"/>
      <c r="AA623" s="8"/>
      <c r="AB623" s="8"/>
      <c r="AC623" s="8"/>
      <c r="AD623" s="8">
        <v>1</v>
      </c>
      <c r="AE623" s="8"/>
      <c r="AF623" s="8"/>
      <c r="AG623" s="8">
        <v>1</v>
      </c>
      <c r="AH623" s="8"/>
      <c r="AI623" s="8">
        <v>1</v>
      </c>
      <c r="AJ623" s="8">
        <v>1</v>
      </c>
      <c r="AK623" s="8"/>
      <c r="AL623" s="8"/>
      <c r="AM623" s="8">
        <v>1</v>
      </c>
      <c r="AN623" s="8"/>
      <c r="AO623" s="8"/>
      <c r="AP623" s="8"/>
      <c r="AQ623" s="8"/>
      <c r="AR623" s="8">
        <v>1</v>
      </c>
      <c r="AS623" s="8"/>
      <c r="AT623" s="8"/>
      <c r="AU623" s="8">
        <v>1</v>
      </c>
      <c r="AV623" s="8"/>
      <c r="AW623" s="8"/>
      <c r="AX623" s="8"/>
      <c r="AY623" s="8"/>
      <c r="AZ623" s="8"/>
      <c r="BA623" s="8"/>
      <c r="BB623" s="1"/>
      <c r="BJ623">
        <v>3</v>
      </c>
      <c r="BK623">
        <v>2</v>
      </c>
      <c r="BL623" s="58"/>
      <c r="BP623" t="str">
        <f t="shared" si="22"/>
        <v>RockPsychic</v>
      </c>
      <c r="BR623">
        <v>6</v>
      </c>
    </row>
    <row r="624" spans="1:70" x14ac:dyDescent="0.25">
      <c r="A624">
        <f t="shared" si="24"/>
        <v>576</v>
      </c>
      <c r="B624" t="s">
        <v>695</v>
      </c>
      <c r="D624" s="1" t="s">
        <v>15</v>
      </c>
      <c r="E624" s="1" t="s">
        <v>14</v>
      </c>
      <c r="F624" s="1" t="s">
        <v>50</v>
      </c>
      <c r="G624" s="1" t="s">
        <v>50</v>
      </c>
      <c r="H624" s="1"/>
      <c r="I624" s="1" t="s">
        <v>50</v>
      </c>
      <c r="J624" s="13" t="s">
        <v>50</v>
      </c>
      <c r="K624" s="13" t="s">
        <v>50</v>
      </c>
      <c r="L624" s="1"/>
      <c r="M624" s="1" t="s">
        <v>50</v>
      </c>
      <c r="N624" s="13" t="s">
        <v>50</v>
      </c>
      <c r="O624" s="13" t="s">
        <v>50</v>
      </c>
      <c r="P624" s="1" t="s">
        <v>104</v>
      </c>
      <c r="Q624" s="1" t="s">
        <v>104</v>
      </c>
      <c r="R624" s="1" t="s">
        <v>104</v>
      </c>
      <c r="S624" s="1" t="s">
        <v>104</v>
      </c>
      <c r="T624" s="1" t="s">
        <v>104</v>
      </c>
      <c r="U624" s="1" t="s">
        <v>104</v>
      </c>
      <c r="V624" s="1" t="s">
        <v>104</v>
      </c>
      <c r="W624" s="1" t="s">
        <v>104</v>
      </c>
      <c r="X624" s="1" t="s">
        <v>727</v>
      </c>
      <c r="Y624" s="1"/>
      <c r="Z624" s="8"/>
      <c r="AA624" s="8"/>
      <c r="AB624" s="8"/>
      <c r="AC624" s="8"/>
      <c r="AD624" s="8"/>
      <c r="AE624" s="8"/>
      <c r="AF624" s="8"/>
      <c r="AG624" s="8"/>
      <c r="AH624" s="8"/>
      <c r="AI624" s="8">
        <v>1</v>
      </c>
      <c r="AJ624" s="8"/>
      <c r="AK624" s="8">
        <v>1</v>
      </c>
      <c r="AL624" s="8">
        <v>1</v>
      </c>
      <c r="AM624" s="8"/>
      <c r="AN624" s="8">
        <v>1</v>
      </c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>
        <v>1</v>
      </c>
      <c r="BA624" s="8"/>
      <c r="BB624" s="1"/>
      <c r="BL624" s="58"/>
      <c r="BP624" t="str">
        <f t="shared" si="22"/>
        <v>WaterGhost</v>
      </c>
      <c r="BQ624" t="s">
        <v>2</v>
      </c>
      <c r="BR624">
        <v>8</v>
      </c>
    </row>
    <row r="625" spans="1:70" x14ac:dyDescent="0.25">
      <c r="A625">
        <f t="shared" si="24"/>
        <v>577</v>
      </c>
      <c r="B625" t="s">
        <v>696</v>
      </c>
      <c r="D625" s="1" t="s">
        <v>15</v>
      </c>
      <c r="E625" s="1" t="s">
        <v>14</v>
      </c>
      <c r="F625" s="1" t="s">
        <v>50</v>
      </c>
      <c r="G625" s="1" t="s">
        <v>50</v>
      </c>
      <c r="H625" s="1" t="s">
        <v>50</v>
      </c>
      <c r="I625" s="1" t="s">
        <v>50</v>
      </c>
      <c r="J625" s="13" t="s">
        <v>50</v>
      </c>
      <c r="K625" s="13" t="s">
        <v>50</v>
      </c>
      <c r="L625" s="1"/>
      <c r="M625" s="1" t="s">
        <v>104</v>
      </c>
      <c r="N625" s="13" t="s">
        <v>50</v>
      </c>
      <c r="O625" s="13" t="s">
        <v>50</v>
      </c>
      <c r="P625" s="1" t="s">
        <v>104</v>
      </c>
      <c r="Q625" s="1" t="s">
        <v>1767</v>
      </c>
      <c r="R625" s="1" t="s">
        <v>1767</v>
      </c>
      <c r="S625" s="1" t="s">
        <v>104</v>
      </c>
      <c r="T625" s="1" t="s">
        <v>1767</v>
      </c>
      <c r="U625" s="1" t="s">
        <v>1767</v>
      </c>
      <c r="V625" s="1" t="s">
        <v>1767</v>
      </c>
      <c r="W625" s="1" t="s">
        <v>1767</v>
      </c>
      <c r="X625" s="1" t="s">
        <v>727</v>
      </c>
      <c r="Y625" s="1"/>
      <c r="Z625" s="8"/>
      <c r="AA625" s="8"/>
      <c r="AB625" s="8"/>
      <c r="AC625" s="8"/>
      <c r="AD625" s="8"/>
      <c r="AE625" s="8"/>
      <c r="AF625" s="8"/>
      <c r="AG625" s="8"/>
      <c r="AH625" s="8"/>
      <c r="AI625" s="8">
        <v>1</v>
      </c>
      <c r="AJ625" s="8"/>
      <c r="AK625" s="8">
        <v>1</v>
      </c>
      <c r="AL625" s="8">
        <v>1</v>
      </c>
      <c r="AM625" s="8"/>
      <c r="AN625" s="8">
        <v>1</v>
      </c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>
        <v>1</v>
      </c>
      <c r="BA625" s="8"/>
      <c r="BB625" s="1"/>
      <c r="BJ625">
        <v>5</v>
      </c>
      <c r="BK625">
        <v>2</v>
      </c>
      <c r="BL625" s="58">
        <v>1</v>
      </c>
      <c r="BP625" t="str">
        <f t="shared" si="22"/>
        <v>WaterGhost</v>
      </c>
      <c r="BR625">
        <v>8</v>
      </c>
    </row>
    <row r="626" spans="1:70" x14ac:dyDescent="0.25">
      <c r="A626">
        <f t="shared" si="24"/>
        <v>578</v>
      </c>
      <c r="B626" t="s">
        <v>697</v>
      </c>
      <c r="D626" s="1" t="s">
        <v>18</v>
      </c>
      <c r="E626" s="1" t="s">
        <v>4</v>
      </c>
      <c r="F626" s="1" t="s">
        <v>50</v>
      </c>
      <c r="G626" s="1" t="s">
        <v>50</v>
      </c>
      <c r="H626" s="1"/>
      <c r="I626" s="1" t="s">
        <v>50</v>
      </c>
      <c r="J626" s="1" t="s">
        <v>50</v>
      </c>
      <c r="K626" s="13" t="s">
        <v>50</v>
      </c>
      <c r="L626" s="1"/>
      <c r="M626" s="1" t="s">
        <v>50</v>
      </c>
      <c r="N626" s="1" t="s">
        <v>50</v>
      </c>
      <c r="O626" s="1" t="s">
        <v>50</v>
      </c>
      <c r="P626" s="1" t="s">
        <v>1707</v>
      </c>
      <c r="Q626" s="1" t="s">
        <v>104</v>
      </c>
      <c r="R626" s="1" t="s">
        <v>104</v>
      </c>
      <c r="S626" s="1" t="s">
        <v>104</v>
      </c>
      <c r="T626" s="1" t="s">
        <v>104</v>
      </c>
      <c r="U626" s="1" t="s">
        <v>104</v>
      </c>
      <c r="V626" s="1" t="s">
        <v>104</v>
      </c>
      <c r="W626" s="1" t="s">
        <v>104</v>
      </c>
      <c r="X626" s="1" t="s">
        <v>726</v>
      </c>
      <c r="Y626" s="1"/>
      <c r="Z626" s="8"/>
      <c r="AA626" s="8"/>
      <c r="AB626" s="8"/>
      <c r="AC626" s="8">
        <v>1</v>
      </c>
      <c r="AD626" s="8"/>
      <c r="AE626" s="8"/>
      <c r="AF626" s="8">
        <v>1</v>
      </c>
      <c r="AG626" s="8">
        <v>1</v>
      </c>
      <c r="AH626" s="8">
        <v>1</v>
      </c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>
        <v>1</v>
      </c>
      <c r="AV626" s="8"/>
      <c r="AW626" s="8"/>
      <c r="AX626" s="8"/>
      <c r="AY626" s="8"/>
      <c r="AZ626" s="8"/>
      <c r="BA626" s="8"/>
      <c r="BB626" s="1"/>
      <c r="BL626" s="58"/>
      <c r="BP626" t="str">
        <f t="shared" si="22"/>
        <v>FightingPsychic</v>
      </c>
      <c r="BQ626" t="s">
        <v>2</v>
      </c>
      <c r="BR626">
        <v>1</v>
      </c>
    </row>
    <row r="627" spans="1:70" x14ac:dyDescent="0.25">
      <c r="A627">
        <f t="shared" si="24"/>
        <v>579</v>
      </c>
      <c r="B627" t="s">
        <v>698</v>
      </c>
      <c r="D627" s="1" t="s">
        <v>18</v>
      </c>
      <c r="E627" s="1" t="s">
        <v>4</v>
      </c>
      <c r="F627" s="1" t="s">
        <v>50</v>
      </c>
      <c r="G627" s="1" t="s">
        <v>50</v>
      </c>
      <c r="H627" s="1"/>
      <c r="I627" s="1" t="s">
        <v>50</v>
      </c>
      <c r="J627" s="1" t="s">
        <v>50</v>
      </c>
      <c r="K627" s="13" t="s">
        <v>50</v>
      </c>
      <c r="L627" s="1"/>
      <c r="M627" s="1" t="s">
        <v>104</v>
      </c>
      <c r="N627" s="1" t="s">
        <v>50</v>
      </c>
      <c r="O627" s="1" t="s">
        <v>50</v>
      </c>
      <c r="P627" s="1" t="s">
        <v>1707</v>
      </c>
      <c r="Q627" s="1" t="s">
        <v>104</v>
      </c>
      <c r="R627" s="1" t="s">
        <v>104</v>
      </c>
      <c r="S627" s="1" t="s">
        <v>104</v>
      </c>
      <c r="T627" s="1" t="s">
        <v>104</v>
      </c>
      <c r="U627" s="1" t="s">
        <v>104</v>
      </c>
      <c r="V627" s="1" t="s">
        <v>104</v>
      </c>
      <c r="W627" s="1" t="s">
        <v>104</v>
      </c>
      <c r="X627" s="1" t="s">
        <v>726</v>
      </c>
      <c r="Y627" s="1"/>
      <c r="Z627" s="8"/>
      <c r="AA627" s="8"/>
      <c r="AB627" s="8"/>
      <c r="AC627" s="8">
        <v>1</v>
      </c>
      <c r="AD627" s="8"/>
      <c r="AE627" s="8"/>
      <c r="AF627" s="8">
        <v>1</v>
      </c>
      <c r="AG627" s="8">
        <v>1</v>
      </c>
      <c r="AH627" s="8">
        <v>1</v>
      </c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>
        <v>1</v>
      </c>
      <c r="AV627" s="8"/>
      <c r="AW627" s="8"/>
      <c r="AX627" s="8"/>
      <c r="AY627" s="8"/>
      <c r="AZ627" s="8"/>
      <c r="BA627" s="8"/>
      <c r="BB627" s="1"/>
      <c r="BL627" s="58"/>
      <c r="BP627" t="str">
        <f t="shared" si="22"/>
        <v>FightingPsychic</v>
      </c>
      <c r="BQ627" t="s">
        <v>2</v>
      </c>
      <c r="BR627">
        <v>1</v>
      </c>
    </row>
    <row r="628" spans="1:70" x14ac:dyDescent="0.25">
      <c r="A628">
        <f t="shared" si="24"/>
        <v>580</v>
      </c>
      <c r="B628" t="s">
        <v>699</v>
      </c>
      <c r="D628" s="1" t="s">
        <v>18</v>
      </c>
      <c r="E628" s="1" t="s">
        <v>4</v>
      </c>
      <c r="F628" s="1" t="s">
        <v>50</v>
      </c>
      <c r="G628" s="1" t="s">
        <v>50</v>
      </c>
      <c r="H628" s="1" t="s">
        <v>50</v>
      </c>
      <c r="I628" s="1" t="s">
        <v>50</v>
      </c>
      <c r="J628" s="1" t="s">
        <v>50</v>
      </c>
      <c r="K628" s="13" t="s">
        <v>50</v>
      </c>
      <c r="L628" s="1"/>
      <c r="M628" s="1" t="s">
        <v>104</v>
      </c>
      <c r="N628" s="1" t="s">
        <v>50</v>
      </c>
      <c r="O628" s="1" t="s">
        <v>50</v>
      </c>
      <c r="P628" s="1" t="s">
        <v>1707</v>
      </c>
      <c r="Q628" s="1" t="s">
        <v>104</v>
      </c>
      <c r="R628" s="1" t="s">
        <v>104</v>
      </c>
      <c r="S628" s="1" t="s">
        <v>104</v>
      </c>
      <c r="T628" s="1" t="s">
        <v>104</v>
      </c>
      <c r="U628" s="1" t="s">
        <v>104</v>
      </c>
      <c r="V628" s="1" t="s">
        <v>104</v>
      </c>
      <c r="W628" s="1" t="s">
        <v>104</v>
      </c>
      <c r="X628" s="1" t="s">
        <v>726</v>
      </c>
      <c r="Y628" s="1"/>
      <c r="Z628" s="8"/>
      <c r="AA628" s="8"/>
      <c r="AB628" s="8"/>
      <c r="AC628" s="8">
        <v>1</v>
      </c>
      <c r="AD628" s="8"/>
      <c r="AE628" s="8"/>
      <c r="AF628" s="8">
        <v>1</v>
      </c>
      <c r="AG628" s="8">
        <v>1</v>
      </c>
      <c r="AH628" s="8">
        <v>1</v>
      </c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>
        <v>1</v>
      </c>
      <c r="AV628" s="8"/>
      <c r="AW628" s="8"/>
      <c r="AX628" s="8"/>
      <c r="AY628" s="8"/>
      <c r="AZ628" s="8"/>
      <c r="BA628" s="8"/>
      <c r="BB628" s="1"/>
      <c r="BJ628">
        <v>10</v>
      </c>
      <c r="BK628">
        <v>2</v>
      </c>
      <c r="BL628" s="58"/>
      <c r="BP628" t="str">
        <f t="shared" si="22"/>
        <v>FightingPsychic</v>
      </c>
      <c r="BR628">
        <v>1</v>
      </c>
    </row>
    <row r="629" spans="1:70" x14ac:dyDescent="0.25">
      <c r="A629">
        <f t="shared" si="24"/>
        <v>581</v>
      </c>
      <c r="B629" t="s">
        <v>700</v>
      </c>
      <c r="D629" s="1" t="s">
        <v>42</v>
      </c>
      <c r="E629" s="1">
        <v>0</v>
      </c>
      <c r="F629" s="1" t="s">
        <v>50</v>
      </c>
      <c r="G629" s="1" t="s">
        <v>50</v>
      </c>
      <c r="H629" s="1" t="s">
        <v>50</v>
      </c>
      <c r="I629" s="1" t="s">
        <v>50</v>
      </c>
      <c r="J629" s="1" t="s">
        <v>50</v>
      </c>
      <c r="K629" s="1" t="s">
        <v>50</v>
      </c>
      <c r="L629" s="1"/>
      <c r="M629" s="1" t="s">
        <v>50</v>
      </c>
      <c r="N629" s="13" t="s">
        <v>50</v>
      </c>
      <c r="O629" s="13" t="s">
        <v>50</v>
      </c>
      <c r="P629" s="1" t="s">
        <v>104</v>
      </c>
      <c r="Q629" s="1" t="s">
        <v>50</v>
      </c>
      <c r="R629" s="1" t="s">
        <v>50</v>
      </c>
      <c r="S629" s="1" t="s">
        <v>50</v>
      </c>
      <c r="T629" s="1" t="s">
        <v>50</v>
      </c>
      <c r="U629" s="1" t="s">
        <v>50</v>
      </c>
      <c r="V629" s="1" t="s">
        <v>50</v>
      </c>
      <c r="W629" s="1" t="s">
        <v>50</v>
      </c>
      <c r="X629" s="1" t="s">
        <v>733</v>
      </c>
      <c r="Y629" s="1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>
        <v>1</v>
      </c>
      <c r="AV629" s="8"/>
      <c r="AW629" s="8"/>
      <c r="AX629" s="8"/>
      <c r="AY629" s="8"/>
      <c r="AZ629" s="8"/>
      <c r="BA629" s="8"/>
      <c r="BB629" s="1"/>
      <c r="BJ629">
        <v>2</v>
      </c>
      <c r="BK629">
        <v>3</v>
      </c>
      <c r="BL629" s="58"/>
      <c r="BP629" t="str">
        <f t="shared" si="22"/>
        <v>Cosmic0</v>
      </c>
      <c r="BR629">
        <v>8</v>
      </c>
    </row>
    <row r="630" spans="1:70" x14ac:dyDescent="0.25">
      <c r="A630">
        <f t="shared" si="24"/>
        <v>582</v>
      </c>
      <c r="B630" t="s">
        <v>701</v>
      </c>
      <c r="D630" s="1" t="s">
        <v>41</v>
      </c>
      <c r="E630" s="1" t="s">
        <v>5</v>
      </c>
      <c r="F630" s="1" t="s">
        <v>50</v>
      </c>
      <c r="G630" s="1" t="s">
        <v>50</v>
      </c>
      <c r="H630" s="1"/>
      <c r="I630" s="1" t="s">
        <v>50</v>
      </c>
      <c r="J630" s="1" t="s">
        <v>50</v>
      </c>
      <c r="K630" s="1" t="s">
        <v>50</v>
      </c>
      <c r="L630" s="1"/>
      <c r="M630" s="1" t="s">
        <v>50</v>
      </c>
      <c r="N630" s="1" t="s">
        <v>50</v>
      </c>
      <c r="O630" s="1" t="s">
        <v>50</v>
      </c>
      <c r="P630" s="1" t="s">
        <v>104</v>
      </c>
      <c r="Q630" s="1" t="s">
        <v>104</v>
      </c>
      <c r="R630" s="1" t="s">
        <v>104</v>
      </c>
      <c r="S630" s="1" t="s">
        <v>104</v>
      </c>
      <c r="T630" s="1" t="s">
        <v>104</v>
      </c>
      <c r="U630" s="1" t="s">
        <v>104</v>
      </c>
      <c r="V630" s="1" t="s">
        <v>104</v>
      </c>
      <c r="W630" s="1" t="s">
        <v>104</v>
      </c>
      <c r="X630" s="1" t="s">
        <v>733</v>
      </c>
      <c r="Y630" s="1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>
        <v>1</v>
      </c>
      <c r="AP630" s="8">
        <v>1</v>
      </c>
      <c r="AQ630" s="8">
        <v>1</v>
      </c>
      <c r="AR630" s="8">
        <v>1</v>
      </c>
      <c r="AS630" s="8"/>
      <c r="AT630" s="8"/>
      <c r="AU630" s="8"/>
      <c r="AV630" s="8"/>
      <c r="AW630" s="8"/>
      <c r="AX630" s="8">
        <v>1</v>
      </c>
      <c r="AY630" s="8"/>
      <c r="AZ630" s="8"/>
      <c r="BA630" s="8"/>
      <c r="BB630" s="1"/>
      <c r="BL630" s="58"/>
      <c r="BP630" t="str">
        <f t="shared" si="22"/>
        <v>SoundIce</v>
      </c>
      <c r="BQ630" t="s">
        <v>2</v>
      </c>
      <c r="BR630">
        <v>2</v>
      </c>
    </row>
    <row r="631" spans="1:70" x14ac:dyDescent="0.25">
      <c r="A631">
        <f t="shared" si="24"/>
        <v>583</v>
      </c>
      <c r="B631" t="s">
        <v>702</v>
      </c>
      <c r="D631" s="1" t="s">
        <v>41</v>
      </c>
      <c r="E631" s="1" t="s">
        <v>5</v>
      </c>
      <c r="F631" s="1" t="s">
        <v>50</v>
      </c>
      <c r="G631" s="1" t="s">
        <v>50</v>
      </c>
      <c r="H631" s="1" t="s">
        <v>50</v>
      </c>
      <c r="I631" s="1" t="s">
        <v>50</v>
      </c>
      <c r="J631" s="1" t="s">
        <v>50</v>
      </c>
      <c r="K631" s="13" t="s">
        <v>50</v>
      </c>
      <c r="L631" s="1"/>
      <c r="M631" s="1" t="s">
        <v>104</v>
      </c>
      <c r="N631" s="1" t="s">
        <v>50</v>
      </c>
      <c r="O631" s="1" t="s">
        <v>50</v>
      </c>
      <c r="P631" s="1" t="s">
        <v>104</v>
      </c>
      <c r="Q631" s="1" t="s">
        <v>104</v>
      </c>
      <c r="R631" s="1" t="s">
        <v>104</v>
      </c>
      <c r="S631" s="1" t="s">
        <v>104</v>
      </c>
      <c r="T631" s="1" t="s">
        <v>104</v>
      </c>
      <c r="U631" s="1" t="s">
        <v>104</v>
      </c>
      <c r="V631" s="1" t="s">
        <v>104</v>
      </c>
      <c r="W631" s="1" t="s">
        <v>104</v>
      </c>
      <c r="X631" s="1" t="s">
        <v>733</v>
      </c>
      <c r="Y631" s="1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>
        <v>1</v>
      </c>
      <c r="AP631" s="8">
        <v>1</v>
      </c>
      <c r="AQ631" s="8">
        <v>1</v>
      </c>
      <c r="AR631" s="8">
        <v>1</v>
      </c>
      <c r="AS631" s="8"/>
      <c r="AT631" s="8"/>
      <c r="AU631" s="8"/>
      <c r="AV631" s="8"/>
      <c r="AW631" s="8"/>
      <c r="AX631" s="8">
        <v>1</v>
      </c>
      <c r="AY631" s="8"/>
      <c r="AZ631" s="8"/>
      <c r="BA631" s="8"/>
      <c r="BB631" s="1"/>
      <c r="BJ631">
        <v>4</v>
      </c>
      <c r="BK631">
        <v>1</v>
      </c>
      <c r="BL631" s="58">
        <v>1</v>
      </c>
      <c r="BP631" t="str">
        <f t="shared" si="22"/>
        <v>SoundIce</v>
      </c>
      <c r="BR631">
        <v>1</v>
      </c>
    </row>
    <row r="632" spans="1:70" x14ac:dyDescent="0.25">
      <c r="A632">
        <f t="shared" si="24"/>
        <v>584</v>
      </c>
      <c r="B632" t="s">
        <v>842</v>
      </c>
      <c r="D632" s="1" t="s">
        <v>8</v>
      </c>
      <c r="E632" s="1" t="s">
        <v>0</v>
      </c>
      <c r="F632" s="1" t="s">
        <v>50</v>
      </c>
      <c r="G632" s="1" t="s">
        <v>50</v>
      </c>
      <c r="H632" s="1"/>
      <c r="I632" s="1" t="s">
        <v>50</v>
      </c>
      <c r="J632" s="1" t="s">
        <v>50</v>
      </c>
      <c r="K632" s="1" t="s">
        <v>50</v>
      </c>
      <c r="L632" s="1"/>
      <c r="M632" s="1" t="s">
        <v>50</v>
      </c>
      <c r="N632" s="1" t="s">
        <v>50</v>
      </c>
      <c r="O632" s="1" t="s">
        <v>50</v>
      </c>
      <c r="P632" s="1" t="s">
        <v>1727</v>
      </c>
      <c r="Q632" s="1" t="s">
        <v>104</v>
      </c>
      <c r="R632" s="1" t="s">
        <v>104</v>
      </c>
      <c r="S632" s="1" t="s">
        <v>104</v>
      </c>
      <c r="T632" s="1" t="s">
        <v>104</v>
      </c>
      <c r="U632" s="1" t="s">
        <v>104</v>
      </c>
      <c r="V632" s="1" t="s">
        <v>104</v>
      </c>
      <c r="W632" s="1" t="s">
        <v>104</v>
      </c>
      <c r="X632" s="1" t="s">
        <v>845</v>
      </c>
      <c r="Y632" s="1"/>
      <c r="Z632" s="8"/>
      <c r="AA632" s="8"/>
      <c r="AB632" s="8"/>
      <c r="AC632" s="8"/>
      <c r="AD632" s="8"/>
      <c r="AE632" s="8">
        <v>1</v>
      </c>
      <c r="AF632" s="8">
        <v>1</v>
      </c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>
        <v>1</v>
      </c>
      <c r="AT632" s="8">
        <v>1</v>
      </c>
      <c r="AU632" s="8"/>
      <c r="AV632" s="8"/>
      <c r="AW632" s="8"/>
      <c r="AX632" s="8">
        <v>1</v>
      </c>
      <c r="AY632" s="8">
        <v>1</v>
      </c>
      <c r="AZ632" s="8"/>
      <c r="BA632" s="8"/>
      <c r="BB632" s="1"/>
      <c r="BL632" s="58"/>
      <c r="BP632" t="str">
        <f t="shared" si="22"/>
        <v>GroundDark</v>
      </c>
      <c r="BQ632" t="s">
        <v>2</v>
      </c>
      <c r="BR632">
        <v>2</v>
      </c>
    </row>
    <row r="633" spans="1:70" x14ac:dyDescent="0.25">
      <c r="A633">
        <f t="shared" si="24"/>
        <v>585</v>
      </c>
      <c r="B633" t="s">
        <v>843</v>
      </c>
      <c r="D633" s="1" t="s">
        <v>8</v>
      </c>
      <c r="E633" s="1" t="s">
        <v>0</v>
      </c>
      <c r="F633" s="1" t="s">
        <v>50</v>
      </c>
      <c r="G633" s="1" t="s">
        <v>50</v>
      </c>
      <c r="H633" s="1"/>
      <c r="I633" s="1" t="s">
        <v>50</v>
      </c>
      <c r="J633" s="1" t="s">
        <v>50</v>
      </c>
      <c r="K633" s="1" t="s">
        <v>50</v>
      </c>
      <c r="L633" s="1"/>
      <c r="M633" s="1" t="s">
        <v>104</v>
      </c>
      <c r="N633" s="1" t="s">
        <v>50</v>
      </c>
      <c r="O633" s="1" t="s">
        <v>50</v>
      </c>
      <c r="P633" s="1" t="s">
        <v>1727</v>
      </c>
      <c r="Q633" s="1" t="s">
        <v>104</v>
      </c>
      <c r="R633" s="1" t="s">
        <v>104</v>
      </c>
      <c r="S633" s="1" t="s">
        <v>104</v>
      </c>
      <c r="T633" s="1" t="s">
        <v>104</v>
      </c>
      <c r="U633" s="1" t="s">
        <v>104</v>
      </c>
      <c r="V633" s="1" t="s">
        <v>104</v>
      </c>
      <c r="W633" s="1" t="s">
        <v>104</v>
      </c>
      <c r="X633" s="1" t="s">
        <v>845</v>
      </c>
      <c r="Y633" s="1"/>
      <c r="Z633" s="8"/>
      <c r="AA633" s="8"/>
      <c r="AB633" s="8"/>
      <c r="AC633" s="8"/>
      <c r="AD633" s="8"/>
      <c r="AE633" s="8">
        <v>1</v>
      </c>
      <c r="AF633" s="8">
        <v>1</v>
      </c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>
        <v>1</v>
      </c>
      <c r="AT633" s="8">
        <v>1</v>
      </c>
      <c r="AU633" s="8"/>
      <c r="AV633" s="8"/>
      <c r="AW633" s="8"/>
      <c r="AX633" s="8">
        <v>1</v>
      </c>
      <c r="AY633" s="8">
        <v>1</v>
      </c>
      <c r="AZ633" s="8"/>
      <c r="BA633" s="8"/>
      <c r="BB633" s="1"/>
      <c r="BL633" s="58"/>
      <c r="BP633" t="str">
        <f t="shared" si="22"/>
        <v>GroundDark</v>
      </c>
      <c r="BQ633" t="s">
        <v>2</v>
      </c>
      <c r="BR633">
        <v>2</v>
      </c>
    </row>
    <row r="634" spans="1:70" x14ac:dyDescent="0.25">
      <c r="A634">
        <f t="shared" si="24"/>
        <v>586</v>
      </c>
      <c r="B634" t="s">
        <v>844</v>
      </c>
      <c r="D634" s="1" t="s">
        <v>8</v>
      </c>
      <c r="E634" s="1" t="s">
        <v>0</v>
      </c>
      <c r="F634" s="1" t="s">
        <v>50</v>
      </c>
      <c r="G634" s="1" t="s">
        <v>50</v>
      </c>
      <c r="H634" s="1" t="s">
        <v>50</v>
      </c>
      <c r="I634" s="1" t="s">
        <v>50</v>
      </c>
      <c r="J634" s="1" t="s">
        <v>50</v>
      </c>
      <c r="K634" s="1" t="s">
        <v>50</v>
      </c>
      <c r="L634" s="1" t="s">
        <v>50</v>
      </c>
      <c r="M634" s="1" t="s">
        <v>104</v>
      </c>
      <c r="N634" s="1" t="s">
        <v>50</v>
      </c>
      <c r="O634" s="1" t="s">
        <v>50</v>
      </c>
      <c r="P634" s="1" t="s">
        <v>1727</v>
      </c>
      <c r="Q634" s="1" t="s">
        <v>104</v>
      </c>
      <c r="R634" s="1" t="s">
        <v>104</v>
      </c>
      <c r="S634" s="1" t="s">
        <v>104</v>
      </c>
      <c r="T634" s="1" t="s">
        <v>104</v>
      </c>
      <c r="U634" s="1" t="s">
        <v>104</v>
      </c>
      <c r="V634" s="1" t="s">
        <v>104</v>
      </c>
      <c r="W634" s="1" t="s">
        <v>104</v>
      </c>
      <c r="X634" s="1" t="s">
        <v>845</v>
      </c>
      <c r="Y634" s="1"/>
      <c r="Z634" s="8"/>
      <c r="AA634" s="8"/>
      <c r="AB634" s="8"/>
      <c r="AC634" s="8"/>
      <c r="AD634" s="8"/>
      <c r="AE634" s="8">
        <v>1</v>
      </c>
      <c r="AF634" s="8">
        <v>1</v>
      </c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>
        <v>1</v>
      </c>
      <c r="AT634" s="8">
        <v>1</v>
      </c>
      <c r="AU634" s="8"/>
      <c r="AV634" s="8"/>
      <c r="AW634" s="8"/>
      <c r="AX634" s="8">
        <v>1</v>
      </c>
      <c r="AY634" s="8">
        <v>1</v>
      </c>
      <c r="AZ634" s="8"/>
      <c r="BA634" s="8"/>
      <c r="BB634" s="1"/>
      <c r="BJ634">
        <v>5</v>
      </c>
      <c r="BK634">
        <v>1</v>
      </c>
      <c r="BL634" s="58"/>
      <c r="BP634" t="str">
        <f t="shared" si="22"/>
        <v>GroundDark</v>
      </c>
      <c r="BR634">
        <v>2</v>
      </c>
    </row>
    <row r="635" spans="1:70" x14ac:dyDescent="0.25">
      <c r="A635">
        <f t="shared" si="24"/>
        <v>587</v>
      </c>
      <c r="B635" t="s">
        <v>1691</v>
      </c>
      <c r="D635" s="1" t="s">
        <v>10</v>
      </c>
      <c r="E635" s="1">
        <v>0</v>
      </c>
      <c r="F635" s="1" t="s">
        <v>50</v>
      </c>
      <c r="G635" s="1" t="s">
        <v>50</v>
      </c>
      <c r="H635" s="1" t="s">
        <v>50</v>
      </c>
      <c r="I635" s="1" t="s">
        <v>50</v>
      </c>
      <c r="J635" s="1" t="s">
        <v>50</v>
      </c>
      <c r="K635" s="1" t="s">
        <v>50</v>
      </c>
      <c r="L635" s="1" t="s">
        <v>50</v>
      </c>
      <c r="M635" s="1" t="s">
        <v>50</v>
      </c>
      <c r="N635" s="1" t="s">
        <v>50</v>
      </c>
      <c r="O635" s="1" t="s">
        <v>50</v>
      </c>
      <c r="P635" s="13" t="s">
        <v>1696</v>
      </c>
      <c r="Q635" s="1" t="s">
        <v>104</v>
      </c>
      <c r="R635" s="1" t="s">
        <v>104</v>
      </c>
      <c r="S635" s="1" t="s">
        <v>104</v>
      </c>
      <c r="T635" s="1" t="s">
        <v>104</v>
      </c>
      <c r="U635" s="1" t="s">
        <v>104</v>
      </c>
      <c r="V635" s="1" t="s">
        <v>104</v>
      </c>
      <c r="W635" s="1" t="s">
        <v>104</v>
      </c>
      <c r="X635" s="1" t="s">
        <v>727</v>
      </c>
      <c r="Y635" s="1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>
        <v>1</v>
      </c>
      <c r="AU635" s="8"/>
      <c r="AV635" s="8"/>
      <c r="AW635" s="8"/>
      <c r="AX635" s="8"/>
      <c r="AY635" s="8"/>
      <c r="AZ635" s="8"/>
      <c r="BA635" s="8"/>
      <c r="BB635" s="1"/>
      <c r="BL635" s="58"/>
      <c r="BP635" t="str">
        <f t="shared" si="22"/>
        <v>Poison0</v>
      </c>
      <c r="BR635">
        <v>8</v>
      </c>
    </row>
    <row r="636" spans="1:70" x14ac:dyDescent="0.25">
      <c r="A636">
        <f t="shared" si="24"/>
        <v>588</v>
      </c>
      <c r="B636" t="s">
        <v>703</v>
      </c>
      <c r="D636" s="1" t="s">
        <v>12</v>
      </c>
      <c r="E636" s="1">
        <v>0</v>
      </c>
      <c r="F636" s="1" t="s">
        <v>50</v>
      </c>
      <c r="G636" s="1" t="s">
        <v>50</v>
      </c>
      <c r="H636" s="1"/>
      <c r="I636" s="1" t="s">
        <v>50</v>
      </c>
      <c r="J636" s="1" t="s">
        <v>50</v>
      </c>
      <c r="K636" s="1" t="s">
        <v>50</v>
      </c>
      <c r="L636" s="1"/>
      <c r="M636" s="1" t="s">
        <v>50</v>
      </c>
      <c r="N636" s="1" t="s">
        <v>50</v>
      </c>
      <c r="O636" s="1" t="s">
        <v>50</v>
      </c>
      <c r="P636" s="1" t="s">
        <v>104</v>
      </c>
      <c r="Q636" s="1" t="s">
        <v>104</v>
      </c>
      <c r="R636" s="1" t="s">
        <v>104</v>
      </c>
      <c r="S636" s="1" t="s">
        <v>104</v>
      </c>
      <c r="T636" s="1" t="s">
        <v>104</v>
      </c>
      <c r="U636" s="1" t="s">
        <v>104</v>
      </c>
      <c r="V636" s="1" t="s">
        <v>104</v>
      </c>
      <c r="W636" s="1" t="s">
        <v>104</v>
      </c>
      <c r="X636" s="1" t="s">
        <v>1672</v>
      </c>
      <c r="Y636" s="1"/>
      <c r="Z636" s="8"/>
      <c r="AA636" s="8"/>
      <c r="AB636" s="8"/>
      <c r="AC636" s="8"/>
      <c r="AD636" s="8">
        <v>1</v>
      </c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>
        <v>1</v>
      </c>
      <c r="AY636" s="8">
        <v>1</v>
      </c>
      <c r="AZ636" s="8"/>
      <c r="BA636" s="8"/>
      <c r="BB636" s="1"/>
      <c r="BL636" s="58"/>
      <c r="BP636" t="str">
        <f t="shared" si="22"/>
        <v>Dragon0</v>
      </c>
      <c r="BQ636" t="s">
        <v>2</v>
      </c>
      <c r="BR636">
        <v>4</v>
      </c>
    </row>
    <row r="637" spans="1:70" x14ac:dyDescent="0.25">
      <c r="A637">
        <f t="shared" si="24"/>
        <v>589</v>
      </c>
      <c r="B637" t="s">
        <v>1683</v>
      </c>
      <c r="D637" s="1" t="s">
        <v>12</v>
      </c>
      <c r="E637" s="1" t="s">
        <v>0</v>
      </c>
      <c r="F637" s="1" t="s">
        <v>50</v>
      </c>
      <c r="G637" s="1" t="s">
        <v>50</v>
      </c>
      <c r="H637" s="1" t="s">
        <v>50</v>
      </c>
      <c r="I637" s="1" t="s">
        <v>50</v>
      </c>
      <c r="J637" s="1" t="s">
        <v>50</v>
      </c>
      <c r="K637" s="1" t="s">
        <v>50</v>
      </c>
      <c r="L637" s="1"/>
      <c r="M637" s="1" t="s">
        <v>104</v>
      </c>
      <c r="N637" s="1" t="s">
        <v>50</v>
      </c>
      <c r="O637" s="1" t="s">
        <v>50</v>
      </c>
      <c r="P637" s="1" t="s">
        <v>104</v>
      </c>
      <c r="Q637" s="1" t="s">
        <v>104</v>
      </c>
      <c r="R637" s="1" t="s">
        <v>104</v>
      </c>
      <c r="S637" s="1" t="s">
        <v>104</v>
      </c>
      <c r="T637" s="1" t="s">
        <v>104</v>
      </c>
      <c r="U637" s="1" t="s">
        <v>104</v>
      </c>
      <c r="V637" s="1" t="s">
        <v>104</v>
      </c>
      <c r="W637" s="1" t="s">
        <v>104</v>
      </c>
      <c r="X637" s="1" t="s">
        <v>1672</v>
      </c>
      <c r="Y637" s="1"/>
      <c r="Z637" s="8"/>
      <c r="AA637" s="8"/>
      <c r="AB637" s="8"/>
      <c r="AC637" s="8"/>
      <c r="AD637" s="8">
        <v>1</v>
      </c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>
        <v>1</v>
      </c>
      <c r="AY637" s="8">
        <v>1</v>
      </c>
      <c r="AZ637" s="8"/>
      <c r="BA637" s="8"/>
      <c r="BB637" s="1"/>
      <c r="BJ637">
        <v>6</v>
      </c>
      <c r="BK637">
        <v>4</v>
      </c>
      <c r="BL637" s="58"/>
      <c r="BP637" t="str">
        <f t="shared" si="22"/>
        <v>DragonDark</v>
      </c>
      <c r="BR637">
        <v>4</v>
      </c>
    </row>
    <row r="638" spans="1:70" x14ac:dyDescent="0.25">
      <c r="A638">
        <f t="shared" si="24"/>
        <v>590</v>
      </c>
      <c r="B638" t="s">
        <v>704</v>
      </c>
      <c r="D638" s="1" t="s">
        <v>15</v>
      </c>
      <c r="E638" s="1" t="s">
        <v>12</v>
      </c>
      <c r="F638" s="1" t="s">
        <v>50</v>
      </c>
      <c r="G638" s="1" t="s">
        <v>50</v>
      </c>
      <c r="H638" s="1"/>
      <c r="I638" s="1" t="s">
        <v>50</v>
      </c>
      <c r="J638" s="1" t="s">
        <v>50</v>
      </c>
      <c r="K638" s="1" t="s">
        <v>50</v>
      </c>
      <c r="L638" s="1" t="s">
        <v>50</v>
      </c>
      <c r="M638" s="1" t="s">
        <v>50</v>
      </c>
      <c r="N638" s="1" t="s">
        <v>50</v>
      </c>
      <c r="O638" s="1" t="s">
        <v>50</v>
      </c>
      <c r="P638" s="1" t="s">
        <v>811</v>
      </c>
      <c r="Q638" s="1" t="s">
        <v>104</v>
      </c>
      <c r="R638" s="1" t="s">
        <v>104</v>
      </c>
      <c r="S638" s="1" t="s">
        <v>104</v>
      </c>
      <c r="T638" s="1" t="s">
        <v>104</v>
      </c>
      <c r="U638" s="1" t="s">
        <v>104</v>
      </c>
      <c r="V638" s="1" t="s">
        <v>104</v>
      </c>
      <c r="W638" s="1" t="s">
        <v>104</v>
      </c>
      <c r="X638" s="1" t="s">
        <v>1706</v>
      </c>
      <c r="Y638" s="1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>
        <v>1</v>
      </c>
      <c r="AL638" s="8">
        <v>1</v>
      </c>
      <c r="AM638" s="8"/>
      <c r="AN638" s="8">
        <v>1</v>
      </c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1"/>
      <c r="BL638" s="58"/>
      <c r="BP638" t="str">
        <f t="shared" si="22"/>
        <v>WaterDragon</v>
      </c>
      <c r="BQ638" t="s">
        <v>2</v>
      </c>
      <c r="BR638">
        <v>4</v>
      </c>
    </row>
    <row r="639" spans="1:70" x14ac:dyDescent="0.25">
      <c r="A639">
        <f t="shared" si="24"/>
        <v>591</v>
      </c>
      <c r="B639" t="s">
        <v>705</v>
      </c>
      <c r="D639" s="1" t="s">
        <v>15</v>
      </c>
      <c r="E639" s="1" t="s">
        <v>12</v>
      </c>
      <c r="F639" s="1" t="s">
        <v>50</v>
      </c>
      <c r="G639" s="1" t="s">
        <v>50</v>
      </c>
      <c r="H639" s="1"/>
      <c r="I639" s="1" t="s">
        <v>50</v>
      </c>
      <c r="J639" s="1" t="s">
        <v>50</v>
      </c>
      <c r="K639" s="1" t="s">
        <v>50</v>
      </c>
      <c r="L639" s="1"/>
      <c r="M639" s="1" t="s">
        <v>104</v>
      </c>
      <c r="N639" s="1" t="s">
        <v>50</v>
      </c>
      <c r="O639" s="1" t="s">
        <v>50</v>
      </c>
      <c r="P639" s="1" t="s">
        <v>811</v>
      </c>
      <c r="Q639" s="1" t="s">
        <v>104</v>
      </c>
      <c r="R639" s="1" t="s">
        <v>104</v>
      </c>
      <c r="S639" s="1" t="s">
        <v>104</v>
      </c>
      <c r="T639" s="1" t="s">
        <v>104</v>
      </c>
      <c r="U639" s="1" t="s">
        <v>104</v>
      </c>
      <c r="V639" s="1" t="s">
        <v>104</v>
      </c>
      <c r="W639" s="1" t="s">
        <v>104</v>
      </c>
      <c r="X639" s="1" t="s">
        <v>1706</v>
      </c>
      <c r="Y639" s="1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>
        <v>1</v>
      </c>
      <c r="AL639" s="8">
        <v>1</v>
      </c>
      <c r="AM639" s="8"/>
      <c r="AN639" s="8">
        <v>1</v>
      </c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1"/>
      <c r="BL639" s="58"/>
      <c r="BP639" t="str">
        <f t="shared" si="22"/>
        <v>WaterDragon</v>
      </c>
      <c r="BQ639" t="s">
        <v>2</v>
      </c>
      <c r="BR639">
        <v>4</v>
      </c>
    </row>
    <row r="640" spans="1:70" x14ac:dyDescent="0.25">
      <c r="A640">
        <f t="shared" si="24"/>
        <v>592</v>
      </c>
      <c r="B640" t="s">
        <v>706</v>
      </c>
      <c r="D640" s="1" t="s">
        <v>15</v>
      </c>
      <c r="E640" s="1" t="s">
        <v>12</v>
      </c>
      <c r="F640" s="1" t="s">
        <v>50</v>
      </c>
      <c r="G640" s="1" t="s">
        <v>50</v>
      </c>
      <c r="H640" s="1" t="s">
        <v>50</v>
      </c>
      <c r="I640" s="1" t="s">
        <v>50</v>
      </c>
      <c r="J640" s="1" t="s">
        <v>50</v>
      </c>
      <c r="K640" s="1" t="s">
        <v>50</v>
      </c>
      <c r="L640" s="1"/>
      <c r="M640" s="1" t="s">
        <v>104</v>
      </c>
      <c r="N640" s="1" t="s">
        <v>50</v>
      </c>
      <c r="O640" s="1" t="s">
        <v>50</v>
      </c>
      <c r="P640" s="1" t="s">
        <v>811</v>
      </c>
      <c r="Q640" s="1" t="s">
        <v>104</v>
      </c>
      <c r="R640" s="1" t="s">
        <v>104</v>
      </c>
      <c r="S640" s="1" t="s">
        <v>104</v>
      </c>
      <c r="T640" s="1" t="s">
        <v>104</v>
      </c>
      <c r="U640" s="1" t="s">
        <v>104</v>
      </c>
      <c r="V640" s="1" t="s">
        <v>104</v>
      </c>
      <c r="W640" s="1" t="s">
        <v>104</v>
      </c>
      <c r="X640" s="1" t="s">
        <v>1706</v>
      </c>
      <c r="Y640" s="1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>
        <v>1</v>
      </c>
      <c r="AL640" s="8">
        <v>1</v>
      </c>
      <c r="AM640" s="8"/>
      <c r="AN640" s="8">
        <v>1</v>
      </c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1"/>
      <c r="BJ640">
        <v>22</v>
      </c>
      <c r="BK640">
        <v>4</v>
      </c>
      <c r="BL640" s="58"/>
      <c r="BP640" t="str">
        <f t="shared" si="22"/>
        <v>WaterDragon</v>
      </c>
      <c r="BR640">
        <v>4</v>
      </c>
    </row>
    <row r="641" spans="1:70" x14ac:dyDescent="0.25">
      <c r="A641">
        <f t="shared" si="24"/>
        <v>593</v>
      </c>
      <c r="B641" t="s">
        <v>707</v>
      </c>
      <c r="D641" s="1" t="s">
        <v>41</v>
      </c>
      <c r="E641" s="1" t="s">
        <v>6</v>
      </c>
      <c r="F641" s="1" t="s">
        <v>50</v>
      </c>
      <c r="G641" s="1" t="s">
        <v>50</v>
      </c>
      <c r="H641" s="1"/>
      <c r="I641" s="1" t="s">
        <v>50</v>
      </c>
      <c r="J641" s="1" t="s">
        <v>50</v>
      </c>
      <c r="K641" s="1" t="s">
        <v>50</v>
      </c>
      <c r="L641" s="1"/>
      <c r="M641" s="1" t="s">
        <v>50</v>
      </c>
      <c r="N641" s="1" t="s">
        <v>50</v>
      </c>
      <c r="O641" s="1" t="s">
        <v>50</v>
      </c>
      <c r="P641" s="1" t="s">
        <v>830</v>
      </c>
      <c r="Q641" s="1" t="s">
        <v>104</v>
      </c>
      <c r="R641" s="1" t="s">
        <v>104</v>
      </c>
      <c r="S641" s="1" t="s">
        <v>104</v>
      </c>
      <c r="T641" s="1" t="s">
        <v>104</v>
      </c>
      <c r="U641" s="1" t="s">
        <v>104</v>
      </c>
      <c r="V641" s="1" t="s">
        <v>104</v>
      </c>
      <c r="W641" s="1" t="s">
        <v>104</v>
      </c>
      <c r="X641" s="1" t="s">
        <v>726</v>
      </c>
      <c r="Y641" s="1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>
        <v>1</v>
      </c>
      <c r="AT641" s="8"/>
      <c r="AU641" s="8"/>
      <c r="AV641" s="8"/>
      <c r="AW641" s="8"/>
      <c r="AX641" s="8">
        <v>1</v>
      </c>
      <c r="AY641" s="8">
        <v>1</v>
      </c>
      <c r="AZ641" s="8"/>
      <c r="BA641" s="8"/>
      <c r="BB641" s="1"/>
      <c r="BL641" s="58"/>
      <c r="BP641" t="str">
        <f t="shared" si="22"/>
        <v>SoundSteel</v>
      </c>
      <c r="BQ641" t="s">
        <v>2</v>
      </c>
      <c r="BR641">
        <v>2</v>
      </c>
    </row>
    <row r="642" spans="1:70" x14ac:dyDescent="0.25">
      <c r="A642">
        <f t="shared" si="24"/>
        <v>594</v>
      </c>
      <c r="B642" t="s">
        <v>708</v>
      </c>
      <c r="D642" s="1" t="s">
        <v>41</v>
      </c>
      <c r="E642" s="1" t="s">
        <v>6</v>
      </c>
      <c r="F642" s="1" t="s">
        <v>50</v>
      </c>
      <c r="G642" s="1" t="s">
        <v>50</v>
      </c>
      <c r="H642" s="1" t="s">
        <v>50</v>
      </c>
      <c r="I642" s="1" t="s">
        <v>50</v>
      </c>
      <c r="J642" s="1" t="s">
        <v>50</v>
      </c>
      <c r="K642" s="1" t="s">
        <v>50</v>
      </c>
      <c r="L642" s="1"/>
      <c r="M642" s="1" t="s">
        <v>104</v>
      </c>
      <c r="N642" s="1" t="s">
        <v>50</v>
      </c>
      <c r="O642" s="1" t="s">
        <v>50</v>
      </c>
      <c r="P642" s="1" t="s">
        <v>830</v>
      </c>
      <c r="Q642" s="1" t="s">
        <v>104</v>
      </c>
      <c r="R642" s="1" t="s">
        <v>104</v>
      </c>
      <c r="S642" s="1" t="s">
        <v>104</v>
      </c>
      <c r="T642" s="1" t="s">
        <v>104</v>
      </c>
      <c r="U642" s="1" t="s">
        <v>104</v>
      </c>
      <c r="V642" s="1" t="s">
        <v>104</v>
      </c>
      <c r="W642" s="1" t="s">
        <v>104</v>
      </c>
      <c r="X642" s="1" t="s">
        <v>726</v>
      </c>
      <c r="Y642" s="1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>
        <v>1</v>
      </c>
      <c r="AT642" s="8"/>
      <c r="AU642" s="8"/>
      <c r="AV642" s="8"/>
      <c r="AW642" s="8"/>
      <c r="AX642" s="8">
        <v>1</v>
      </c>
      <c r="AY642" s="8">
        <v>1</v>
      </c>
      <c r="AZ642" s="8"/>
      <c r="BA642" s="8"/>
      <c r="BB642" s="1"/>
      <c r="BJ642">
        <v>5</v>
      </c>
      <c r="BL642" s="58"/>
      <c r="BP642" t="str">
        <f t="shared" ref="BP642:BP705" si="25">D642&amp;E642</f>
        <v>SoundSteel</v>
      </c>
      <c r="BR642">
        <v>4</v>
      </c>
    </row>
    <row r="643" spans="1:70" x14ac:dyDescent="0.25">
      <c r="A643">
        <f t="shared" si="24"/>
        <v>595</v>
      </c>
      <c r="B643" t="s">
        <v>1764</v>
      </c>
      <c r="D643" s="1" t="s">
        <v>15</v>
      </c>
      <c r="E643" s="1" t="s">
        <v>3</v>
      </c>
      <c r="F643" s="1" t="s">
        <v>50</v>
      </c>
      <c r="G643" s="1" t="s">
        <v>50</v>
      </c>
      <c r="H643" s="1"/>
      <c r="I643" s="1" t="s">
        <v>50</v>
      </c>
      <c r="J643" s="1" t="s">
        <v>50</v>
      </c>
      <c r="K643" s="1" t="s">
        <v>50</v>
      </c>
      <c r="L643" s="1" t="s">
        <v>50</v>
      </c>
      <c r="M643" s="1" t="s">
        <v>50</v>
      </c>
      <c r="N643" s="1" t="s">
        <v>50</v>
      </c>
      <c r="O643" s="1" t="s">
        <v>50</v>
      </c>
      <c r="P643" s="13" t="s">
        <v>1766</v>
      </c>
      <c r="Q643" s="1" t="s">
        <v>104</v>
      </c>
      <c r="R643" s="1" t="s">
        <v>104</v>
      </c>
      <c r="S643" s="1" t="s">
        <v>104</v>
      </c>
      <c r="T643" s="1" t="s">
        <v>104</v>
      </c>
      <c r="U643" s="1" t="s">
        <v>104</v>
      </c>
      <c r="V643" s="1" t="s">
        <v>104</v>
      </c>
      <c r="W643" s="1" t="s">
        <v>104</v>
      </c>
      <c r="X643" s="1" t="s">
        <v>727</v>
      </c>
      <c r="Y643" s="1"/>
      <c r="Z643" s="8"/>
      <c r="AA643" s="8"/>
      <c r="AB643" s="8"/>
      <c r="AC643" s="8"/>
      <c r="AD643" s="8"/>
      <c r="AE643" s="8"/>
      <c r="AF643" s="8"/>
      <c r="AG643" s="8"/>
      <c r="AH643" s="8"/>
      <c r="AI643" s="8">
        <v>1</v>
      </c>
      <c r="AJ643" s="8"/>
      <c r="AK643" s="8">
        <v>1</v>
      </c>
      <c r="AL643" s="8">
        <v>1</v>
      </c>
      <c r="AM643" s="8">
        <v>1</v>
      </c>
      <c r="AN643" s="8">
        <v>1</v>
      </c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1"/>
      <c r="BL643" s="58"/>
      <c r="BP643" t="str">
        <f t="shared" si="25"/>
        <v>WaterElectric</v>
      </c>
      <c r="BQ643" t="s">
        <v>2</v>
      </c>
      <c r="BR643">
        <v>8</v>
      </c>
    </row>
    <row r="644" spans="1:70" x14ac:dyDescent="0.25">
      <c r="A644">
        <f t="shared" si="24"/>
        <v>596</v>
      </c>
      <c r="B644" t="s">
        <v>1765</v>
      </c>
      <c r="D644" s="1" t="s">
        <v>15</v>
      </c>
      <c r="E644" s="1" t="s">
        <v>3</v>
      </c>
      <c r="F644" s="1" t="s">
        <v>50</v>
      </c>
      <c r="G644" s="1" t="s">
        <v>50</v>
      </c>
      <c r="H644" s="1" t="s">
        <v>50</v>
      </c>
      <c r="I644" s="1" t="s">
        <v>50</v>
      </c>
      <c r="J644" s="1" t="s">
        <v>50</v>
      </c>
      <c r="K644" s="1" t="s">
        <v>50</v>
      </c>
      <c r="L644" s="1" t="s">
        <v>50</v>
      </c>
      <c r="M644" s="1" t="s">
        <v>104</v>
      </c>
      <c r="N644" s="1" t="s">
        <v>50</v>
      </c>
      <c r="O644" s="1" t="s">
        <v>50</v>
      </c>
      <c r="P644" s="13" t="s">
        <v>1766</v>
      </c>
      <c r="Q644" s="1" t="s">
        <v>104</v>
      </c>
      <c r="R644" s="1" t="s">
        <v>104</v>
      </c>
      <c r="S644" s="1" t="s">
        <v>104</v>
      </c>
      <c r="T644" s="1" t="s">
        <v>104</v>
      </c>
      <c r="U644" s="1" t="s">
        <v>104</v>
      </c>
      <c r="V644" s="1" t="s">
        <v>104</v>
      </c>
      <c r="W644" s="1" t="s">
        <v>104</v>
      </c>
      <c r="X644" s="1" t="s">
        <v>727</v>
      </c>
      <c r="Y644" s="1"/>
      <c r="Z644" s="8"/>
      <c r="AA644" s="8"/>
      <c r="AB644" s="8"/>
      <c r="AC644" s="8"/>
      <c r="AD644" s="8"/>
      <c r="AE644" s="8"/>
      <c r="AF644" s="8"/>
      <c r="AG644" s="8"/>
      <c r="AH644" s="8"/>
      <c r="AI644" s="8">
        <v>1</v>
      </c>
      <c r="AJ644" s="8"/>
      <c r="AK644" s="8">
        <v>1</v>
      </c>
      <c r="AL644" s="8">
        <v>1</v>
      </c>
      <c r="AM644" s="8">
        <v>1</v>
      </c>
      <c r="AN644" s="8">
        <v>1</v>
      </c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1"/>
      <c r="BL644" s="58"/>
      <c r="BP644" t="str">
        <f t="shared" si="25"/>
        <v>WaterElectric</v>
      </c>
      <c r="BR644">
        <v>8</v>
      </c>
    </row>
    <row r="645" spans="1:70" x14ac:dyDescent="0.25">
      <c r="A645">
        <f t="shared" si="24"/>
        <v>597</v>
      </c>
      <c r="B645" t="s">
        <v>709</v>
      </c>
      <c r="D645" s="1" t="s">
        <v>44</v>
      </c>
      <c r="E645" s="1" t="s">
        <v>41</v>
      </c>
      <c r="F645" s="1" t="s">
        <v>50</v>
      </c>
      <c r="G645" s="1" t="s">
        <v>50</v>
      </c>
      <c r="H645" s="1"/>
      <c r="I645" s="1" t="s">
        <v>50</v>
      </c>
      <c r="J645" s="1" t="s">
        <v>50</v>
      </c>
      <c r="K645" s="1" t="s">
        <v>50</v>
      </c>
      <c r="L645" s="1" t="s">
        <v>50</v>
      </c>
      <c r="M645" s="1" t="s">
        <v>50</v>
      </c>
      <c r="N645" s="1" t="s">
        <v>50</v>
      </c>
      <c r="O645" s="1" t="s">
        <v>50</v>
      </c>
      <c r="P645" s="13" t="s">
        <v>1790</v>
      </c>
      <c r="Q645" s="1" t="s">
        <v>104</v>
      </c>
      <c r="R645" s="1" t="s">
        <v>104</v>
      </c>
      <c r="S645" s="1" t="s">
        <v>104</v>
      </c>
      <c r="T645" s="1" t="s">
        <v>104</v>
      </c>
      <c r="U645" s="1" t="s">
        <v>104</v>
      </c>
      <c r="V645" s="1" t="s">
        <v>104</v>
      </c>
      <c r="W645" s="1" t="s">
        <v>104</v>
      </c>
      <c r="X645" s="1" t="s">
        <v>750</v>
      </c>
      <c r="Y645" s="1"/>
      <c r="Z645" s="8"/>
      <c r="AA645" s="8"/>
      <c r="AB645" s="8"/>
      <c r="AC645" s="8"/>
      <c r="AD645" s="8"/>
      <c r="AE645" s="8"/>
      <c r="AF645" s="8"/>
      <c r="AG645" s="8">
        <v>1</v>
      </c>
      <c r="AH645" s="8">
        <v>1</v>
      </c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>
        <v>1</v>
      </c>
      <c r="AT645" s="8"/>
      <c r="AU645" s="8">
        <v>1</v>
      </c>
      <c r="AV645" s="8"/>
      <c r="AW645" s="8"/>
      <c r="AX645" s="8"/>
      <c r="AY645" s="8"/>
      <c r="AZ645" s="8"/>
      <c r="BA645" s="8"/>
      <c r="BB645" s="1"/>
      <c r="BL645" s="58"/>
      <c r="BP645" t="str">
        <f t="shared" si="25"/>
        <v>LightSound</v>
      </c>
      <c r="BQ645" t="s">
        <v>2</v>
      </c>
      <c r="BR645">
        <v>4</v>
      </c>
    </row>
    <row r="646" spans="1:70" x14ac:dyDescent="0.25">
      <c r="A646">
        <f t="shared" si="24"/>
        <v>598</v>
      </c>
      <c r="B646" t="s">
        <v>710</v>
      </c>
      <c r="D646" s="1" t="s">
        <v>44</v>
      </c>
      <c r="E646" s="1" t="s">
        <v>41</v>
      </c>
      <c r="F646" s="1" t="s">
        <v>50</v>
      </c>
      <c r="G646" s="1" t="s">
        <v>50</v>
      </c>
      <c r="H646" s="1" t="s">
        <v>50</v>
      </c>
      <c r="I646" s="1" t="s">
        <v>50</v>
      </c>
      <c r="J646" s="1" t="s">
        <v>50</v>
      </c>
      <c r="K646" s="1" t="s">
        <v>50</v>
      </c>
      <c r="L646" s="1" t="s">
        <v>50</v>
      </c>
      <c r="M646" s="1" t="s">
        <v>104</v>
      </c>
      <c r="N646" s="1" t="s">
        <v>50</v>
      </c>
      <c r="O646" s="1" t="s">
        <v>50</v>
      </c>
      <c r="P646" s="13" t="s">
        <v>1790</v>
      </c>
      <c r="Q646" s="1" t="s">
        <v>50</v>
      </c>
      <c r="R646" s="1" t="s">
        <v>50</v>
      </c>
      <c r="S646" s="1" t="s">
        <v>50</v>
      </c>
      <c r="T646" s="1" t="s">
        <v>50</v>
      </c>
      <c r="U646" s="1" t="s">
        <v>50</v>
      </c>
      <c r="V646" s="1" t="s">
        <v>50</v>
      </c>
      <c r="W646" s="1" t="s">
        <v>50</v>
      </c>
      <c r="X646" s="1" t="s">
        <v>750</v>
      </c>
      <c r="Y646" s="1"/>
      <c r="Z646" s="8"/>
      <c r="AA646" s="8"/>
      <c r="AB646" s="8"/>
      <c r="AC646" s="8"/>
      <c r="AD646" s="8"/>
      <c r="AE646" s="8"/>
      <c r="AF646" s="8"/>
      <c r="AG646" s="8">
        <v>1</v>
      </c>
      <c r="AH646" s="8">
        <v>1</v>
      </c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>
        <v>1</v>
      </c>
      <c r="AT646" s="8"/>
      <c r="AU646" s="8">
        <v>1</v>
      </c>
      <c r="AV646" s="8"/>
      <c r="AW646" s="8"/>
      <c r="AX646" s="8"/>
      <c r="AY646" s="8"/>
      <c r="AZ646" s="8"/>
      <c r="BA646" s="8"/>
      <c r="BB646" s="1"/>
      <c r="BJ646">
        <v>18</v>
      </c>
      <c r="BK646">
        <v>4</v>
      </c>
      <c r="BL646" s="58"/>
      <c r="BP646" t="str">
        <f t="shared" si="25"/>
        <v>LightSound</v>
      </c>
      <c r="BR646">
        <v>4</v>
      </c>
    </row>
    <row r="647" spans="1:70" x14ac:dyDescent="0.25">
      <c r="A647">
        <f t="shared" si="24"/>
        <v>599</v>
      </c>
      <c r="B647" t="s">
        <v>712</v>
      </c>
      <c r="D647" s="1" t="s">
        <v>15</v>
      </c>
      <c r="E647" s="1" t="s">
        <v>8</v>
      </c>
      <c r="F647" s="1" t="s">
        <v>50</v>
      </c>
      <c r="G647" s="1" t="s">
        <v>50</v>
      </c>
      <c r="H647" s="1"/>
      <c r="I647" s="1" t="s">
        <v>50</v>
      </c>
      <c r="J647" s="1" t="s">
        <v>50</v>
      </c>
      <c r="K647" s="1" t="s">
        <v>50</v>
      </c>
      <c r="L647" s="1" t="s">
        <v>50</v>
      </c>
      <c r="M647" s="1" t="s">
        <v>50</v>
      </c>
      <c r="N647" s="1" t="s">
        <v>50</v>
      </c>
      <c r="O647" s="1" t="s">
        <v>50</v>
      </c>
      <c r="P647" s="13" t="s">
        <v>807</v>
      </c>
      <c r="Q647" s="1" t="s">
        <v>104</v>
      </c>
      <c r="R647" s="1" t="s">
        <v>104</v>
      </c>
      <c r="S647" s="1" t="s">
        <v>104</v>
      </c>
      <c r="T647" s="1" t="s">
        <v>104</v>
      </c>
      <c r="U647" s="1" t="s">
        <v>104</v>
      </c>
      <c r="V647" s="1" t="s">
        <v>104</v>
      </c>
      <c r="W647" s="1" t="s">
        <v>104</v>
      </c>
      <c r="X647" s="1" t="s">
        <v>726</v>
      </c>
      <c r="Y647" s="1"/>
      <c r="Z647" s="8"/>
      <c r="AA647" s="8"/>
      <c r="AB647" s="8">
        <v>1</v>
      </c>
      <c r="AC647" s="8"/>
      <c r="AD647" s="8"/>
      <c r="AE647" s="8"/>
      <c r="AF647" s="8"/>
      <c r="AG647" s="8"/>
      <c r="AH647" s="8"/>
      <c r="AI647" s="8">
        <v>1</v>
      </c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>
        <v>1</v>
      </c>
      <c r="BA647" s="8"/>
      <c r="BB647" s="1"/>
      <c r="BL647" s="58"/>
      <c r="BP647" t="str">
        <f t="shared" si="25"/>
        <v>WaterGround</v>
      </c>
      <c r="BQ647" t="s">
        <v>2</v>
      </c>
      <c r="BR647">
        <v>4</v>
      </c>
    </row>
    <row r="648" spans="1:70" x14ac:dyDescent="0.25">
      <c r="A648">
        <f t="shared" si="24"/>
        <v>600</v>
      </c>
      <c r="B648" t="s">
        <v>713</v>
      </c>
      <c r="D648" s="1" t="s">
        <v>15</v>
      </c>
      <c r="E648" s="1" t="s">
        <v>8</v>
      </c>
      <c r="F648" s="1" t="s">
        <v>50</v>
      </c>
      <c r="G648" s="1" t="s">
        <v>50</v>
      </c>
      <c r="H648" s="1"/>
      <c r="I648" s="1" t="s">
        <v>50</v>
      </c>
      <c r="J648" s="1" t="s">
        <v>50</v>
      </c>
      <c r="K648" s="1" t="s">
        <v>50</v>
      </c>
      <c r="L648" s="1" t="s">
        <v>50</v>
      </c>
      <c r="M648" s="1" t="s">
        <v>104</v>
      </c>
      <c r="N648" s="1" t="s">
        <v>50</v>
      </c>
      <c r="O648" s="1" t="s">
        <v>50</v>
      </c>
      <c r="P648" s="13" t="s">
        <v>807</v>
      </c>
      <c r="Q648" s="1" t="s">
        <v>104</v>
      </c>
      <c r="R648" s="1" t="s">
        <v>104</v>
      </c>
      <c r="S648" s="1" t="s">
        <v>104</v>
      </c>
      <c r="T648" s="1" t="s">
        <v>104</v>
      </c>
      <c r="U648" s="1" t="s">
        <v>104</v>
      </c>
      <c r="V648" s="1" t="s">
        <v>104</v>
      </c>
      <c r="W648" s="1" t="s">
        <v>104</v>
      </c>
      <c r="X648" s="1" t="s">
        <v>726</v>
      </c>
      <c r="Y648" s="1"/>
      <c r="Z648" s="8"/>
      <c r="AA648" s="8"/>
      <c r="AB648" s="8">
        <v>1</v>
      </c>
      <c r="AC648" s="8"/>
      <c r="AD648" s="8"/>
      <c r="AE648" s="8"/>
      <c r="AF648" s="8"/>
      <c r="AG648" s="8"/>
      <c r="AH648" s="8"/>
      <c r="AI648" s="8">
        <v>1</v>
      </c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>
        <v>1</v>
      </c>
      <c r="BA648" s="8"/>
      <c r="BB648" s="1"/>
      <c r="BL648" s="58"/>
      <c r="BP648" t="str">
        <f t="shared" si="25"/>
        <v>WaterGround</v>
      </c>
      <c r="BQ648" t="s">
        <v>2</v>
      </c>
      <c r="BR648">
        <v>4</v>
      </c>
    </row>
    <row r="649" spans="1:70" x14ac:dyDescent="0.25">
      <c r="A649">
        <f t="shared" si="24"/>
        <v>601</v>
      </c>
      <c r="B649" t="s">
        <v>714</v>
      </c>
      <c r="D649" s="1" t="s">
        <v>15</v>
      </c>
      <c r="E649" s="1" t="s">
        <v>8</v>
      </c>
      <c r="F649" s="1" t="s">
        <v>50</v>
      </c>
      <c r="G649" s="1" t="s">
        <v>50</v>
      </c>
      <c r="H649" s="1" t="s">
        <v>50</v>
      </c>
      <c r="I649" s="1" t="s">
        <v>50</v>
      </c>
      <c r="J649" s="1" t="s">
        <v>50</v>
      </c>
      <c r="K649" s="1" t="s">
        <v>50</v>
      </c>
      <c r="L649" s="1"/>
      <c r="M649" s="1" t="s">
        <v>104</v>
      </c>
      <c r="N649" s="1" t="s">
        <v>50</v>
      </c>
      <c r="O649" s="1" t="s">
        <v>50</v>
      </c>
      <c r="P649" s="13" t="s">
        <v>807</v>
      </c>
      <c r="Q649" s="1" t="s">
        <v>104</v>
      </c>
      <c r="R649" s="1" t="s">
        <v>104</v>
      </c>
      <c r="S649" s="1" t="s">
        <v>104</v>
      </c>
      <c r="T649" s="1" t="s">
        <v>104</v>
      </c>
      <c r="U649" s="1" t="s">
        <v>104</v>
      </c>
      <c r="V649" s="1" t="s">
        <v>104</v>
      </c>
      <c r="W649" s="1" t="s">
        <v>104</v>
      </c>
      <c r="X649" s="1" t="s">
        <v>726</v>
      </c>
      <c r="Y649" s="1"/>
      <c r="Z649" s="8"/>
      <c r="AA649" s="8"/>
      <c r="AB649" s="8">
        <v>1</v>
      </c>
      <c r="AC649" s="8"/>
      <c r="AD649" s="8"/>
      <c r="AE649" s="8"/>
      <c r="AF649" s="8"/>
      <c r="AG649" s="8"/>
      <c r="AH649" s="8"/>
      <c r="AI649" s="8">
        <v>1</v>
      </c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>
        <v>1</v>
      </c>
      <c r="BA649" s="8"/>
      <c r="BB649" s="1"/>
      <c r="BJ649">
        <v>1</v>
      </c>
      <c r="BL649" s="58"/>
      <c r="BP649" t="str">
        <f t="shared" si="25"/>
        <v>WaterGround</v>
      </c>
      <c r="BR649">
        <v>4</v>
      </c>
    </row>
    <row r="650" spans="1:70" x14ac:dyDescent="0.25">
      <c r="A650">
        <f t="shared" si="24"/>
        <v>602</v>
      </c>
      <c r="B650" t="s">
        <v>715</v>
      </c>
      <c r="D650" s="1" t="s">
        <v>15</v>
      </c>
      <c r="E650" s="1" t="s">
        <v>18</v>
      </c>
      <c r="F650" s="1" t="s">
        <v>50</v>
      </c>
      <c r="G650" s="1" t="s">
        <v>50</v>
      </c>
      <c r="H650" s="1" t="s">
        <v>50</v>
      </c>
      <c r="I650" s="1" t="s">
        <v>50</v>
      </c>
      <c r="J650" s="1" t="s">
        <v>50</v>
      </c>
      <c r="K650" s="1" t="s">
        <v>50</v>
      </c>
      <c r="L650" s="1"/>
      <c r="M650" s="1" t="s">
        <v>104</v>
      </c>
      <c r="N650" s="1" t="s">
        <v>50</v>
      </c>
      <c r="O650" s="1" t="s">
        <v>50</v>
      </c>
      <c r="P650" s="13" t="s">
        <v>807</v>
      </c>
      <c r="Q650" s="1" t="s">
        <v>104</v>
      </c>
      <c r="R650" s="1" t="s">
        <v>104</v>
      </c>
      <c r="S650" s="1" t="s">
        <v>104</v>
      </c>
      <c r="T650" s="1" t="s">
        <v>104</v>
      </c>
      <c r="U650" s="1" t="s">
        <v>104</v>
      </c>
      <c r="V650" s="1" t="s">
        <v>104</v>
      </c>
      <c r="W650" s="1" t="s">
        <v>104</v>
      </c>
      <c r="X650" s="1" t="s">
        <v>726</v>
      </c>
      <c r="Y650" s="1"/>
      <c r="Z650" s="8"/>
      <c r="AA650" s="8"/>
      <c r="AB650" s="8">
        <v>1</v>
      </c>
      <c r="AC650" s="8"/>
      <c r="AD650" s="8"/>
      <c r="AE650" s="8"/>
      <c r="AF650" s="8"/>
      <c r="AG650" s="8"/>
      <c r="AH650" s="8"/>
      <c r="AI650" s="8">
        <v>1</v>
      </c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>
        <v>1</v>
      </c>
      <c r="BA650" s="8"/>
      <c r="BB650" s="1"/>
      <c r="BJ650">
        <v>4</v>
      </c>
      <c r="BL650" s="58"/>
      <c r="BP650" t="str">
        <f t="shared" si="25"/>
        <v>WaterFighting</v>
      </c>
      <c r="BR650">
        <v>4</v>
      </c>
    </row>
    <row r="651" spans="1:70" x14ac:dyDescent="0.25">
      <c r="A651">
        <f t="shared" si="24"/>
        <v>603</v>
      </c>
      <c r="B651" t="s">
        <v>716</v>
      </c>
      <c r="D651" s="1" t="s">
        <v>11</v>
      </c>
      <c r="E651" s="1" t="s">
        <v>13</v>
      </c>
      <c r="F651" s="1" t="s">
        <v>50</v>
      </c>
      <c r="G651" s="1" t="s">
        <v>50</v>
      </c>
      <c r="H651" s="1"/>
      <c r="I651" s="1" t="s">
        <v>50</v>
      </c>
      <c r="J651" s="1" t="s">
        <v>50</v>
      </c>
      <c r="K651" s="1" t="s">
        <v>50</v>
      </c>
      <c r="L651" s="1" t="s">
        <v>104</v>
      </c>
      <c r="M651" s="1" t="s">
        <v>50</v>
      </c>
      <c r="N651" s="1" t="s">
        <v>50</v>
      </c>
      <c r="O651" s="1" t="s">
        <v>50</v>
      </c>
      <c r="P651" s="1" t="s">
        <v>1727</v>
      </c>
      <c r="Q651" s="1" t="s">
        <v>104</v>
      </c>
      <c r="R651" s="1" t="s">
        <v>104</v>
      </c>
      <c r="S651" s="1" t="s">
        <v>104</v>
      </c>
      <c r="T651" s="1" t="s">
        <v>104</v>
      </c>
      <c r="U651" s="1" t="s">
        <v>104</v>
      </c>
      <c r="V651" s="1" t="s">
        <v>104</v>
      </c>
      <c r="W651" s="1" t="s">
        <v>104</v>
      </c>
      <c r="X651" s="1" t="s">
        <v>2385</v>
      </c>
      <c r="Y651" s="1"/>
      <c r="Z651" s="8"/>
      <c r="AA651" s="8">
        <v>1</v>
      </c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1"/>
      <c r="BL651" s="58"/>
      <c r="BP651" t="str">
        <f t="shared" si="25"/>
        <v>GrassFire</v>
      </c>
      <c r="BQ651" t="s">
        <v>2</v>
      </c>
      <c r="BR651">
        <v>4</v>
      </c>
    </row>
    <row r="652" spans="1:70" x14ac:dyDescent="0.25">
      <c r="A652">
        <f t="shared" si="24"/>
        <v>604</v>
      </c>
      <c r="B652" t="s">
        <v>717</v>
      </c>
      <c r="D652" s="1" t="s">
        <v>11</v>
      </c>
      <c r="E652" s="1" t="s">
        <v>13</v>
      </c>
      <c r="F652" s="1" t="s">
        <v>50</v>
      </c>
      <c r="G652" s="1" t="s">
        <v>50</v>
      </c>
      <c r="H652" s="1" t="s">
        <v>50</v>
      </c>
      <c r="I652" s="1" t="s">
        <v>50</v>
      </c>
      <c r="J652" s="1" t="s">
        <v>50</v>
      </c>
      <c r="K652" s="1" t="s">
        <v>50</v>
      </c>
      <c r="L652" s="1" t="s">
        <v>104</v>
      </c>
      <c r="M652" s="1" t="s">
        <v>104</v>
      </c>
      <c r="N652" s="1" t="s">
        <v>50</v>
      </c>
      <c r="O652" s="1" t="s">
        <v>50</v>
      </c>
      <c r="P652" s="1" t="s">
        <v>1727</v>
      </c>
      <c r="Q652" s="1" t="s">
        <v>104</v>
      </c>
      <c r="R652" s="1" t="s">
        <v>104</v>
      </c>
      <c r="S652" s="1" t="s">
        <v>104</v>
      </c>
      <c r="T652" s="1" t="s">
        <v>104</v>
      </c>
      <c r="U652" s="1" t="s">
        <v>104</v>
      </c>
      <c r="V652" s="1" t="s">
        <v>104</v>
      </c>
      <c r="W652" s="1" t="s">
        <v>104</v>
      </c>
      <c r="X652" s="1" t="s">
        <v>2385</v>
      </c>
      <c r="Y652" s="1"/>
      <c r="Z652" s="8"/>
      <c r="AA652" s="8">
        <v>1</v>
      </c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1"/>
      <c r="BJ652">
        <v>3</v>
      </c>
      <c r="BK652">
        <v>1</v>
      </c>
      <c r="BL652" s="58">
        <v>1</v>
      </c>
      <c r="BP652" t="str">
        <f t="shared" si="25"/>
        <v>GrassFire</v>
      </c>
      <c r="BR652">
        <v>4</v>
      </c>
    </row>
    <row r="653" spans="1:70" x14ac:dyDescent="0.25">
      <c r="A653">
        <f t="shared" si="24"/>
        <v>605</v>
      </c>
      <c r="B653" t="s">
        <v>718</v>
      </c>
      <c r="D653" s="1" t="s">
        <v>1</v>
      </c>
      <c r="E653" s="1" t="s">
        <v>18</v>
      </c>
      <c r="F653" s="1" t="s">
        <v>50</v>
      </c>
      <c r="G653" s="1" t="s">
        <v>50</v>
      </c>
      <c r="H653" s="1"/>
      <c r="I653" s="1" t="s">
        <v>50</v>
      </c>
      <c r="J653" s="1" t="s">
        <v>50</v>
      </c>
      <c r="K653" s="1" t="s">
        <v>50</v>
      </c>
      <c r="L653" s="1" t="s">
        <v>50</v>
      </c>
      <c r="M653" s="1" t="s">
        <v>50</v>
      </c>
      <c r="N653" s="1" t="s">
        <v>50</v>
      </c>
      <c r="O653" s="1" t="s">
        <v>50</v>
      </c>
      <c r="P653" s="13" t="s">
        <v>1787</v>
      </c>
      <c r="Q653" s="1" t="s">
        <v>104</v>
      </c>
      <c r="R653" s="1" t="s">
        <v>104</v>
      </c>
      <c r="S653" s="1" t="s">
        <v>104</v>
      </c>
      <c r="T653" s="1" t="s">
        <v>104</v>
      </c>
      <c r="U653" s="1" t="s">
        <v>104</v>
      </c>
      <c r="V653" s="1" t="s">
        <v>104</v>
      </c>
      <c r="W653" s="1" t="s">
        <v>104</v>
      </c>
      <c r="X653" s="1" t="s">
        <v>726</v>
      </c>
      <c r="Y653" s="1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>
        <v>1</v>
      </c>
      <c r="AT653" s="8"/>
      <c r="AU653" s="8"/>
      <c r="AV653" s="8"/>
      <c r="AW653" s="8"/>
      <c r="AX653" s="8"/>
      <c r="AY653" s="8"/>
      <c r="AZ653" s="8"/>
      <c r="BA653" s="8"/>
      <c r="BB653" s="1"/>
      <c r="BL653" s="58"/>
      <c r="BP653" t="str">
        <f t="shared" si="25"/>
        <v>NormalFighting</v>
      </c>
      <c r="BQ653" t="s">
        <v>2</v>
      </c>
      <c r="BR653">
        <v>4</v>
      </c>
    </row>
    <row r="654" spans="1:70" x14ac:dyDescent="0.25">
      <c r="A654">
        <f t="shared" si="24"/>
        <v>606</v>
      </c>
      <c r="B654" t="s">
        <v>719</v>
      </c>
      <c r="D654" s="1" t="s">
        <v>4</v>
      </c>
      <c r="E654" s="1" t="s">
        <v>16</v>
      </c>
      <c r="F654" s="1" t="s">
        <v>50</v>
      </c>
      <c r="G654" s="1" t="s">
        <v>50</v>
      </c>
      <c r="H654" s="1" t="s">
        <v>50</v>
      </c>
      <c r="I654" s="1" t="s">
        <v>50</v>
      </c>
      <c r="J654" s="1" t="s">
        <v>50</v>
      </c>
      <c r="K654" s="1" t="s">
        <v>50</v>
      </c>
      <c r="L654" s="1" t="s">
        <v>104</v>
      </c>
      <c r="M654" s="1" t="s">
        <v>104</v>
      </c>
      <c r="N654" s="1" t="s">
        <v>50</v>
      </c>
      <c r="O654" s="1" t="s">
        <v>50</v>
      </c>
      <c r="P654" s="13" t="s">
        <v>1797</v>
      </c>
      <c r="Q654" s="1" t="s">
        <v>104</v>
      </c>
      <c r="R654" s="1" t="s">
        <v>104</v>
      </c>
      <c r="S654" s="1" t="s">
        <v>104</v>
      </c>
      <c r="T654" s="1" t="s">
        <v>104</v>
      </c>
      <c r="U654" s="1" t="s">
        <v>104</v>
      </c>
      <c r="V654" s="1" t="s">
        <v>104</v>
      </c>
      <c r="W654" s="1" t="s">
        <v>104</v>
      </c>
      <c r="X654" s="1" t="s">
        <v>2433</v>
      </c>
      <c r="Y654" s="1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>
        <v>1</v>
      </c>
      <c r="AT654" s="8"/>
      <c r="AU654" s="8"/>
      <c r="AV654" s="8"/>
      <c r="AW654" s="8"/>
      <c r="AX654" s="8"/>
      <c r="AY654" s="8"/>
      <c r="AZ654" s="8"/>
      <c r="BA654" s="8"/>
      <c r="BB654" s="1"/>
      <c r="BJ654">
        <v>2</v>
      </c>
      <c r="BK654">
        <v>1</v>
      </c>
      <c r="BL654" s="58"/>
      <c r="BP654" t="str">
        <f t="shared" si="25"/>
        <v>PsychicFlying</v>
      </c>
      <c r="BR654">
        <v>4</v>
      </c>
    </row>
    <row r="655" spans="1:70" x14ac:dyDescent="0.25">
      <c r="A655">
        <f t="shared" si="24"/>
        <v>607</v>
      </c>
      <c r="B655" t="s">
        <v>720</v>
      </c>
      <c r="D655" s="1" t="s">
        <v>13</v>
      </c>
      <c r="E655" s="1" t="s">
        <v>18</v>
      </c>
      <c r="F655" s="1" t="s">
        <v>50</v>
      </c>
      <c r="G655" s="1" t="s">
        <v>50</v>
      </c>
      <c r="H655" s="1" t="s">
        <v>50</v>
      </c>
      <c r="I655" s="1" t="s">
        <v>50</v>
      </c>
      <c r="J655" s="1" t="s">
        <v>50</v>
      </c>
      <c r="K655" s="1" t="s">
        <v>50</v>
      </c>
      <c r="L655" s="1" t="s">
        <v>104</v>
      </c>
      <c r="M655" s="1" t="s">
        <v>104</v>
      </c>
      <c r="N655" s="1" t="s">
        <v>50</v>
      </c>
      <c r="O655" s="1" t="s">
        <v>50</v>
      </c>
      <c r="P655" s="13" t="s">
        <v>810</v>
      </c>
      <c r="Q655" s="1" t="s">
        <v>104</v>
      </c>
      <c r="R655" s="1" t="s">
        <v>104</v>
      </c>
      <c r="S655" s="1" t="s">
        <v>104</v>
      </c>
      <c r="T655" s="1" t="s">
        <v>104</v>
      </c>
      <c r="U655" s="1" t="s">
        <v>104</v>
      </c>
      <c r="V655" s="1" t="s">
        <v>104</v>
      </c>
      <c r="W655" s="1" t="s">
        <v>104</v>
      </c>
      <c r="X655" s="1" t="s">
        <v>2433</v>
      </c>
      <c r="Y655" s="1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>
        <v>1</v>
      </c>
      <c r="AT655" s="8"/>
      <c r="AU655" s="8"/>
      <c r="AV655" s="8"/>
      <c r="AW655" s="8"/>
      <c r="AX655" s="8"/>
      <c r="AY655" s="8"/>
      <c r="AZ655" s="8"/>
      <c r="BA655" s="8"/>
      <c r="BB655" s="1"/>
      <c r="BJ655">
        <v>1</v>
      </c>
      <c r="BK655">
        <v>1</v>
      </c>
      <c r="BL655" s="58"/>
      <c r="BP655" t="str">
        <f t="shared" si="25"/>
        <v>FireFighting</v>
      </c>
      <c r="BR655">
        <v>4</v>
      </c>
    </row>
    <row r="656" spans="1:70" x14ac:dyDescent="0.25">
      <c r="A656">
        <f t="shared" si="24"/>
        <v>608</v>
      </c>
      <c r="B656" t="s">
        <v>721</v>
      </c>
      <c r="D656" s="1" t="s">
        <v>3</v>
      </c>
      <c r="E656" s="1" t="s">
        <v>0</v>
      </c>
      <c r="F656" s="1" t="s">
        <v>50</v>
      </c>
      <c r="G656" s="1" t="s">
        <v>50</v>
      </c>
      <c r="H656" s="1" t="s">
        <v>50</v>
      </c>
      <c r="I656" s="1" t="s">
        <v>50</v>
      </c>
      <c r="J656" s="1" t="s">
        <v>50</v>
      </c>
      <c r="K656" s="1" t="s">
        <v>50</v>
      </c>
      <c r="L656" s="1" t="s">
        <v>104</v>
      </c>
      <c r="M656" s="1" t="s">
        <v>104</v>
      </c>
      <c r="N656" s="1" t="s">
        <v>50</v>
      </c>
      <c r="O656" s="1" t="s">
        <v>50</v>
      </c>
      <c r="P656" s="1" t="s">
        <v>1722</v>
      </c>
      <c r="Q656" s="1" t="s">
        <v>104</v>
      </c>
      <c r="R656" s="1" t="s">
        <v>104</v>
      </c>
      <c r="S656" s="1" t="s">
        <v>104</v>
      </c>
      <c r="T656" s="1" t="s">
        <v>104</v>
      </c>
      <c r="U656" s="1" t="s">
        <v>104</v>
      </c>
      <c r="V656" s="1" t="s">
        <v>104</v>
      </c>
      <c r="W656" s="1" t="s">
        <v>104</v>
      </c>
      <c r="X656" s="1" t="s">
        <v>2433</v>
      </c>
      <c r="Y656" s="1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>
        <v>1</v>
      </c>
      <c r="AT656" s="8"/>
      <c r="AU656" s="8"/>
      <c r="AV656" s="8"/>
      <c r="AW656" s="8"/>
      <c r="AX656" s="8"/>
      <c r="AY656" s="8"/>
      <c r="AZ656" s="8"/>
      <c r="BA656" s="8"/>
      <c r="BB656" s="1"/>
      <c r="BL656" s="58"/>
      <c r="BP656" t="str">
        <f t="shared" si="25"/>
        <v>ElectricDark</v>
      </c>
      <c r="BR656">
        <v>4</v>
      </c>
    </row>
    <row r="657" spans="1:70" x14ac:dyDescent="0.25">
      <c r="A657">
        <f t="shared" si="24"/>
        <v>609</v>
      </c>
      <c r="B657" t="s">
        <v>722</v>
      </c>
      <c r="D657" s="1" t="s">
        <v>41</v>
      </c>
      <c r="E657" s="1" t="s">
        <v>1</v>
      </c>
      <c r="F657" s="1" t="s">
        <v>50</v>
      </c>
      <c r="G657" s="1" t="s">
        <v>50</v>
      </c>
      <c r="H657" s="1" t="s">
        <v>50</v>
      </c>
      <c r="I657" s="1" t="s">
        <v>50</v>
      </c>
      <c r="J657" s="1" t="s">
        <v>50</v>
      </c>
      <c r="K657" s="1" t="s">
        <v>50</v>
      </c>
      <c r="L657" s="1"/>
      <c r="M657" s="1" t="s">
        <v>50</v>
      </c>
      <c r="N657" s="1" t="s">
        <v>50</v>
      </c>
      <c r="O657" s="1" t="s">
        <v>50</v>
      </c>
      <c r="P657" s="13" t="s">
        <v>1716</v>
      </c>
      <c r="Q657" s="1" t="s">
        <v>104</v>
      </c>
      <c r="R657" s="1" t="s">
        <v>104</v>
      </c>
      <c r="S657" s="1" t="s">
        <v>104</v>
      </c>
      <c r="T657" s="1" t="s">
        <v>104</v>
      </c>
      <c r="U657" s="1" t="s">
        <v>104</v>
      </c>
      <c r="V657" s="1" t="s">
        <v>104</v>
      </c>
      <c r="W657" s="1" t="s">
        <v>104</v>
      </c>
      <c r="X657" s="1" t="s">
        <v>726</v>
      </c>
      <c r="Y657" s="1"/>
      <c r="Z657" s="8"/>
      <c r="AA657" s="8"/>
      <c r="AB657" s="8"/>
      <c r="AC657" s="8"/>
      <c r="AD657" s="8"/>
      <c r="AE657" s="8"/>
      <c r="AF657" s="8"/>
      <c r="AG657" s="8">
        <v>1</v>
      </c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>
        <v>1</v>
      </c>
      <c r="AT657" s="8"/>
      <c r="AU657" s="8"/>
      <c r="AV657" s="8"/>
      <c r="AW657" s="8"/>
      <c r="AX657" s="8"/>
      <c r="AY657" s="8"/>
      <c r="AZ657" s="8"/>
      <c r="BA657" s="8"/>
      <c r="BB657" s="1"/>
      <c r="BJ657">
        <v>1</v>
      </c>
      <c r="BL657" s="58"/>
      <c r="BP657" t="str">
        <f t="shared" si="25"/>
        <v>SoundNormal</v>
      </c>
      <c r="BR657">
        <v>4</v>
      </c>
    </row>
    <row r="658" spans="1:70" x14ac:dyDescent="0.25">
      <c r="A658">
        <f t="shared" si="24"/>
        <v>610</v>
      </c>
      <c r="B658" t="s">
        <v>723</v>
      </c>
      <c r="D658" s="1" t="s">
        <v>44</v>
      </c>
      <c r="E658" s="1" t="s">
        <v>0</v>
      </c>
      <c r="F658" s="1" t="s">
        <v>50</v>
      </c>
      <c r="G658" s="1" t="s">
        <v>50</v>
      </c>
      <c r="H658" s="1" t="s">
        <v>50</v>
      </c>
      <c r="I658" s="1" t="s">
        <v>50</v>
      </c>
      <c r="J658" s="1" t="s">
        <v>50</v>
      </c>
      <c r="K658" s="1" t="s">
        <v>50</v>
      </c>
      <c r="L658" s="1"/>
      <c r="M658" s="1" t="s">
        <v>50</v>
      </c>
      <c r="N658" s="1" t="s">
        <v>50</v>
      </c>
      <c r="O658" s="1" t="s">
        <v>50</v>
      </c>
      <c r="P658" s="1" t="s">
        <v>1723</v>
      </c>
      <c r="Q658" s="1" t="s">
        <v>104</v>
      </c>
      <c r="R658" s="1" t="s">
        <v>104</v>
      </c>
      <c r="S658" s="1" t="s">
        <v>104</v>
      </c>
      <c r="T658" s="1" t="s">
        <v>104</v>
      </c>
      <c r="U658" s="1" t="s">
        <v>104</v>
      </c>
      <c r="V658" s="1" t="s">
        <v>104</v>
      </c>
      <c r="W658" s="1" t="s">
        <v>104</v>
      </c>
      <c r="X658" s="1" t="s">
        <v>726</v>
      </c>
      <c r="Y658" s="1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>
        <v>1</v>
      </c>
      <c r="AT658" s="8"/>
      <c r="AU658" s="8"/>
      <c r="AV658" s="8"/>
      <c r="AW658" s="8"/>
      <c r="AX658" s="8"/>
      <c r="AY658" s="8"/>
      <c r="AZ658" s="8"/>
      <c r="BA658" s="8"/>
      <c r="BB658" s="1"/>
      <c r="BJ658">
        <v>5</v>
      </c>
      <c r="BK658">
        <v>3</v>
      </c>
      <c r="BL658" s="58"/>
      <c r="BP658" t="str">
        <f t="shared" si="25"/>
        <v>LightDark</v>
      </c>
      <c r="BQ658" t="s">
        <v>2</v>
      </c>
      <c r="BR658">
        <v>4</v>
      </c>
    </row>
    <row r="659" spans="1:70" x14ac:dyDescent="0.25">
      <c r="A659">
        <f t="shared" si="24"/>
        <v>611</v>
      </c>
      <c r="B659" t="s">
        <v>724</v>
      </c>
      <c r="D659" s="1" t="s">
        <v>44</v>
      </c>
      <c r="E659" s="1" t="s">
        <v>6</v>
      </c>
      <c r="F659" s="1" t="s">
        <v>50</v>
      </c>
      <c r="G659" s="1" t="s">
        <v>50</v>
      </c>
      <c r="H659" s="1" t="s">
        <v>50</v>
      </c>
      <c r="I659" s="1" t="s">
        <v>50</v>
      </c>
      <c r="J659" s="1" t="s">
        <v>50</v>
      </c>
      <c r="K659" s="1" t="s">
        <v>50</v>
      </c>
      <c r="L659" s="1"/>
      <c r="M659" s="1" t="s">
        <v>104</v>
      </c>
      <c r="N659" s="1" t="s">
        <v>50</v>
      </c>
      <c r="O659" s="1" t="s">
        <v>50</v>
      </c>
      <c r="P659" s="1" t="s">
        <v>1723</v>
      </c>
      <c r="Q659" s="1" t="s">
        <v>50</v>
      </c>
      <c r="R659" s="1" t="s">
        <v>50</v>
      </c>
      <c r="S659" s="1" t="s">
        <v>50</v>
      </c>
      <c r="T659" s="1" t="s">
        <v>50</v>
      </c>
      <c r="U659" s="1" t="s">
        <v>50</v>
      </c>
      <c r="V659" s="1" t="s">
        <v>50</v>
      </c>
      <c r="W659" s="1" t="s">
        <v>50</v>
      </c>
      <c r="X659" s="1" t="s">
        <v>726</v>
      </c>
      <c r="Y659" s="1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>
        <v>1</v>
      </c>
      <c r="AT659" s="8"/>
      <c r="AU659" s="8"/>
      <c r="AV659" s="8"/>
      <c r="AW659" s="8"/>
      <c r="AX659" s="8"/>
      <c r="AY659" s="8"/>
      <c r="AZ659" s="8"/>
      <c r="BA659" s="8"/>
      <c r="BB659" s="1"/>
      <c r="BJ659">
        <v>8</v>
      </c>
      <c r="BK659">
        <v>1</v>
      </c>
      <c r="BL659" s="58">
        <v>1</v>
      </c>
      <c r="BP659" t="str">
        <f t="shared" si="25"/>
        <v>LightSteel</v>
      </c>
      <c r="BR659">
        <v>4</v>
      </c>
    </row>
    <row r="660" spans="1:70" x14ac:dyDescent="0.25">
      <c r="A660">
        <f t="shared" si="24"/>
        <v>612</v>
      </c>
      <c r="B660" t="s">
        <v>753</v>
      </c>
      <c r="D660" s="1" t="s">
        <v>3</v>
      </c>
      <c r="E660" s="1" t="s">
        <v>9</v>
      </c>
      <c r="F660" s="1" t="s">
        <v>50</v>
      </c>
      <c r="G660" s="1" t="s">
        <v>50</v>
      </c>
      <c r="H660" s="1" t="s">
        <v>50</v>
      </c>
      <c r="I660" s="1" t="s">
        <v>50</v>
      </c>
      <c r="J660" s="1" t="s">
        <v>50</v>
      </c>
      <c r="K660" s="1" t="s">
        <v>50</v>
      </c>
      <c r="L660" s="1"/>
      <c r="M660" s="1" t="s">
        <v>50</v>
      </c>
      <c r="N660" s="1" t="s">
        <v>50</v>
      </c>
      <c r="O660" s="1" t="s">
        <v>50</v>
      </c>
      <c r="P660" s="1" t="s">
        <v>1794</v>
      </c>
      <c r="Q660" s="1" t="s">
        <v>104</v>
      </c>
      <c r="R660" s="1" t="s">
        <v>104</v>
      </c>
      <c r="S660" s="1" t="s">
        <v>104</v>
      </c>
      <c r="T660" s="1" t="s">
        <v>104</v>
      </c>
      <c r="U660" s="1" t="s">
        <v>104</v>
      </c>
      <c r="V660" s="1" t="s">
        <v>104</v>
      </c>
      <c r="W660" s="1" t="s">
        <v>104</v>
      </c>
      <c r="X660" s="1" t="s">
        <v>2456</v>
      </c>
      <c r="Y660" s="1"/>
      <c r="Z660" s="8"/>
      <c r="AA660" s="8"/>
      <c r="AB660" s="8"/>
      <c r="AC660" s="8"/>
      <c r="AD660" s="8">
        <v>1</v>
      </c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>
        <v>1</v>
      </c>
      <c r="AZ660" s="8"/>
      <c r="BA660" s="8"/>
      <c r="BB660" s="1"/>
      <c r="BJ660">
        <v>2</v>
      </c>
      <c r="BL660" s="58"/>
      <c r="BP660" t="str">
        <f t="shared" si="25"/>
        <v>ElectricRock</v>
      </c>
      <c r="BR660">
        <v>4</v>
      </c>
    </row>
    <row r="661" spans="1:70" x14ac:dyDescent="0.25">
      <c r="A661">
        <f t="shared" si="24"/>
        <v>613</v>
      </c>
      <c r="B661" t="s">
        <v>754</v>
      </c>
      <c r="D661" s="1" t="s">
        <v>9</v>
      </c>
      <c r="E661" s="1" t="s">
        <v>8</v>
      </c>
      <c r="F661" s="1" t="s">
        <v>50</v>
      </c>
      <c r="G661" s="1" t="s">
        <v>50</v>
      </c>
      <c r="H661" s="1"/>
      <c r="I661" s="1" t="s">
        <v>50</v>
      </c>
      <c r="J661" s="1" t="s">
        <v>50</v>
      </c>
      <c r="K661" s="1" t="s">
        <v>50</v>
      </c>
      <c r="L661" s="1" t="s">
        <v>50</v>
      </c>
      <c r="M661" s="1" t="s">
        <v>50</v>
      </c>
      <c r="N661" s="1" t="s">
        <v>50</v>
      </c>
      <c r="O661" s="1" t="s">
        <v>50</v>
      </c>
      <c r="P661" s="13" t="s">
        <v>821</v>
      </c>
      <c r="Q661" s="1" t="s">
        <v>104</v>
      </c>
      <c r="R661" s="1" t="s">
        <v>104</v>
      </c>
      <c r="S661" s="1" t="s">
        <v>104</v>
      </c>
      <c r="T661" s="1" t="s">
        <v>104</v>
      </c>
      <c r="U661" s="1" t="s">
        <v>104</v>
      </c>
      <c r="V661" s="1" t="s">
        <v>104</v>
      </c>
      <c r="W661" s="1" t="s">
        <v>104</v>
      </c>
      <c r="X661" s="1" t="s">
        <v>727</v>
      </c>
      <c r="Y661" s="1"/>
      <c r="Z661" s="8"/>
      <c r="AA661" s="8"/>
      <c r="AB661" s="8"/>
      <c r="AC661" s="8"/>
      <c r="AD661" s="8">
        <v>1</v>
      </c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>
        <v>1</v>
      </c>
      <c r="AZ661" s="8"/>
      <c r="BA661" s="8"/>
      <c r="BB661" s="1"/>
      <c r="BL661" s="58"/>
      <c r="BP661" t="str">
        <f t="shared" si="25"/>
        <v>RockGround</v>
      </c>
      <c r="BQ661" t="s">
        <v>2</v>
      </c>
      <c r="BR661">
        <v>4</v>
      </c>
    </row>
    <row r="662" spans="1:70" x14ac:dyDescent="0.25">
      <c r="A662">
        <f t="shared" si="24"/>
        <v>614</v>
      </c>
      <c r="B662" t="s">
        <v>755</v>
      </c>
      <c r="D662" s="1" t="s">
        <v>9</v>
      </c>
      <c r="E662" s="1" t="s">
        <v>8</v>
      </c>
      <c r="F662" s="1" t="s">
        <v>50</v>
      </c>
      <c r="G662" s="1" t="s">
        <v>50</v>
      </c>
      <c r="H662" s="1"/>
      <c r="I662" s="1" t="s">
        <v>50</v>
      </c>
      <c r="J662" s="1" t="s">
        <v>50</v>
      </c>
      <c r="K662" s="1" t="s">
        <v>50</v>
      </c>
      <c r="L662" s="1" t="s">
        <v>50</v>
      </c>
      <c r="M662" s="1" t="s">
        <v>104</v>
      </c>
      <c r="N662" s="1" t="s">
        <v>50</v>
      </c>
      <c r="O662" s="1" t="s">
        <v>50</v>
      </c>
      <c r="P662" s="13" t="s">
        <v>821</v>
      </c>
      <c r="Q662" s="1" t="s">
        <v>104</v>
      </c>
      <c r="R662" s="1" t="s">
        <v>104</v>
      </c>
      <c r="S662" s="1" t="s">
        <v>104</v>
      </c>
      <c r="T662" s="1" t="s">
        <v>104</v>
      </c>
      <c r="U662" s="1" t="s">
        <v>104</v>
      </c>
      <c r="V662" s="1" t="s">
        <v>104</v>
      </c>
      <c r="W662" s="1" t="s">
        <v>104</v>
      </c>
      <c r="X662" s="1" t="s">
        <v>727</v>
      </c>
      <c r="Y662" s="1"/>
      <c r="Z662" s="8"/>
      <c r="AA662" s="8"/>
      <c r="AB662" s="8"/>
      <c r="AC662" s="8"/>
      <c r="AD662" s="8">
        <v>1</v>
      </c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>
        <v>1</v>
      </c>
      <c r="AZ662" s="8"/>
      <c r="BA662" s="8"/>
      <c r="BB662" s="1"/>
      <c r="BL662" s="58"/>
      <c r="BP662" t="str">
        <f t="shared" si="25"/>
        <v>RockGround</v>
      </c>
      <c r="BQ662" t="s">
        <v>2</v>
      </c>
      <c r="BR662">
        <v>4</v>
      </c>
    </row>
    <row r="663" spans="1:70" x14ac:dyDescent="0.25">
      <c r="A663">
        <f t="shared" si="24"/>
        <v>615</v>
      </c>
      <c r="B663" t="s">
        <v>756</v>
      </c>
      <c r="D663" s="1" t="s">
        <v>9</v>
      </c>
      <c r="E663" s="1" t="s">
        <v>8</v>
      </c>
      <c r="F663" s="1" t="s">
        <v>50</v>
      </c>
      <c r="G663" s="1" t="s">
        <v>50</v>
      </c>
      <c r="H663" s="1" t="s">
        <v>50</v>
      </c>
      <c r="I663" s="1" t="s">
        <v>50</v>
      </c>
      <c r="J663" s="1" t="s">
        <v>50</v>
      </c>
      <c r="K663" s="1" t="s">
        <v>50</v>
      </c>
      <c r="L663" s="1" t="s">
        <v>50</v>
      </c>
      <c r="M663" s="1" t="s">
        <v>104</v>
      </c>
      <c r="N663" s="1" t="s">
        <v>50</v>
      </c>
      <c r="O663" s="1" t="s">
        <v>50</v>
      </c>
      <c r="P663" s="13" t="s">
        <v>821</v>
      </c>
      <c r="Q663" s="1" t="s">
        <v>50</v>
      </c>
      <c r="R663" s="1" t="s">
        <v>50</v>
      </c>
      <c r="S663" s="1" t="s">
        <v>50</v>
      </c>
      <c r="T663" s="1" t="s">
        <v>50</v>
      </c>
      <c r="U663" s="1" t="s">
        <v>50</v>
      </c>
      <c r="V663" s="1" t="s">
        <v>50</v>
      </c>
      <c r="W663" s="1" t="s">
        <v>50</v>
      </c>
      <c r="X663" s="1" t="s">
        <v>727</v>
      </c>
      <c r="Y663" s="1"/>
      <c r="Z663" s="8"/>
      <c r="AA663" s="8"/>
      <c r="AB663" s="8"/>
      <c r="AC663" s="8"/>
      <c r="AD663" s="8">
        <v>1</v>
      </c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>
        <v>1</v>
      </c>
      <c r="AZ663" s="8"/>
      <c r="BA663" s="8"/>
      <c r="BB663" s="1"/>
      <c r="BJ663">
        <v>4</v>
      </c>
      <c r="BL663" s="58">
        <v>1</v>
      </c>
      <c r="BP663" t="str">
        <f t="shared" si="25"/>
        <v>RockGround</v>
      </c>
      <c r="BR663">
        <v>4</v>
      </c>
    </row>
    <row r="664" spans="1:70" x14ac:dyDescent="0.25">
      <c r="A664">
        <f t="shared" si="24"/>
        <v>616</v>
      </c>
      <c r="B664" t="s">
        <v>757</v>
      </c>
      <c r="D664" s="1" t="s">
        <v>4</v>
      </c>
      <c r="E664" s="1">
        <v>0</v>
      </c>
      <c r="F664" s="1" t="s">
        <v>50</v>
      </c>
      <c r="G664" s="1" t="s">
        <v>50</v>
      </c>
      <c r="H664" s="1"/>
      <c r="I664" s="1" t="s">
        <v>50</v>
      </c>
      <c r="J664" s="1" t="s">
        <v>50</v>
      </c>
      <c r="K664" s="1" t="s">
        <v>50</v>
      </c>
      <c r="L664" s="1"/>
      <c r="M664" s="1" t="s">
        <v>50</v>
      </c>
      <c r="N664" s="1" t="s">
        <v>50</v>
      </c>
      <c r="O664" s="1" t="s">
        <v>50</v>
      </c>
      <c r="P664" s="13" t="s">
        <v>807</v>
      </c>
      <c r="Q664" s="1" t="s">
        <v>104</v>
      </c>
      <c r="R664" s="1" t="s">
        <v>104</v>
      </c>
      <c r="S664" s="1" t="s">
        <v>104</v>
      </c>
      <c r="T664" s="1" t="s">
        <v>104</v>
      </c>
      <c r="U664" s="1" t="s">
        <v>104</v>
      </c>
      <c r="V664" s="1" t="s">
        <v>104</v>
      </c>
      <c r="W664" s="1" t="s">
        <v>104</v>
      </c>
      <c r="X664" s="1" t="s">
        <v>726</v>
      </c>
      <c r="Y664" s="1"/>
      <c r="Z664" s="8"/>
      <c r="AA664" s="8">
        <v>1</v>
      </c>
      <c r="AB664" s="8"/>
      <c r="AC664" s="8">
        <v>1</v>
      </c>
      <c r="AD664" s="8"/>
      <c r="AE664" s="8"/>
      <c r="AF664" s="8">
        <v>1</v>
      </c>
      <c r="AG664" s="8">
        <v>1</v>
      </c>
      <c r="AH664" s="8">
        <v>1</v>
      </c>
      <c r="AI664" s="8"/>
      <c r="AJ664" s="8"/>
      <c r="AK664" s="8"/>
      <c r="AL664" s="8"/>
      <c r="AM664" s="8"/>
      <c r="AN664" s="8"/>
      <c r="AO664" s="8">
        <v>1</v>
      </c>
      <c r="AP664" s="8"/>
      <c r="AQ664" s="8"/>
      <c r="AR664" s="8">
        <v>1</v>
      </c>
      <c r="AS664" s="8"/>
      <c r="AT664" s="8"/>
      <c r="AU664" s="8">
        <v>1</v>
      </c>
      <c r="AV664" s="8"/>
      <c r="AW664" s="8"/>
      <c r="AX664" s="8"/>
      <c r="AY664" s="8">
        <v>1</v>
      </c>
      <c r="AZ664" s="8"/>
      <c r="BA664" s="8"/>
      <c r="BB664" s="1"/>
      <c r="BL664" s="58"/>
      <c r="BP664" t="str">
        <f t="shared" si="25"/>
        <v>Psychic0</v>
      </c>
      <c r="BQ664" t="s">
        <v>2</v>
      </c>
      <c r="BR664">
        <v>4</v>
      </c>
    </row>
    <row r="665" spans="1:70" x14ac:dyDescent="0.25">
      <c r="A665">
        <f t="shared" si="24"/>
        <v>617</v>
      </c>
      <c r="B665" t="s">
        <v>758</v>
      </c>
      <c r="D665" s="1" t="s">
        <v>4</v>
      </c>
      <c r="E665" s="1" t="s">
        <v>0</v>
      </c>
      <c r="F665" s="1" t="s">
        <v>50</v>
      </c>
      <c r="G665" s="1" t="s">
        <v>50</v>
      </c>
      <c r="H665" s="1" t="s">
        <v>50</v>
      </c>
      <c r="I665" s="1" t="s">
        <v>50</v>
      </c>
      <c r="J665" s="1" t="s">
        <v>50</v>
      </c>
      <c r="K665" s="1" t="s">
        <v>50</v>
      </c>
      <c r="L665" s="1"/>
      <c r="M665" s="1" t="s">
        <v>104</v>
      </c>
      <c r="N665" s="1" t="s">
        <v>50</v>
      </c>
      <c r="O665" s="1" t="s">
        <v>50</v>
      </c>
      <c r="P665" s="13" t="s">
        <v>833</v>
      </c>
      <c r="Q665" s="1" t="s">
        <v>104</v>
      </c>
      <c r="R665" s="1" t="s">
        <v>104</v>
      </c>
      <c r="S665" s="1" t="s">
        <v>104</v>
      </c>
      <c r="T665" s="1" t="s">
        <v>104</v>
      </c>
      <c r="U665" s="1" t="s">
        <v>104</v>
      </c>
      <c r="V665" s="1" t="s">
        <v>104</v>
      </c>
      <c r="W665" s="1" t="s">
        <v>104</v>
      </c>
      <c r="X665" s="1" t="s">
        <v>726</v>
      </c>
      <c r="Y665" s="1"/>
      <c r="Z665" s="8"/>
      <c r="AA665" s="8">
        <v>1</v>
      </c>
      <c r="AB665" s="8"/>
      <c r="AC665" s="8">
        <v>1</v>
      </c>
      <c r="AD665" s="8"/>
      <c r="AE665" s="8"/>
      <c r="AF665" s="8">
        <v>1</v>
      </c>
      <c r="AG665" s="8"/>
      <c r="AH665" s="8">
        <v>1</v>
      </c>
      <c r="AI665" s="8"/>
      <c r="AJ665" s="8"/>
      <c r="AK665" s="8"/>
      <c r="AL665" s="8"/>
      <c r="AM665" s="8"/>
      <c r="AN665" s="8"/>
      <c r="AO665" s="8">
        <v>1</v>
      </c>
      <c r="AP665" s="8"/>
      <c r="AQ665" s="8"/>
      <c r="AR665" s="8">
        <v>1</v>
      </c>
      <c r="AS665" s="8"/>
      <c r="AT665" s="8"/>
      <c r="AU665" s="8">
        <v>1</v>
      </c>
      <c r="AV665" s="8"/>
      <c r="AW665" s="8"/>
      <c r="AX665" s="8"/>
      <c r="AY665" s="8">
        <v>1</v>
      </c>
      <c r="AZ665" s="8"/>
      <c r="BA665" s="8"/>
      <c r="BB665" s="1"/>
      <c r="BJ665">
        <v>15</v>
      </c>
      <c r="BK665">
        <v>4</v>
      </c>
      <c r="BL665" s="58">
        <v>1</v>
      </c>
      <c r="BP665" t="str">
        <f t="shared" si="25"/>
        <v>PsychicDark</v>
      </c>
      <c r="BR665">
        <v>4</v>
      </c>
    </row>
    <row r="666" spans="1:70" x14ac:dyDescent="0.25">
      <c r="A666">
        <f t="shared" si="24"/>
        <v>618</v>
      </c>
      <c r="B666" t="s">
        <v>759</v>
      </c>
      <c r="D666" s="1" t="s">
        <v>5</v>
      </c>
      <c r="E666" s="1">
        <v>0</v>
      </c>
      <c r="F666" s="1" t="s">
        <v>50</v>
      </c>
      <c r="G666" s="1" t="s">
        <v>50</v>
      </c>
      <c r="H666" s="1"/>
      <c r="I666" s="1" t="s">
        <v>50</v>
      </c>
      <c r="J666" s="1" t="s">
        <v>50</v>
      </c>
      <c r="K666" s="1" t="s">
        <v>50</v>
      </c>
      <c r="L666" s="1"/>
      <c r="M666" s="1" t="s">
        <v>50</v>
      </c>
      <c r="N666" s="1" t="s">
        <v>50</v>
      </c>
      <c r="O666" s="1" t="s">
        <v>50</v>
      </c>
      <c r="P666" s="1" t="s">
        <v>810</v>
      </c>
      <c r="Q666" s="1" t="s">
        <v>104</v>
      </c>
      <c r="R666" s="1" t="s">
        <v>104</v>
      </c>
      <c r="S666" s="1" t="s">
        <v>104</v>
      </c>
      <c r="T666" s="1" t="s">
        <v>104</v>
      </c>
      <c r="U666" s="1" t="s">
        <v>104</v>
      </c>
      <c r="V666" s="1" t="s">
        <v>104</v>
      </c>
      <c r="W666" s="1" t="s">
        <v>104</v>
      </c>
      <c r="X666" s="1" t="s">
        <v>726</v>
      </c>
      <c r="Y666" s="1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>
        <v>1</v>
      </c>
      <c r="AP666" s="8">
        <v>1</v>
      </c>
      <c r="AQ666" s="8"/>
      <c r="AR666" s="8">
        <v>1</v>
      </c>
      <c r="AS666" s="8"/>
      <c r="AT666" s="8"/>
      <c r="AU666" s="8"/>
      <c r="AV666" s="8"/>
      <c r="AW666" s="8"/>
      <c r="AX666" s="8"/>
      <c r="AY666" s="8"/>
      <c r="AZ666" s="8"/>
      <c r="BA666" s="8"/>
      <c r="BB666" s="1"/>
      <c r="BL666" s="58"/>
      <c r="BP666" t="str">
        <f t="shared" si="25"/>
        <v>Ice0</v>
      </c>
      <c r="BQ666" t="s">
        <v>2</v>
      </c>
      <c r="BR666">
        <v>4</v>
      </c>
    </row>
    <row r="667" spans="1:70" x14ac:dyDescent="0.25">
      <c r="A667">
        <f t="shared" si="24"/>
        <v>619</v>
      </c>
      <c r="B667" t="s">
        <v>760</v>
      </c>
      <c r="D667" s="1" t="s">
        <v>5</v>
      </c>
      <c r="E667" s="1" t="s">
        <v>12</v>
      </c>
      <c r="F667" s="1" t="s">
        <v>50</v>
      </c>
      <c r="G667" s="1" t="s">
        <v>50</v>
      </c>
      <c r="H667" s="1"/>
      <c r="I667" s="1" t="s">
        <v>50</v>
      </c>
      <c r="J667" s="1" t="s">
        <v>50</v>
      </c>
      <c r="K667" s="1" t="s">
        <v>50</v>
      </c>
      <c r="L667" s="1"/>
      <c r="M667" s="1" t="s">
        <v>104</v>
      </c>
      <c r="N667" s="1" t="s">
        <v>50</v>
      </c>
      <c r="O667" s="1" t="s">
        <v>50</v>
      </c>
      <c r="P667" s="1" t="s">
        <v>810</v>
      </c>
      <c r="Q667" s="1" t="s">
        <v>104</v>
      </c>
      <c r="R667" s="1" t="s">
        <v>104</v>
      </c>
      <c r="S667" s="1" t="s">
        <v>104</v>
      </c>
      <c r="T667" s="1" t="s">
        <v>104</v>
      </c>
      <c r="U667" s="1" t="s">
        <v>104</v>
      </c>
      <c r="V667" s="1" t="s">
        <v>104</v>
      </c>
      <c r="W667" s="1" t="s">
        <v>104</v>
      </c>
      <c r="X667" s="1" t="s">
        <v>726</v>
      </c>
      <c r="Y667" s="1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>
        <v>1</v>
      </c>
      <c r="AP667" s="8">
        <v>1</v>
      </c>
      <c r="AQ667" s="8"/>
      <c r="AR667" s="8">
        <v>1</v>
      </c>
      <c r="AS667" s="8"/>
      <c r="AT667" s="8"/>
      <c r="AU667" s="8"/>
      <c r="AV667" s="8"/>
      <c r="AW667" s="8"/>
      <c r="AX667" s="8"/>
      <c r="AY667" s="8"/>
      <c r="AZ667" s="8"/>
      <c r="BA667" s="8"/>
      <c r="BB667" s="1"/>
      <c r="BL667" s="58"/>
      <c r="BP667" t="str">
        <f t="shared" si="25"/>
        <v>IceDragon</v>
      </c>
      <c r="BQ667" t="s">
        <v>2</v>
      </c>
      <c r="BR667">
        <v>4</v>
      </c>
    </row>
    <row r="668" spans="1:70" x14ac:dyDescent="0.25">
      <c r="A668">
        <f t="shared" si="24"/>
        <v>620</v>
      </c>
      <c r="B668" t="s">
        <v>761</v>
      </c>
      <c r="D668" s="1" t="s">
        <v>5</v>
      </c>
      <c r="E668" s="1" t="s">
        <v>12</v>
      </c>
      <c r="F668" s="1" t="s">
        <v>50</v>
      </c>
      <c r="G668" s="1" t="s">
        <v>50</v>
      </c>
      <c r="H668" s="1" t="s">
        <v>50</v>
      </c>
      <c r="I668" s="1" t="s">
        <v>50</v>
      </c>
      <c r="J668" s="1" t="s">
        <v>50</v>
      </c>
      <c r="K668" s="1" t="s">
        <v>50</v>
      </c>
      <c r="L668" s="1"/>
      <c r="M668" s="1" t="s">
        <v>104</v>
      </c>
      <c r="N668" s="1" t="s">
        <v>50</v>
      </c>
      <c r="O668" s="1" t="s">
        <v>50</v>
      </c>
      <c r="P668" s="1" t="s">
        <v>810</v>
      </c>
      <c r="Q668" s="1" t="s">
        <v>104</v>
      </c>
      <c r="R668" s="1" t="s">
        <v>104</v>
      </c>
      <c r="S668" s="1" t="s">
        <v>104</v>
      </c>
      <c r="T668" s="1" t="s">
        <v>104</v>
      </c>
      <c r="U668" s="1" t="s">
        <v>104</v>
      </c>
      <c r="V668" s="1" t="s">
        <v>104</v>
      </c>
      <c r="W668" s="1" t="s">
        <v>104</v>
      </c>
      <c r="X668" s="1" t="s">
        <v>726</v>
      </c>
      <c r="Y668" s="1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>
        <v>1</v>
      </c>
      <c r="AP668" s="8">
        <v>1</v>
      </c>
      <c r="AQ668" s="8"/>
      <c r="AR668" s="8">
        <v>1</v>
      </c>
      <c r="AS668" s="8"/>
      <c r="AT668" s="8"/>
      <c r="AU668" s="8"/>
      <c r="AV668" s="8"/>
      <c r="AW668" s="8"/>
      <c r="AX668" s="8"/>
      <c r="AY668" s="8"/>
      <c r="AZ668" s="8"/>
      <c r="BA668" s="8"/>
      <c r="BB668" s="1"/>
      <c r="BJ668">
        <v>6</v>
      </c>
      <c r="BL668" s="58">
        <v>1</v>
      </c>
      <c r="BP668" t="str">
        <f t="shared" si="25"/>
        <v>IceDragon</v>
      </c>
      <c r="BR668">
        <v>4</v>
      </c>
    </row>
    <row r="669" spans="1:70" x14ac:dyDescent="0.25">
      <c r="A669">
        <f t="shared" si="24"/>
        <v>621</v>
      </c>
      <c r="B669" t="s">
        <v>762</v>
      </c>
      <c r="D669" s="1" t="s">
        <v>17</v>
      </c>
      <c r="E669" s="1" t="s">
        <v>42</v>
      </c>
      <c r="F669" s="1" t="s">
        <v>50</v>
      </c>
      <c r="G669" s="1" t="s">
        <v>50</v>
      </c>
      <c r="H669" s="1" t="s">
        <v>50</v>
      </c>
      <c r="I669" s="1" t="s">
        <v>50</v>
      </c>
      <c r="J669" s="1" t="s">
        <v>50</v>
      </c>
      <c r="K669" s="1" t="s">
        <v>50</v>
      </c>
      <c r="L669" s="1" t="s">
        <v>104</v>
      </c>
      <c r="M669" s="1" t="s">
        <v>50</v>
      </c>
      <c r="N669" s="1" t="s">
        <v>50</v>
      </c>
      <c r="O669" s="1" t="s">
        <v>50</v>
      </c>
      <c r="P669" s="1" t="s">
        <v>2063</v>
      </c>
      <c r="Q669" s="1" t="s">
        <v>104</v>
      </c>
      <c r="R669" s="1" t="s">
        <v>104</v>
      </c>
      <c r="S669" s="1" t="s">
        <v>104</v>
      </c>
      <c r="T669" s="1" t="s">
        <v>104</v>
      </c>
      <c r="U669" s="1" t="s">
        <v>104</v>
      </c>
      <c r="V669" s="1" t="s">
        <v>104</v>
      </c>
      <c r="W669" s="1" t="s">
        <v>104</v>
      </c>
      <c r="X669" s="1" t="s">
        <v>1846</v>
      </c>
      <c r="Y669" s="1"/>
      <c r="Z669" s="8"/>
      <c r="AA669" s="8"/>
      <c r="AB669" s="8"/>
      <c r="AC669" s="8">
        <v>1</v>
      </c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>
        <v>1</v>
      </c>
      <c r="AT669" s="8">
        <v>1</v>
      </c>
      <c r="AU669" s="8">
        <v>1</v>
      </c>
      <c r="AV669" s="8"/>
      <c r="AW669" s="8"/>
      <c r="AX669" s="8"/>
      <c r="AY669" s="8"/>
      <c r="AZ669" s="8"/>
      <c r="BA669" s="8"/>
      <c r="BB669" s="1"/>
      <c r="BJ669">
        <v>4</v>
      </c>
      <c r="BL669" s="58"/>
      <c r="BP669" t="str">
        <f t="shared" si="25"/>
        <v>BugCosmic</v>
      </c>
      <c r="BR669">
        <v>4</v>
      </c>
    </row>
    <row r="670" spans="1:70" x14ac:dyDescent="0.25">
      <c r="A670">
        <f t="shared" si="24"/>
        <v>622</v>
      </c>
      <c r="B670" t="s">
        <v>763</v>
      </c>
      <c r="D670" s="1" t="s">
        <v>14</v>
      </c>
      <c r="E670" s="1" t="s">
        <v>9</v>
      </c>
      <c r="F670" s="1" t="s">
        <v>50</v>
      </c>
      <c r="G670" s="1" t="s">
        <v>50</v>
      </c>
      <c r="H670" s="1"/>
      <c r="I670" s="1" t="s">
        <v>50</v>
      </c>
      <c r="J670" s="1" t="s">
        <v>50</v>
      </c>
      <c r="K670" s="1" t="s">
        <v>50</v>
      </c>
      <c r="L670" s="1"/>
      <c r="M670" s="1" t="s">
        <v>50</v>
      </c>
      <c r="N670" s="1" t="s">
        <v>50</v>
      </c>
      <c r="O670" s="1" t="s">
        <v>50</v>
      </c>
      <c r="P670" s="1" t="s">
        <v>1791</v>
      </c>
      <c r="Q670" s="1" t="s">
        <v>104</v>
      </c>
      <c r="R670" s="1" t="s">
        <v>104</v>
      </c>
      <c r="S670" s="1" t="s">
        <v>104</v>
      </c>
      <c r="T670" s="1" t="s">
        <v>104</v>
      </c>
      <c r="U670" s="1" t="s">
        <v>104</v>
      </c>
      <c r="V670" s="1" t="s">
        <v>104</v>
      </c>
      <c r="W670" s="1" t="s">
        <v>104</v>
      </c>
      <c r="X670" s="1" t="s">
        <v>727</v>
      </c>
      <c r="Y670" s="1"/>
      <c r="Z670" s="8"/>
      <c r="AA670" s="8"/>
      <c r="AB670" s="8"/>
      <c r="AC670" s="8"/>
      <c r="AD670" s="8">
        <v>1</v>
      </c>
      <c r="AE670" s="8">
        <v>1</v>
      </c>
      <c r="AF670" s="8">
        <v>1</v>
      </c>
      <c r="AG670" s="8"/>
      <c r="AH670" s="8">
        <v>1</v>
      </c>
      <c r="AI670" s="8"/>
      <c r="AJ670" s="8"/>
      <c r="AK670" s="8"/>
      <c r="AL670" s="8"/>
      <c r="AM670" s="8">
        <v>1</v>
      </c>
      <c r="AN670" s="8"/>
      <c r="AO670" s="8"/>
      <c r="AP670" s="8">
        <v>1</v>
      </c>
      <c r="AQ670" s="8">
        <v>1</v>
      </c>
      <c r="AR670" s="8">
        <v>1</v>
      </c>
      <c r="AS670" s="8"/>
      <c r="AT670" s="8"/>
      <c r="AU670" s="8"/>
      <c r="AV670" s="8"/>
      <c r="AW670" s="8"/>
      <c r="AX670" s="8">
        <v>1</v>
      </c>
      <c r="AY670" s="8">
        <v>1</v>
      </c>
      <c r="AZ670" s="8"/>
      <c r="BA670" s="8"/>
      <c r="BB670" s="1"/>
      <c r="BL670" s="58"/>
      <c r="BP670" t="str">
        <f t="shared" si="25"/>
        <v>GhostRock</v>
      </c>
      <c r="BQ670" t="s">
        <v>2</v>
      </c>
      <c r="BR670">
        <v>1</v>
      </c>
    </row>
    <row r="671" spans="1:70" x14ac:dyDescent="0.25">
      <c r="A671">
        <f t="shared" si="24"/>
        <v>623</v>
      </c>
      <c r="B671" t="s">
        <v>764</v>
      </c>
      <c r="D671" s="1" t="s">
        <v>14</v>
      </c>
      <c r="E671" s="1" t="s">
        <v>9</v>
      </c>
      <c r="F671" s="1" t="s">
        <v>50</v>
      </c>
      <c r="G671" s="1" t="s">
        <v>50</v>
      </c>
      <c r="H671" s="1"/>
      <c r="I671" s="1" t="s">
        <v>50</v>
      </c>
      <c r="J671" s="1" t="s">
        <v>50</v>
      </c>
      <c r="K671" s="1" t="s">
        <v>50</v>
      </c>
      <c r="L671" s="1"/>
      <c r="M671" s="1" t="s">
        <v>104</v>
      </c>
      <c r="N671" s="1" t="s">
        <v>50</v>
      </c>
      <c r="O671" s="1" t="s">
        <v>50</v>
      </c>
      <c r="P671" s="1" t="s">
        <v>1791</v>
      </c>
      <c r="Q671" s="1" t="s">
        <v>104</v>
      </c>
      <c r="R671" s="1" t="s">
        <v>104</v>
      </c>
      <c r="S671" s="1" t="s">
        <v>104</v>
      </c>
      <c r="T671" s="1" t="s">
        <v>104</v>
      </c>
      <c r="U671" s="1" t="s">
        <v>104</v>
      </c>
      <c r="V671" s="1" t="s">
        <v>104</v>
      </c>
      <c r="W671" s="1" t="s">
        <v>104</v>
      </c>
      <c r="X671" s="1" t="s">
        <v>727</v>
      </c>
      <c r="Y671" s="1"/>
      <c r="Z671" s="8"/>
      <c r="AA671" s="8"/>
      <c r="AB671" s="8"/>
      <c r="AC671" s="8"/>
      <c r="AD671" s="8">
        <v>1</v>
      </c>
      <c r="AE671" s="8">
        <v>1</v>
      </c>
      <c r="AF671" s="8">
        <v>1</v>
      </c>
      <c r="AG671" s="8"/>
      <c r="AH671" s="8">
        <v>1</v>
      </c>
      <c r="AI671" s="8"/>
      <c r="AJ671" s="8"/>
      <c r="AK671" s="8"/>
      <c r="AL671" s="8"/>
      <c r="AM671" s="8">
        <v>1</v>
      </c>
      <c r="AN671" s="8"/>
      <c r="AO671" s="8"/>
      <c r="AP671" s="8">
        <v>1</v>
      </c>
      <c r="AQ671" s="8">
        <v>1</v>
      </c>
      <c r="AR671" s="8">
        <v>1</v>
      </c>
      <c r="AS671" s="8"/>
      <c r="AT671" s="8"/>
      <c r="AU671" s="8"/>
      <c r="AV671" s="8"/>
      <c r="AW671" s="8"/>
      <c r="AX671" s="8">
        <v>1</v>
      </c>
      <c r="AY671" s="8">
        <v>1</v>
      </c>
      <c r="AZ671" s="8"/>
      <c r="BA671" s="8"/>
      <c r="BB671" s="1"/>
      <c r="BJ671">
        <v>1</v>
      </c>
      <c r="BL671" s="58"/>
      <c r="BP671" t="str">
        <f t="shared" si="25"/>
        <v>GhostRock</v>
      </c>
      <c r="BQ671" t="s">
        <v>2</v>
      </c>
      <c r="BR671">
        <v>1</v>
      </c>
    </row>
    <row r="672" spans="1:70" x14ac:dyDescent="0.25">
      <c r="A672">
        <f t="shared" si="24"/>
        <v>624</v>
      </c>
      <c r="B672" t="s">
        <v>765</v>
      </c>
      <c r="D672" s="1" t="s">
        <v>14</v>
      </c>
      <c r="E672" s="1" t="s">
        <v>9</v>
      </c>
      <c r="F672" s="1" t="s">
        <v>50</v>
      </c>
      <c r="G672" s="1" t="s">
        <v>50</v>
      </c>
      <c r="H672" s="1" t="s">
        <v>50</v>
      </c>
      <c r="I672" s="1" t="s">
        <v>50</v>
      </c>
      <c r="J672" s="1" t="s">
        <v>50</v>
      </c>
      <c r="K672" s="1" t="s">
        <v>50</v>
      </c>
      <c r="L672" s="1"/>
      <c r="M672" s="1" t="s">
        <v>104</v>
      </c>
      <c r="N672" s="1" t="s">
        <v>50</v>
      </c>
      <c r="O672" s="1" t="s">
        <v>50</v>
      </c>
      <c r="P672" s="1" t="s">
        <v>1791</v>
      </c>
      <c r="Q672" s="1" t="s">
        <v>104</v>
      </c>
      <c r="R672" s="1" t="s">
        <v>104</v>
      </c>
      <c r="S672" s="1" t="s">
        <v>104</v>
      </c>
      <c r="T672" s="1" t="s">
        <v>104</v>
      </c>
      <c r="U672" s="1" t="s">
        <v>104</v>
      </c>
      <c r="V672" s="1" t="s">
        <v>104</v>
      </c>
      <c r="W672" s="1" t="s">
        <v>104</v>
      </c>
      <c r="X672" s="1" t="s">
        <v>727</v>
      </c>
      <c r="Y672" s="1"/>
      <c r="Z672" s="8"/>
      <c r="AA672" s="8"/>
      <c r="AB672" s="8"/>
      <c r="AC672" s="8"/>
      <c r="AD672" s="8">
        <v>1</v>
      </c>
      <c r="AE672" s="8">
        <v>1</v>
      </c>
      <c r="AF672" s="8">
        <v>1</v>
      </c>
      <c r="AG672" s="8"/>
      <c r="AH672" s="8">
        <v>1</v>
      </c>
      <c r="AI672" s="8"/>
      <c r="AJ672" s="8"/>
      <c r="AK672" s="8"/>
      <c r="AL672" s="8"/>
      <c r="AM672" s="8">
        <v>1</v>
      </c>
      <c r="AN672" s="8"/>
      <c r="AO672" s="8"/>
      <c r="AP672" s="8">
        <v>1</v>
      </c>
      <c r="AQ672" s="8">
        <v>1</v>
      </c>
      <c r="AR672" s="8">
        <v>1</v>
      </c>
      <c r="AS672" s="8"/>
      <c r="AT672" s="8"/>
      <c r="AU672" s="8"/>
      <c r="AV672" s="8"/>
      <c r="AW672" s="8"/>
      <c r="AX672" s="8">
        <v>1</v>
      </c>
      <c r="AY672" s="8">
        <v>1</v>
      </c>
      <c r="AZ672" s="8"/>
      <c r="BA672" s="8"/>
      <c r="BB672" s="1"/>
      <c r="BJ672">
        <v>4</v>
      </c>
      <c r="BK672">
        <v>1</v>
      </c>
      <c r="BL672" s="58"/>
      <c r="BP672" t="str">
        <f t="shared" si="25"/>
        <v>GhostRock</v>
      </c>
      <c r="BR672">
        <v>5</v>
      </c>
    </row>
    <row r="673" spans="1:70" x14ac:dyDescent="0.25">
      <c r="A673">
        <f t="shared" si="24"/>
        <v>625</v>
      </c>
      <c r="B673" t="s">
        <v>766</v>
      </c>
      <c r="D673" s="1" t="s">
        <v>9</v>
      </c>
      <c r="E673" s="1" t="s">
        <v>3</v>
      </c>
      <c r="F673" s="1" t="s">
        <v>50</v>
      </c>
      <c r="G673" s="1" t="s">
        <v>50</v>
      </c>
      <c r="H673" s="1"/>
      <c r="I673" s="1" t="s">
        <v>50</v>
      </c>
      <c r="J673" s="1" t="s">
        <v>50</v>
      </c>
      <c r="K673" s="1" t="s">
        <v>50</v>
      </c>
      <c r="L673" s="1" t="s">
        <v>50</v>
      </c>
      <c r="M673" s="1" t="s">
        <v>50</v>
      </c>
      <c r="N673" s="1" t="s">
        <v>50</v>
      </c>
      <c r="O673" s="1" t="s">
        <v>50</v>
      </c>
      <c r="P673" s="13" t="s">
        <v>824</v>
      </c>
      <c r="Q673" s="1" t="s">
        <v>104</v>
      </c>
      <c r="R673" s="1" t="s">
        <v>104</v>
      </c>
      <c r="S673" s="1" t="s">
        <v>104</v>
      </c>
      <c r="T673" s="1" t="s">
        <v>104</v>
      </c>
      <c r="U673" s="1" t="s">
        <v>104</v>
      </c>
      <c r="V673" s="1" t="s">
        <v>104</v>
      </c>
      <c r="W673" s="1" t="s">
        <v>104</v>
      </c>
      <c r="X673" s="1" t="s">
        <v>727</v>
      </c>
      <c r="Y673" s="1"/>
      <c r="Z673" s="8"/>
      <c r="AA673" s="8"/>
      <c r="AB673" s="8"/>
      <c r="AC673" s="8">
        <v>1</v>
      </c>
      <c r="AD673" s="8">
        <v>1</v>
      </c>
      <c r="AE673" s="8"/>
      <c r="AF673" s="8"/>
      <c r="AG673" s="8"/>
      <c r="AH673" s="8">
        <v>1</v>
      </c>
      <c r="AI673" s="8"/>
      <c r="AJ673" s="8"/>
      <c r="AK673" s="8"/>
      <c r="AL673" s="8"/>
      <c r="AM673" s="8"/>
      <c r="AN673" s="8"/>
      <c r="AO673" s="8">
        <v>1</v>
      </c>
      <c r="AP673" s="8"/>
      <c r="AQ673" s="8"/>
      <c r="AR673" s="8">
        <v>1</v>
      </c>
      <c r="AS673" s="8"/>
      <c r="AT673" s="8"/>
      <c r="AU673" s="8"/>
      <c r="AV673" s="8">
        <v>1</v>
      </c>
      <c r="AW673" s="8"/>
      <c r="AX673" s="8">
        <v>1</v>
      </c>
      <c r="AY673" s="8">
        <v>1</v>
      </c>
      <c r="AZ673" s="8"/>
      <c r="BA673" s="8"/>
      <c r="BB673" s="1"/>
      <c r="BL673" s="58"/>
      <c r="BP673" t="str">
        <f t="shared" si="25"/>
        <v>RockElectric</v>
      </c>
      <c r="BQ673" t="s">
        <v>2</v>
      </c>
      <c r="BR673">
        <v>5</v>
      </c>
    </row>
    <row r="674" spans="1:70" x14ac:dyDescent="0.25">
      <c r="A674">
        <f t="shared" si="24"/>
        <v>626</v>
      </c>
      <c r="B674" t="s">
        <v>767</v>
      </c>
      <c r="D674" s="1" t="s">
        <v>9</v>
      </c>
      <c r="E674" s="1" t="s">
        <v>3</v>
      </c>
      <c r="F674" s="1" t="s">
        <v>50</v>
      </c>
      <c r="G674" s="1" t="s">
        <v>50</v>
      </c>
      <c r="H674" s="1"/>
      <c r="I674" s="1" t="s">
        <v>50</v>
      </c>
      <c r="J674" s="1" t="s">
        <v>50</v>
      </c>
      <c r="K674" s="1" t="s">
        <v>50</v>
      </c>
      <c r="L674" s="1"/>
      <c r="M674" s="1" t="s">
        <v>104</v>
      </c>
      <c r="N674" s="1" t="s">
        <v>50</v>
      </c>
      <c r="O674" s="1" t="s">
        <v>50</v>
      </c>
      <c r="P674" s="13" t="s">
        <v>824</v>
      </c>
      <c r="Q674" s="1" t="s">
        <v>104</v>
      </c>
      <c r="R674" s="1" t="s">
        <v>104</v>
      </c>
      <c r="S674" s="1" t="s">
        <v>104</v>
      </c>
      <c r="T674" s="1" t="s">
        <v>104</v>
      </c>
      <c r="U674" s="1" t="s">
        <v>104</v>
      </c>
      <c r="V674" s="1" t="s">
        <v>104</v>
      </c>
      <c r="W674" s="1" t="s">
        <v>104</v>
      </c>
      <c r="X674" s="1" t="s">
        <v>727</v>
      </c>
      <c r="Y674" s="1"/>
      <c r="Z674" s="8"/>
      <c r="AA674" s="8"/>
      <c r="AB674" s="8"/>
      <c r="AC674" s="8">
        <v>1</v>
      </c>
      <c r="AD674" s="8">
        <v>1</v>
      </c>
      <c r="AE674" s="8"/>
      <c r="AF674" s="8"/>
      <c r="AG674" s="8"/>
      <c r="AH674" s="8">
        <v>1</v>
      </c>
      <c r="AI674" s="8"/>
      <c r="AJ674" s="8"/>
      <c r="AK674" s="8"/>
      <c r="AL674" s="8"/>
      <c r="AM674" s="8"/>
      <c r="AN674" s="8"/>
      <c r="AO674" s="8">
        <v>1</v>
      </c>
      <c r="AP674" s="8"/>
      <c r="AQ674" s="8"/>
      <c r="AR674" s="8">
        <v>1</v>
      </c>
      <c r="AS674" s="8"/>
      <c r="AT674" s="8"/>
      <c r="AU674" s="8"/>
      <c r="AV674" s="8">
        <v>1</v>
      </c>
      <c r="AW674" s="8"/>
      <c r="AX674" s="8">
        <v>1</v>
      </c>
      <c r="AY674" s="8">
        <v>1</v>
      </c>
      <c r="AZ674" s="8"/>
      <c r="BA674" s="8"/>
      <c r="BB674" s="1"/>
      <c r="BL674" s="58"/>
      <c r="BP674" t="str">
        <f t="shared" si="25"/>
        <v>RockElectric</v>
      </c>
      <c r="BQ674" t="s">
        <v>2</v>
      </c>
      <c r="BR674">
        <v>5</v>
      </c>
    </row>
    <row r="675" spans="1:70" x14ac:dyDescent="0.25">
      <c r="A675">
        <f t="shared" si="24"/>
        <v>627</v>
      </c>
      <c r="B675" t="s">
        <v>768</v>
      </c>
      <c r="D675" s="1" t="s">
        <v>9</v>
      </c>
      <c r="E675" s="1" t="s">
        <v>3</v>
      </c>
      <c r="F675" s="1" t="s">
        <v>50</v>
      </c>
      <c r="G675" s="1" t="s">
        <v>50</v>
      </c>
      <c r="H675" s="1" t="s">
        <v>50</v>
      </c>
      <c r="I675" s="1" t="s">
        <v>50</v>
      </c>
      <c r="J675" s="1" t="s">
        <v>50</v>
      </c>
      <c r="K675" s="1" t="s">
        <v>50</v>
      </c>
      <c r="L675" s="1"/>
      <c r="M675" s="1" t="s">
        <v>104</v>
      </c>
      <c r="N675" s="1" t="s">
        <v>50</v>
      </c>
      <c r="O675" s="1" t="s">
        <v>50</v>
      </c>
      <c r="P675" s="13" t="s">
        <v>824</v>
      </c>
      <c r="Q675" s="1" t="s">
        <v>50</v>
      </c>
      <c r="R675" s="1" t="s">
        <v>50</v>
      </c>
      <c r="S675" s="1" t="s">
        <v>50</v>
      </c>
      <c r="T675" s="1" t="s">
        <v>50</v>
      </c>
      <c r="U675" s="1" t="s">
        <v>50</v>
      </c>
      <c r="V675" s="1" t="s">
        <v>50</v>
      </c>
      <c r="W675" s="1" t="s">
        <v>50</v>
      </c>
      <c r="X675" s="1" t="s">
        <v>727</v>
      </c>
      <c r="Y675" s="1"/>
      <c r="Z675" s="8"/>
      <c r="AA675" s="8"/>
      <c r="AB675" s="8"/>
      <c r="AC675" s="8">
        <v>1</v>
      </c>
      <c r="AD675" s="8">
        <v>1</v>
      </c>
      <c r="AE675" s="8"/>
      <c r="AF675" s="8"/>
      <c r="AG675" s="8"/>
      <c r="AH675" s="8">
        <v>1</v>
      </c>
      <c r="AI675" s="8"/>
      <c r="AJ675" s="8"/>
      <c r="AK675" s="8"/>
      <c r="AL675" s="8"/>
      <c r="AM675" s="8"/>
      <c r="AN675" s="8"/>
      <c r="AO675" s="8">
        <v>1</v>
      </c>
      <c r="AP675" s="8"/>
      <c r="AQ675" s="8"/>
      <c r="AR675" s="8">
        <v>1</v>
      </c>
      <c r="AS675" s="8"/>
      <c r="AT675" s="8"/>
      <c r="AU675" s="8"/>
      <c r="AV675" s="8">
        <v>1</v>
      </c>
      <c r="AW675" s="8"/>
      <c r="AX675" s="8">
        <v>1</v>
      </c>
      <c r="AY675" s="8">
        <v>1</v>
      </c>
      <c r="AZ675" s="8"/>
      <c r="BA675" s="8"/>
      <c r="BB675" s="1"/>
      <c r="BJ675">
        <v>4</v>
      </c>
      <c r="BK675">
        <v>2</v>
      </c>
      <c r="BL675" s="58"/>
      <c r="BP675" t="str">
        <f t="shared" si="25"/>
        <v>RockElectric</v>
      </c>
      <c r="BR675">
        <v>5</v>
      </c>
    </row>
    <row r="676" spans="1:70" x14ac:dyDescent="0.25">
      <c r="A676">
        <f t="shared" si="24"/>
        <v>628</v>
      </c>
      <c r="B676" t="s">
        <v>769</v>
      </c>
      <c r="D676" s="1" t="s">
        <v>13</v>
      </c>
      <c r="E676" s="1" t="s">
        <v>9</v>
      </c>
      <c r="F676" s="1" t="s">
        <v>50</v>
      </c>
      <c r="G676" s="1" t="s">
        <v>50</v>
      </c>
      <c r="H676" s="1"/>
      <c r="I676" s="1" t="s">
        <v>50</v>
      </c>
      <c r="J676" s="1" t="s">
        <v>50</v>
      </c>
      <c r="K676" s="1" t="s">
        <v>50</v>
      </c>
      <c r="L676" s="1"/>
      <c r="M676" s="1" t="s">
        <v>50</v>
      </c>
      <c r="N676" s="1" t="s">
        <v>50</v>
      </c>
      <c r="O676" s="1" t="s">
        <v>50</v>
      </c>
      <c r="P676" s="1" t="s">
        <v>1746</v>
      </c>
      <c r="Q676" s="1" t="s">
        <v>104</v>
      </c>
      <c r="R676" s="1" t="s">
        <v>104</v>
      </c>
      <c r="S676" s="1" t="s">
        <v>104</v>
      </c>
      <c r="T676" s="1" t="s">
        <v>104</v>
      </c>
      <c r="U676" s="1" t="s">
        <v>104</v>
      </c>
      <c r="V676" s="1" t="s">
        <v>104</v>
      </c>
      <c r="W676" s="1" t="s">
        <v>104</v>
      </c>
      <c r="X676" s="1" t="s">
        <v>727</v>
      </c>
      <c r="Y676" s="1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>
        <v>1</v>
      </c>
      <c r="AW676" s="8">
        <v>1</v>
      </c>
      <c r="AX676" s="8"/>
      <c r="AY676" s="8">
        <v>1</v>
      </c>
      <c r="AZ676" s="8"/>
      <c r="BA676" s="8"/>
      <c r="BB676" s="1"/>
      <c r="BL676" s="58"/>
      <c r="BP676" t="str">
        <f t="shared" si="25"/>
        <v>FireRock</v>
      </c>
      <c r="BQ676" t="s">
        <v>2</v>
      </c>
      <c r="BR676">
        <v>5</v>
      </c>
    </row>
    <row r="677" spans="1:70" x14ac:dyDescent="0.25">
      <c r="A677">
        <f t="shared" si="24"/>
        <v>629</v>
      </c>
      <c r="B677" t="s">
        <v>770</v>
      </c>
      <c r="D677" s="1" t="s">
        <v>13</v>
      </c>
      <c r="E677" s="1" t="s">
        <v>9</v>
      </c>
      <c r="F677" s="1" t="s">
        <v>50</v>
      </c>
      <c r="G677" s="1" t="s">
        <v>50</v>
      </c>
      <c r="H677" s="1"/>
      <c r="I677" s="1" t="s">
        <v>50</v>
      </c>
      <c r="J677" s="1" t="s">
        <v>50</v>
      </c>
      <c r="K677" s="1" t="s">
        <v>50</v>
      </c>
      <c r="L677" s="1"/>
      <c r="M677" s="1" t="s">
        <v>104</v>
      </c>
      <c r="N677" s="1" t="s">
        <v>50</v>
      </c>
      <c r="O677" s="1" t="s">
        <v>50</v>
      </c>
      <c r="P677" s="1" t="s">
        <v>1746</v>
      </c>
      <c r="Q677" s="1" t="s">
        <v>104</v>
      </c>
      <c r="R677" s="1" t="s">
        <v>104</v>
      </c>
      <c r="S677" s="1" t="s">
        <v>104</v>
      </c>
      <c r="T677" s="1" t="s">
        <v>104</v>
      </c>
      <c r="U677" s="1" t="s">
        <v>104</v>
      </c>
      <c r="V677" s="1" t="s">
        <v>104</v>
      </c>
      <c r="W677" s="1" t="s">
        <v>104</v>
      </c>
      <c r="X677" s="1" t="s">
        <v>727</v>
      </c>
      <c r="Y677" s="1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>
        <v>1</v>
      </c>
      <c r="AW677" s="8">
        <v>1</v>
      </c>
      <c r="AX677" s="8"/>
      <c r="AY677" s="8">
        <v>1</v>
      </c>
      <c r="AZ677" s="8"/>
      <c r="BA677" s="8"/>
      <c r="BB677" s="1"/>
      <c r="BL677" s="58"/>
      <c r="BP677" t="str">
        <f t="shared" si="25"/>
        <v>FireRock</v>
      </c>
      <c r="BQ677" t="s">
        <v>2</v>
      </c>
      <c r="BR677">
        <v>5</v>
      </c>
    </row>
    <row r="678" spans="1:70" x14ac:dyDescent="0.25">
      <c r="A678">
        <f t="shared" si="24"/>
        <v>630</v>
      </c>
      <c r="B678" t="s">
        <v>771</v>
      </c>
      <c r="D678" s="1" t="s">
        <v>13</v>
      </c>
      <c r="E678" s="1" t="s">
        <v>9</v>
      </c>
      <c r="F678" s="1" t="s">
        <v>50</v>
      </c>
      <c r="G678" s="1" t="s">
        <v>50</v>
      </c>
      <c r="H678" s="1" t="s">
        <v>50</v>
      </c>
      <c r="I678" s="1" t="s">
        <v>50</v>
      </c>
      <c r="J678" s="1" t="s">
        <v>50</v>
      </c>
      <c r="K678" s="1" t="s">
        <v>50</v>
      </c>
      <c r="L678" s="1"/>
      <c r="M678" s="1" t="s">
        <v>104</v>
      </c>
      <c r="N678" s="1" t="s">
        <v>50</v>
      </c>
      <c r="O678" s="1" t="s">
        <v>50</v>
      </c>
      <c r="P678" s="1" t="s">
        <v>1746</v>
      </c>
      <c r="Q678" s="1" t="s">
        <v>104</v>
      </c>
      <c r="R678" s="1" t="s">
        <v>104</v>
      </c>
      <c r="S678" s="1" t="s">
        <v>104</v>
      </c>
      <c r="T678" s="1" t="s">
        <v>104</v>
      </c>
      <c r="U678" s="1" t="s">
        <v>104</v>
      </c>
      <c r="V678" s="1" t="s">
        <v>104</v>
      </c>
      <c r="W678" s="1" t="s">
        <v>104</v>
      </c>
      <c r="X678" s="1" t="s">
        <v>727</v>
      </c>
      <c r="Y678" s="1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>
        <v>1</v>
      </c>
      <c r="AW678" s="8">
        <v>1</v>
      </c>
      <c r="AX678" s="8"/>
      <c r="AY678" s="8">
        <v>1</v>
      </c>
      <c r="AZ678" s="8"/>
      <c r="BA678" s="8"/>
      <c r="BB678" s="1"/>
      <c r="BJ678">
        <v>2</v>
      </c>
      <c r="BK678">
        <v>3</v>
      </c>
      <c r="BL678" s="58"/>
      <c r="BP678" t="str">
        <f t="shared" si="25"/>
        <v>FireRock</v>
      </c>
      <c r="BR678">
        <v>5</v>
      </c>
    </row>
    <row r="679" spans="1:70" x14ac:dyDescent="0.25">
      <c r="A679">
        <f t="shared" si="24"/>
        <v>631</v>
      </c>
      <c r="B679" t="s">
        <v>772</v>
      </c>
      <c r="D679" s="1" t="s">
        <v>44</v>
      </c>
      <c r="E679" s="1" t="s">
        <v>12</v>
      </c>
      <c r="F679" s="1" t="s">
        <v>50</v>
      </c>
      <c r="G679" s="1" t="s">
        <v>50</v>
      </c>
      <c r="H679" s="1"/>
      <c r="I679" s="1" t="s">
        <v>50</v>
      </c>
      <c r="J679" s="1" t="s">
        <v>50</v>
      </c>
      <c r="K679" s="1" t="s">
        <v>50</v>
      </c>
      <c r="L679" s="1"/>
      <c r="M679" s="1" t="s">
        <v>50</v>
      </c>
      <c r="N679" s="1" t="s">
        <v>50</v>
      </c>
      <c r="O679" s="1" t="s">
        <v>50</v>
      </c>
      <c r="P679" s="1" t="s">
        <v>2070</v>
      </c>
      <c r="Q679" s="1" t="s">
        <v>104</v>
      </c>
      <c r="R679" s="1" t="s">
        <v>104</v>
      </c>
      <c r="S679" s="1" t="s">
        <v>104</v>
      </c>
      <c r="T679" s="1" t="s">
        <v>104</v>
      </c>
      <c r="U679" s="1" t="s">
        <v>104</v>
      </c>
      <c r="V679" s="1" t="s">
        <v>104</v>
      </c>
      <c r="W679" s="1" t="s">
        <v>104</v>
      </c>
      <c r="X679" s="1" t="s">
        <v>2067</v>
      </c>
      <c r="Y679" s="1"/>
      <c r="Z679" s="8">
        <v>1</v>
      </c>
      <c r="AA679" s="8">
        <v>1</v>
      </c>
      <c r="AB679" s="8"/>
      <c r="AC679" s="8"/>
      <c r="AD679" s="8"/>
      <c r="AE679" s="8"/>
      <c r="AF679" s="8"/>
      <c r="AG679" s="8"/>
      <c r="AH679" s="8"/>
      <c r="AI679" s="8"/>
      <c r="AJ679" s="8"/>
      <c r="AK679" s="8">
        <v>1</v>
      </c>
      <c r="AL679" s="8"/>
      <c r="AM679" s="8"/>
      <c r="AN679" s="8">
        <v>1</v>
      </c>
      <c r="AO679" s="8"/>
      <c r="AP679" s="8"/>
      <c r="AQ679" s="8">
        <v>1</v>
      </c>
      <c r="AR679" s="8"/>
      <c r="AS679" s="8"/>
      <c r="AT679" s="8"/>
      <c r="AU679" s="8"/>
      <c r="AV679" s="8"/>
      <c r="AW679" s="8"/>
      <c r="AX679" s="8">
        <v>1</v>
      </c>
      <c r="AY679" s="8"/>
      <c r="AZ679" s="8"/>
      <c r="BA679" s="8"/>
      <c r="BB679" s="1"/>
      <c r="BL679" s="58"/>
      <c r="BP679" t="str">
        <f t="shared" si="25"/>
        <v>LightDragon</v>
      </c>
      <c r="BQ679" t="s">
        <v>2</v>
      </c>
      <c r="BR679">
        <v>1</v>
      </c>
    </row>
    <row r="680" spans="1:70" x14ac:dyDescent="0.25">
      <c r="A680">
        <f t="shared" si="24"/>
        <v>632</v>
      </c>
      <c r="B680" t="s">
        <v>773</v>
      </c>
      <c r="D680" s="1" t="s">
        <v>44</v>
      </c>
      <c r="E680" s="1" t="s">
        <v>12</v>
      </c>
      <c r="F680" s="1" t="s">
        <v>50</v>
      </c>
      <c r="G680" s="1" t="s">
        <v>50</v>
      </c>
      <c r="H680" s="1"/>
      <c r="I680" s="1" t="s">
        <v>50</v>
      </c>
      <c r="J680" s="1" t="s">
        <v>50</v>
      </c>
      <c r="K680" s="1" t="s">
        <v>50</v>
      </c>
      <c r="L680" s="1"/>
      <c r="M680" s="1" t="s">
        <v>104</v>
      </c>
      <c r="N680" s="1" t="s">
        <v>50</v>
      </c>
      <c r="O680" s="1" t="s">
        <v>50</v>
      </c>
      <c r="P680" s="1" t="s">
        <v>2070</v>
      </c>
      <c r="Q680" s="1" t="s">
        <v>104</v>
      </c>
      <c r="R680" s="1" t="s">
        <v>104</v>
      </c>
      <c r="S680" s="1" t="s">
        <v>104</v>
      </c>
      <c r="T680" s="1" t="s">
        <v>104</v>
      </c>
      <c r="U680" s="1" t="s">
        <v>104</v>
      </c>
      <c r="V680" s="1" t="s">
        <v>104</v>
      </c>
      <c r="W680" s="1" t="s">
        <v>104</v>
      </c>
      <c r="X680" s="1" t="s">
        <v>2067</v>
      </c>
      <c r="Y680" s="1"/>
      <c r="Z680" s="8">
        <v>1</v>
      </c>
      <c r="AA680" s="8">
        <v>1</v>
      </c>
      <c r="AB680" s="8"/>
      <c r="AC680" s="8"/>
      <c r="AD680" s="8"/>
      <c r="AE680" s="8"/>
      <c r="AF680" s="8"/>
      <c r="AG680" s="8"/>
      <c r="AH680" s="8"/>
      <c r="AI680" s="8"/>
      <c r="AJ680" s="8"/>
      <c r="AK680" s="8">
        <v>1</v>
      </c>
      <c r="AL680" s="8"/>
      <c r="AM680" s="8"/>
      <c r="AN680" s="8">
        <v>1</v>
      </c>
      <c r="AO680" s="8"/>
      <c r="AP680" s="8"/>
      <c r="AQ680" s="8">
        <v>1</v>
      </c>
      <c r="AR680" s="8"/>
      <c r="AS680" s="8"/>
      <c r="AT680" s="8"/>
      <c r="AU680" s="8"/>
      <c r="AV680" s="8"/>
      <c r="AW680" s="8"/>
      <c r="AX680" s="8">
        <v>1</v>
      </c>
      <c r="AY680" s="8"/>
      <c r="AZ680" s="8"/>
      <c r="BA680" s="8"/>
      <c r="BB680" s="1"/>
      <c r="BL680" s="58"/>
      <c r="BP680" t="str">
        <f t="shared" si="25"/>
        <v>LightDragon</v>
      </c>
      <c r="BQ680" t="s">
        <v>2</v>
      </c>
      <c r="BR680">
        <v>1</v>
      </c>
    </row>
    <row r="681" spans="1:70" x14ac:dyDescent="0.25">
      <c r="A681">
        <f t="shared" ref="A681:A744" si="26">A680+1</f>
        <v>633</v>
      </c>
      <c r="B681" t="s">
        <v>774</v>
      </c>
      <c r="D681" s="1" t="s">
        <v>44</v>
      </c>
      <c r="E681" s="1" t="s">
        <v>12</v>
      </c>
      <c r="F681" s="1" t="s">
        <v>50</v>
      </c>
      <c r="G681" s="1" t="s">
        <v>50</v>
      </c>
      <c r="H681" s="1" t="s">
        <v>50</v>
      </c>
      <c r="I681" s="1" t="s">
        <v>50</v>
      </c>
      <c r="J681" s="1" t="s">
        <v>50</v>
      </c>
      <c r="K681" s="1" t="s">
        <v>50</v>
      </c>
      <c r="L681" s="1" t="s">
        <v>104</v>
      </c>
      <c r="M681" s="1" t="s">
        <v>104</v>
      </c>
      <c r="N681" s="1" t="s">
        <v>50</v>
      </c>
      <c r="O681" s="1" t="s">
        <v>50</v>
      </c>
      <c r="P681" s="1" t="s">
        <v>2070</v>
      </c>
      <c r="Q681" s="1" t="s">
        <v>50</v>
      </c>
      <c r="R681" s="1" t="s">
        <v>50</v>
      </c>
      <c r="S681" s="1" t="s">
        <v>50</v>
      </c>
      <c r="T681" s="1" t="s">
        <v>50</v>
      </c>
      <c r="U681" s="1" t="s">
        <v>50</v>
      </c>
      <c r="V681" s="1" t="s">
        <v>50</v>
      </c>
      <c r="W681" s="1" t="s">
        <v>50</v>
      </c>
      <c r="X681" s="1" t="s">
        <v>2068</v>
      </c>
      <c r="Y681" s="1"/>
      <c r="Z681" s="8">
        <v>1</v>
      </c>
      <c r="AA681" s="8">
        <v>1</v>
      </c>
      <c r="AB681" s="8"/>
      <c r="AC681" s="8"/>
      <c r="AD681" s="8"/>
      <c r="AE681" s="8"/>
      <c r="AF681" s="8"/>
      <c r="AG681" s="8"/>
      <c r="AH681" s="8"/>
      <c r="AI681" s="8"/>
      <c r="AJ681" s="8"/>
      <c r="AK681" s="8">
        <v>1</v>
      </c>
      <c r="AL681" s="8"/>
      <c r="AM681" s="8"/>
      <c r="AN681" s="8">
        <v>1</v>
      </c>
      <c r="AO681" s="8"/>
      <c r="AP681" s="8"/>
      <c r="AQ681" s="8">
        <v>1</v>
      </c>
      <c r="AR681" s="8"/>
      <c r="AS681" s="8"/>
      <c r="AT681" s="8"/>
      <c r="AU681" s="8"/>
      <c r="AV681" s="8"/>
      <c r="AW681" s="8"/>
      <c r="AX681" s="8">
        <v>1</v>
      </c>
      <c r="AY681" s="8"/>
      <c r="AZ681" s="8"/>
      <c r="BA681" s="8"/>
      <c r="BB681" s="1"/>
      <c r="BJ681">
        <v>27</v>
      </c>
      <c r="BK681">
        <v>15</v>
      </c>
      <c r="BL681" s="58">
        <v>2</v>
      </c>
      <c r="BP681" t="str">
        <f t="shared" si="25"/>
        <v>LightDragon</v>
      </c>
      <c r="BR681">
        <v>1</v>
      </c>
    </row>
    <row r="682" spans="1:70" x14ac:dyDescent="0.25">
      <c r="A682">
        <f t="shared" si="26"/>
        <v>634</v>
      </c>
      <c r="B682" t="s">
        <v>775</v>
      </c>
      <c r="D682" s="1" t="s">
        <v>4</v>
      </c>
      <c r="E682" s="1" t="s">
        <v>16</v>
      </c>
      <c r="F682" s="1" t="s">
        <v>50</v>
      </c>
      <c r="G682" s="1" t="s">
        <v>50</v>
      </c>
      <c r="H682" s="1"/>
      <c r="I682" s="1" t="s">
        <v>50</v>
      </c>
      <c r="J682" s="1" t="s">
        <v>50</v>
      </c>
      <c r="K682" s="1" t="s">
        <v>50</v>
      </c>
      <c r="L682" s="1" t="s">
        <v>50</v>
      </c>
      <c r="M682" s="1" t="s">
        <v>50</v>
      </c>
      <c r="N682" s="1" t="s">
        <v>50</v>
      </c>
      <c r="O682" s="1" t="s">
        <v>50</v>
      </c>
      <c r="P682" s="1" t="s">
        <v>1795</v>
      </c>
      <c r="Q682" s="1" t="s">
        <v>104</v>
      </c>
      <c r="R682" s="1" t="s">
        <v>104</v>
      </c>
      <c r="S682" s="1" t="s">
        <v>104</v>
      </c>
      <c r="T682" s="1" t="s">
        <v>104</v>
      </c>
      <c r="U682" s="1" t="s">
        <v>104</v>
      </c>
      <c r="V682" s="1" t="s">
        <v>104</v>
      </c>
      <c r="W682" s="1" t="s">
        <v>104</v>
      </c>
      <c r="X682" s="1" t="s">
        <v>727</v>
      </c>
      <c r="Y682" s="1"/>
      <c r="Z682" s="8"/>
      <c r="AA682" s="8"/>
      <c r="AB682" s="8"/>
      <c r="AC682" s="8"/>
      <c r="AD682" s="8"/>
      <c r="AE682" s="8"/>
      <c r="AF682" s="8"/>
      <c r="AG682" s="8">
        <v>1</v>
      </c>
      <c r="AH682" s="8">
        <v>1</v>
      </c>
      <c r="AI682" s="8"/>
      <c r="AJ682" s="8"/>
      <c r="AK682" s="8"/>
      <c r="AL682" s="8"/>
      <c r="AM682" s="8"/>
      <c r="AN682" s="8"/>
      <c r="AO682" s="8"/>
      <c r="AP682" s="8"/>
      <c r="AQ682" s="8">
        <v>1</v>
      </c>
      <c r="AR682" s="8"/>
      <c r="AS682" s="8">
        <v>1</v>
      </c>
      <c r="AT682" s="8"/>
      <c r="AU682" s="8">
        <v>1</v>
      </c>
      <c r="AV682" s="8"/>
      <c r="AW682" s="8"/>
      <c r="AX682" s="8">
        <v>1</v>
      </c>
      <c r="AY682" s="8"/>
      <c r="AZ682" s="8"/>
      <c r="BA682" s="8"/>
      <c r="BB682" s="1"/>
      <c r="BL682" s="58"/>
      <c r="BP682" t="str">
        <f t="shared" si="25"/>
        <v>PsychicFlying</v>
      </c>
      <c r="BQ682" t="s">
        <v>2</v>
      </c>
      <c r="BR682">
        <v>2</v>
      </c>
    </row>
    <row r="683" spans="1:70" x14ac:dyDescent="0.25">
      <c r="A683">
        <f t="shared" si="26"/>
        <v>635</v>
      </c>
      <c r="B683" t="s">
        <v>776</v>
      </c>
      <c r="D683" s="1" t="s">
        <v>4</v>
      </c>
      <c r="E683" s="1" t="s">
        <v>16</v>
      </c>
      <c r="F683" s="1" t="s">
        <v>50</v>
      </c>
      <c r="G683" s="1" t="s">
        <v>50</v>
      </c>
      <c r="H683" s="1" t="s">
        <v>50</v>
      </c>
      <c r="I683" s="1" t="s">
        <v>50</v>
      </c>
      <c r="J683" s="1" t="s">
        <v>50</v>
      </c>
      <c r="K683" s="1" t="s">
        <v>50</v>
      </c>
      <c r="L683" s="1" t="s">
        <v>50</v>
      </c>
      <c r="M683" s="1" t="s">
        <v>104</v>
      </c>
      <c r="N683" s="1" t="s">
        <v>50</v>
      </c>
      <c r="O683" s="1" t="s">
        <v>50</v>
      </c>
      <c r="P683" s="1" t="s">
        <v>1795</v>
      </c>
      <c r="Q683" s="1" t="s">
        <v>104</v>
      </c>
      <c r="R683" s="1" t="s">
        <v>104</v>
      </c>
      <c r="S683" s="1" t="s">
        <v>104</v>
      </c>
      <c r="T683" s="1" t="s">
        <v>104</v>
      </c>
      <c r="U683" s="1" t="s">
        <v>104</v>
      </c>
      <c r="V683" s="1" t="s">
        <v>104</v>
      </c>
      <c r="W683" s="1" t="s">
        <v>104</v>
      </c>
      <c r="X683" s="1" t="s">
        <v>727</v>
      </c>
      <c r="Y683" s="1"/>
      <c r="Z683" s="8"/>
      <c r="AA683" s="8"/>
      <c r="AB683" s="8"/>
      <c r="AC683" s="8"/>
      <c r="AD683" s="8"/>
      <c r="AE683" s="8"/>
      <c r="AF683" s="8"/>
      <c r="AG683" s="8">
        <v>1</v>
      </c>
      <c r="AH683" s="8">
        <v>1</v>
      </c>
      <c r="AI683" s="8"/>
      <c r="AJ683" s="8"/>
      <c r="AK683" s="8"/>
      <c r="AL683" s="8"/>
      <c r="AM683" s="8"/>
      <c r="AN683" s="8"/>
      <c r="AO683" s="8"/>
      <c r="AP683" s="8"/>
      <c r="AQ683" s="8">
        <v>1</v>
      </c>
      <c r="AR683" s="8"/>
      <c r="AS683" s="8">
        <v>1</v>
      </c>
      <c r="AT683" s="8"/>
      <c r="AU683" s="8">
        <v>1</v>
      </c>
      <c r="AV683" s="8"/>
      <c r="AW683" s="8"/>
      <c r="AX683" s="8">
        <v>1</v>
      </c>
      <c r="AY683" s="8"/>
      <c r="AZ683" s="8"/>
      <c r="BA683" s="8"/>
      <c r="BB683" s="1"/>
      <c r="BJ683">
        <v>2</v>
      </c>
      <c r="BK683">
        <v>1</v>
      </c>
      <c r="BL683" s="58"/>
      <c r="BP683" t="str">
        <f t="shared" si="25"/>
        <v>PsychicFlying</v>
      </c>
      <c r="BR683">
        <v>4</v>
      </c>
    </row>
    <row r="684" spans="1:70" x14ac:dyDescent="0.25">
      <c r="A684">
        <f t="shared" si="26"/>
        <v>636</v>
      </c>
      <c r="B684" t="s">
        <v>777</v>
      </c>
      <c r="D684" s="1" t="s">
        <v>42</v>
      </c>
      <c r="E684" s="1" t="s">
        <v>7</v>
      </c>
      <c r="F684" s="1" t="s">
        <v>50</v>
      </c>
      <c r="G684" s="1" t="s">
        <v>50</v>
      </c>
      <c r="H684" s="1"/>
      <c r="I684" s="1" t="s">
        <v>50</v>
      </c>
      <c r="J684" s="1" t="s">
        <v>50</v>
      </c>
      <c r="K684" s="1" t="s">
        <v>50</v>
      </c>
      <c r="L684" s="1"/>
      <c r="M684" s="1" t="s">
        <v>50</v>
      </c>
      <c r="N684" s="1" t="s">
        <v>50</v>
      </c>
      <c r="O684" s="1" t="s">
        <v>50</v>
      </c>
      <c r="P684" s="13" t="s">
        <v>1788</v>
      </c>
      <c r="Q684" s="1" t="s">
        <v>104</v>
      </c>
      <c r="R684" s="1" t="s">
        <v>104</v>
      </c>
      <c r="S684" s="1" t="s">
        <v>104</v>
      </c>
      <c r="T684" s="1" t="s">
        <v>104</v>
      </c>
      <c r="U684" s="1" t="s">
        <v>104</v>
      </c>
      <c r="V684" s="1" t="s">
        <v>104</v>
      </c>
      <c r="W684" s="1" t="s">
        <v>104</v>
      </c>
      <c r="X684" s="1" t="s">
        <v>2182</v>
      </c>
      <c r="Y684" s="1"/>
      <c r="Z684" s="8"/>
      <c r="AA684" s="8"/>
      <c r="AB684" s="8"/>
      <c r="AC684" s="8"/>
      <c r="AD684" s="8">
        <v>1</v>
      </c>
      <c r="AE684" s="8"/>
      <c r="AF684" s="8"/>
      <c r="AG684" s="8">
        <v>1</v>
      </c>
      <c r="AH684" s="8">
        <v>1</v>
      </c>
      <c r="AI684" s="8"/>
      <c r="AJ684" s="8"/>
      <c r="AK684" s="8"/>
      <c r="AL684" s="8"/>
      <c r="AM684" s="8"/>
      <c r="AN684" s="8"/>
      <c r="AO684" s="8">
        <v>1</v>
      </c>
      <c r="AP684" s="8"/>
      <c r="AQ684" s="8"/>
      <c r="AR684" s="8">
        <v>1</v>
      </c>
      <c r="AS684" s="8"/>
      <c r="AT684" s="8"/>
      <c r="AU684" s="8">
        <v>1</v>
      </c>
      <c r="AV684" s="8"/>
      <c r="AW684" s="8"/>
      <c r="AX684" s="8"/>
      <c r="AY684" s="8"/>
      <c r="AZ684" s="8"/>
      <c r="BA684" s="8"/>
      <c r="BB684" s="1"/>
      <c r="BL684" s="58"/>
      <c r="BP684" t="str">
        <f t="shared" si="25"/>
        <v>CosmicFairy</v>
      </c>
      <c r="BQ684" t="s">
        <v>2</v>
      </c>
      <c r="BR684">
        <v>2</v>
      </c>
    </row>
    <row r="685" spans="1:70" x14ac:dyDescent="0.25">
      <c r="A685">
        <f t="shared" si="26"/>
        <v>637</v>
      </c>
      <c r="B685" t="s">
        <v>778</v>
      </c>
      <c r="D685" s="1" t="s">
        <v>42</v>
      </c>
      <c r="E685" s="1" t="s">
        <v>7</v>
      </c>
      <c r="F685" s="1" t="s">
        <v>50</v>
      </c>
      <c r="G685" s="1" t="s">
        <v>50</v>
      </c>
      <c r="H685" s="1"/>
      <c r="I685" s="1" t="s">
        <v>50</v>
      </c>
      <c r="J685" s="1" t="s">
        <v>50</v>
      </c>
      <c r="K685" s="1" t="s">
        <v>50</v>
      </c>
      <c r="L685" s="1"/>
      <c r="M685" s="1" t="s">
        <v>50</v>
      </c>
      <c r="N685" s="1" t="s">
        <v>50</v>
      </c>
      <c r="O685" s="1" t="s">
        <v>50</v>
      </c>
      <c r="P685" s="13" t="s">
        <v>1788</v>
      </c>
      <c r="Q685" s="1" t="s">
        <v>104</v>
      </c>
      <c r="R685" s="1" t="s">
        <v>104</v>
      </c>
      <c r="S685" s="1" t="s">
        <v>104</v>
      </c>
      <c r="T685" s="1" t="s">
        <v>104</v>
      </c>
      <c r="U685" s="1" t="s">
        <v>104</v>
      </c>
      <c r="V685" s="1" t="s">
        <v>104</v>
      </c>
      <c r="W685" s="1" t="s">
        <v>104</v>
      </c>
      <c r="X685" s="1" t="s">
        <v>2182</v>
      </c>
      <c r="Y685" s="1"/>
      <c r="Z685" s="8"/>
      <c r="AA685" s="8"/>
      <c r="AB685" s="8"/>
      <c r="AC685" s="8"/>
      <c r="AD685" s="8">
        <v>1</v>
      </c>
      <c r="AE685" s="8"/>
      <c r="AF685" s="8"/>
      <c r="AG685" s="8">
        <v>1</v>
      </c>
      <c r="AH685" s="8">
        <v>1</v>
      </c>
      <c r="AI685" s="8"/>
      <c r="AJ685" s="8"/>
      <c r="AK685" s="8"/>
      <c r="AL685" s="8"/>
      <c r="AM685" s="8"/>
      <c r="AN685" s="8"/>
      <c r="AO685" s="8">
        <v>1</v>
      </c>
      <c r="AP685" s="8"/>
      <c r="AQ685" s="8"/>
      <c r="AR685" s="8">
        <v>1</v>
      </c>
      <c r="AS685" s="8"/>
      <c r="AT685" s="8"/>
      <c r="AU685" s="8">
        <v>1</v>
      </c>
      <c r="AV685" s="8"/>
      <c r="AW685" s="8"/>
      <c r="AX685" s="8"/>
      <c r="AY685" s="8"/>
      <c r="AZ685" s="8"/>
      <c r="BA685" s="8"/>
      <c r="BB685" s="1"/>
      <c r="BL685" s="58"/>
      <c r="BP685" t="str">
        <f t="shared" si="25"/>
        <v>CosmicFairy</v>
      </c>
      <c r="BQ685" t="s">
        <v>2</v>
      </c>
      <c r="BR685">
        <v>1</v>
      </c>
    </row>
    <row r="686" spans="1:70" x14ac:dyDescent="0.25">
      <c r="A686">
        <f t="shared" si="26"/>
        <v>638</v>
      </c>
      <c r="B686" t="s">
        <v>779</v>
      </c>
      <c r="D686" s="1" t="s">
        <v>42</v>
      </c>
      <c r="E686" s="1" t="s">
        <v>7</v>
      </c>
      <c r="F686" s="1" t="s">
        <v>50</v>
      </c>
      <c r="G686" s="1" t="s">
        <v>50</v>
      </c>
      <c r="H686" s="1" t="s">
        <v>50</v>
      </c>
      <c r="I686" s="1" t="s">
        <v>50</v>
      </c>
      <c r="J686" s="1" t="s">
        <v>50</v>
      </c>
      <c r="K686" s="1" t="s">
        <v>50</v>
      </c>
      <c r="L686" s="1"/>
      <c r="M686" s="1" t="s">
        <v>104</v>
      </c>
      <c r="N686" s="1" t="s">
        <v>50</v>
      </c>
      <c r="O686" s="1" t="s">
        <v>50</v>
      </c>
      <c r="P686" s="13" t="s">
        <v>1788</v>
      </c>
      <c r="Q686" s="1" t="s">
        <v>104</v>
      </c>
      <c r="R686" s="1" t="s">
        <v>104</v>
      </c>
      <c r="S686" s="1" t="s">
        <v>104</v>
      </c>
      <c r="T686" s="1" t="s">
        <v>104</v>
      </c>
      <c r="U686" s="1" t="s">
        <v>104</v>
      </c>
      <c r="V686" s="1" t="s">
        <v>104</v>
      </c>
      <c r="W686" s="1" t="s">
        <v>104</v>
      </c>
      <c r="X686" s="1" t="s">
        <v>2182</v>
      </c>
      <c r="Y686" s="1"/>
      <c r="Z686" s="8"/>
      <c r="AA686" s="8"/>
      <c r="AB686" s="8"/>
      <c r="AC686" s="8"/>
      <c r="AD686" s="8">
        <v>1</v>
      </c>
      <c r="AE686" s="8"/>
      <c r="AF686" s="8"/>
      <c r="AG686" s="8">
        <v>1</v>
      </c>
      <c r="AH686" s="8">
        <v>1</v>
      </c>
      <c r="AI686" s="8"/>
      <c r="AJ686" s="8"/>
      <c r="AK686" s="8"/>
      <c r="AL686" s="8"/>
      <c r="AM686" s="8"/>
      <c r="AN686" s="8"/>
      <c r="AO686" s="8">
        <v>1</v>
      </c>
      <c r="AP686" s="8"/>
      <c r="AQ686" s="8"/>
      <c r="AR686" s="8">
        <v>1</v>
      </c>
      <c r="AS686" s="8"/>
      <c r="AT686" s="8"/>
      <c r="AU686" s="8">
        <v>1</v>
      </c>
      <c r="AV686" s="8"/>
      <c r="AW686" s="8"/>
      <c r="AX686" s="8"/>
      <c r="AY686" s="8"/>
      <c r="AZ686" s="8"/>
      <c r="BA686" s="8"/>
      <c r="BB686" s="1"/>
      <c r="BJ686">
        <v>3</v>
      </c>
      <c r="BL686" s="58"/>
      <c r="BP686" t="str">
        <f t="shared" si="25"/>
        <v>CosmicFairy</v>
      </c>
      <c r="BR686">
        <v>1</v>
      </c>
    </row>
    <row r="687" spans="1:70" x14ac:dyDescent="0.25">
      <c r="A687">
        <f t="shared" si="26"/>
        <v>639</v>
      </c>
      <c r="B687" t="s">
        <v>789</v>
      </c>
      <c r="D687" s="1" t="s">
        <v>3</v>
      </c>
      <c r="E687" s="1" t="s">
        <v>42</v>
      </c>
      <c r="F687" s="1" t="s">
        <v>50</v>
      </c>
      <c r="G687" s="1" t="s">
        <v>50</v>
      </c>
      <c r="H687" s="1"/>
      <c r="I687" s="1" t="s">
        <v>50</v>
      </c>
      <c r="J687" s="1" t="s">
        <v>50</v>
      </c>
      <c r="K687" s="1" t="s">
        <v>50</v>
      </c>
      <c r="L687" s="1"/>
      <c r="M687" s="1" t="s">
        <v>50</v>
      </c>
      <c r="N687" s="1" t="s">
        <v>50</v>
      </c>
      <c r="O687" s="1" t="s">
        <v>50</v>
      </c>
      <c r="P687" s="1" t="s">
        <v>1723</v>
      </c>
      <c r="Q687" s="1" t="s">
        <v>104</v>
      </c>
      <c r="R687" s="1" t="s">
        <v>104</v>
      </c>
      <c r="S687" s="1" t="s">
        <v>104</v>
      </c>
      <c r="T687" s="1" t="s">
        <v>104</v>
      </c>
      <c r="U687" s="1" t="s">
        <v>104</v>
      </c>
      <c r="V687" s="1" t="s">
        <v>104</v>
      </c>
      <c r="W687" s="1" t="s">
        <v>104</v>
      </c>
      <c r="X687" s="1" t="s">
        <v>2073</v>
      </c>
      <c r="Y687" s="1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>
        <v>1</v>
      </c>
      <c r="AT687" s="8"/>
      <c r="AU687" s="8">
        <v>1</v>
      </c>
      <c r="AV687" s="8"/>
      <c r="AW687" s="8"/>
      <c r="AX687" s="8"/>
      <c r="AY687" s="8"/>
      <c r="AZ687" s="8"/>
      <c r="BA687" s="8"/>
      <c r="BB687" s="1"/>
      <c r="BL687" s="58"/>
      <c r="BP687" t="str">
        <f t="shared" si="25"/>
        <v>ElectricCosmic</v>
      </c>
      <c r="BQ687" t="s">
        <v>2</v>
      </c>
      <c r="BR687">
        <v>1</v>
      </c>
    </row>
    <row r="688" spans="1:70" x14ac:dyDescent="0.25">
      <c r="A688">
        <f t="shared" si="26"/>
        <v>640</v>
      </c>
      <c r="B688" t="s">
        <v>790</v>
      </c>
      <c r="D688" s="1" t="s">
        <v>3</v>
      </c>
      <c r="E688" s="1" t="s">
        <v>42</v>
      </c>
      <c r="F688" s="1" t="s">
        <v>50</v>
      </c>
      <c r="G688" s="1" t="s">
        <v>50</v>
      </c>
      <c r="H688" s="1" t="s">
        <v>50</v>
      </c>
      <c r="I688" s="1" t="s">
        <v>50</v>
      </c>
      <c r="J688" s="1" t="s">
        <v>50</v>
      </c>
      <c r="K688" s="1" t="s">
        <v>50</v>
      </c>
      <c r="L688" s="1"/>
      <c r="M688" s="1" t="s">
        <v>104</v>
      </c>
      <c r="N688" s="1" t="s">
        <v>50</v>
      </c>
      <c r="O688" s="1" t="s">
        <v>50</v>
      </c>
      <c r="P688" s="1" t="s">
        <v>1723</v>
      </c>
      <c r="Q688" s="1" t="s">
        <v>104</v>
      </c>
      <c r="R688" s="1" t="s">
        <v>104</v>
      </c>
      <c r="S688" s="1" t="s">
        <v>104</v>
      </c>
      <c r="T688" s="1" t="s">
        <v>104</v>
      </c>
      <c r="U688" s="1" t="s">
        <v>104</v>
      </c>
      <c r="V688" s="1" t="s">
        <v>104</v>
      </c>
      <c r="W688" s="1" t="s">
        <v>104</v>
      </c>
      <c r="X688" s="1" t="s">
        <v>2073</v>
      </c>
      <c r="Y688" s="1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>
        <v>1</v>
      </c>
      <c r="AT688" s="8"/>
      <c r="AU688" s="8">
        <v>1</v>
      </c>
      <c r="AV688" s="8"/>
      <c r="AW688" s="8"/>
      <c r="AX688" s="8"/>
      <c r="AY688" s="8"/>
      <c r="AZ688" s="8"/>
      <c r="BA688" s="8"/>
      <c r="BB688" s="1"/>
      <c r="BJ688">
        <v>9</v>
      </c>
      <c r="BK688">
        <v>3</v>
      </c>
      <c r="BL688" s="58">
        <v>2</v>
      </c>
      <c r="BP688" t="str">
        <f t="shared" si="25"/>
        <v>ElectricCosmic</v>
      </c>
      <c r="BR688">
        <v>1</v>
      </c>
    </row>
    <row r="689" spans="1:70" x14ac:dyDescent="0.25">
      <c r="A689">
        <f t="shared" si="26"/>
        <v>641</v>
      </c>
      <c r="B689" t="s">
        <v>791</v>
      </c>
      <c r="D689" s="1" t="s">
        <v>3</v>
      </c>
      <c r="E689" s="1" t="s">
        <v>12</v>
      </c>
      <c r="F689" s="1" t="s">
        <v>50</v>
      </c>
      <c r="G689" s="1" t="s">
        <v>50</v>
      </c>
      <c r="H689" s="1"/>
      <c r="I689" s="1" t="s">
        <v>50</v>
      </c>
      <c r="J689" s="1" t="s">
        <v>50</v>
      </c>
      <c r="K689" s="1" t="s">
        <v>50</v>
      </c>
      <c r="L689" s="1"/>
      <c r="M689" s="1" t="s">
        <v>50</v>
      </c>
      <c r="N689" s="1" t="s">
        <v>50</v>
      </c>
      <c r="O689" s="1" t="s">
        <v>50</v>
      </c>
      <c r="P689" s="1" t="s">
        <v>1793</v>
      </c>
      <c r="Q689" s="1" t="s">
        <v>104</v>
      </c>
      <c r="R689" s="1" t="s">
        <v>104</v>
      </c>
      <c r="S689" s="1" t="s">
        <v>104</v>
      </c>
      <c r="T689" s="1" t="s">
        <v>104</v>
      </c>
      <c r="U689" s="1" t="s">
        <v>104</v>
      </c>
      <c r="V689" s="1" t="s">
        <v>104</v>
      </c>
      <c r="W689" s="1" t="s">
        <v>104</v>
      </c>
      <c r="X689" s="1" t="s">
        <v>726</v>
      </c>
      <c r="Y689" s="1"/>
      <c r="Z689" s="8"/>
      <c r="AA689" s="8"/>
      <c r="AB689" s="8">
        <v>1</v>
      </c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>
        <v>1</v>
      </c>
      <c r="AR689" s="8"/>
      <c r="AS689" s="8"/>
      <c r="AT689" s="8"/>
      <c r="AU689" s="8"/>
      <c r="AV689" s="8"/>
      <c r="AW689" s="8"/>
      <c r="AX689" s="8">
        <v>1</v>
      </c>
      <c r="AY689" s="8">
        <v>1</v>
      </c>
      <c r="AZ689" s="8"/>
      <c r="BA689" s="8"/>
      <c r="BB689" s="1"/>
      <c r="BL689" s="58"/>
      <c r="BP689" t="str">
        <f t="shared" si="25"/>
        <v>ElectricDragon</v>
      </c>
      <c r="BQ689" t="s">
        <v>2</v>
      </c>
      <c r="BR689">
        <v>5</v>
      </c>
    </row>
    <row r="690" spans="1:70" x14ac:dyDescent="0.25">
      <c r="A690">
        <f t="shared" si="26"/>
        <v>642</v>
      </c>
      <c r="B690" t="s">
        <v>792</v>
      </c>
      <c r="D690" s="1" t="s">
        <v>3</v>
      </c>
      <c r="E690" s="1" t="s">
        <v>12</v>
      </c>
      <c r="F690" s="1" t="s">
        <v>50</v>
      </c>
      <c r="G690" s="1" t="s">
        <v>50</v>
      </c>
      <c r="H690" s="1" t="s">
        <v>50</v>
      </c>
      <c r="I690" s="1" t="s">
        <v>50</v>
      </c>
      <c r="J690" s="1" t="s">
        <v>50</v>
      </c>
      <c r="K690" s="1" t="s">
        <v>50</v>
      </c>
      <c r="L690" s="1"/>
      <c r="M690" s="1" t="s">
        <v>104</v>
      </c>
      <c r="N690" s="1" t="s">
        <v>50</v>
      </c>
      <c r="O690" s="1" t="s">
        <v>50</v>
      </c>
      <c r="P690" s="1" t="s">
        <v>1793</v>
      </c>
      <c r="Q690" s="1" t="s">
        <v>104</v>
      </c>
      <c r="R690" s="1" t="s">
        <v>104</v>
      </c>
      <c r="S690" s="1" t="s">
        <v>104</v>
      </c>
      <c r="T690" s="1" t="s">
        <v>104</v>
      </c>
      <c r="U690" s="1" t="s">
        <v>104</v>
      </c>
      <c r="V690" s="1" t="s">
        <v>104</v>
      </c>
      <c r="W690" s="1" t="s">
        <v>104</v>
      </c>
      <c r="X690" s="1" t="s">
        <v>726</v>
      </c>
      <c r="Y690" s="1"/>
      <c r="Z690" s="8"/>
      <c r="AA690" s="8"/>
      <c r="AB690" s="8">
        <v>1</v>
      </c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>
        <v>1</v>
      </c>
      <c r="AR690" s="8"/>
      <c r="AS690" s="8"/>
      <c r="AT690" s="8"/>
      <c r="AU690" s="8"/>
      <c r="AV690" s="8"/>
      <c r="AW690" s="8"/>
      <c r="AX690" s="8">
        <v>1</v>
      </c>
      <c r="AY690" s="8">
        <v>1</v>
      </c>
      <c r="AZ690" s="8"/>
      <c r="BA690" s="8"/>
      <c r="BB690" s="1"/>
      <c r="BJ690">
        <v>14</v>
      </c>
      <c r="BL690" s="58"/>
      <c r="BP690" t="str">
        <f t="shared" si="25"/>
        <v>ElectricDragon</v>
      </c>
      <c r="BR690">
        <v>5</v>
      </c>
    </row>
    <row r="691" spans="1:70" x14ac:dyDescent="0.25">
      <c r="A691">
        <f t="shared" si="26"/>
        <v>643</v>
      </c>
      <c r="B691" t="s">
        <v>793</v>
      </c>
      <c r="D691" s="1" t="s">
        <v>6</v>
      </c>
      <c r="E691" s="1" t="s">
        <v>8</v>
      </c>
      <c r="F691" s="1" t="s">
        <v>50</v>
      </c>
      <c r="G691" s="1" t="s">
        <v>50</v>
      </c>
      <c r="H691" s="1"/>
      <c r="I691" s="1" t="s">
        <v>50</v>
      </c>
      <c r="J691" s="1" t="s">
        <v>50</v>
      </c>
      <c r="K691" s="1" t="s">
        <v>50</v>
      </c>
      <c r="L691" s="1"/>
      <c r="M691" s="1" t="s">
        <v>50</v>
      </c>
      <c r="N691" s="1" t="s">
        <v>50</v>
      </c>
      <c r="O691" s="1" t="s">
        <v>50</v>
      </c>
      <c r="P691" s="1" t="s">
        <v>810</v>
      </c>
      <c r="Q691" s="1" t="s">
        <v>104</v>
      </c>
      <c r="R691" s="1" t="s">
        <v>104</v>
      </c>
      <c r="S691" s="1" t="s">
        <v>104</v>
      </c>
      <c r="T691" s="1" t="s">
        <v>104</v>
      </c>
      <c r="U691" s="1" t="s">
        <v>104</v>
      </c>
      <c r="V691" s="1" t="s">
        <v>104</v>
      </c>
      <c r="W691" s="1" t="s">
        <v>104</v>
      </c>
      <c r="X691" s="1" t="s">
        <v>726</v>
      </c>
      <c r="Y691" s="1"/>
      <c r="Z691" s="8"/>
      <c r="AA691" s="8"/>
      <c r="AB691" s="8"/>
      <c r="AC691" s="8"/>
      <c r="AD691" s="8">
        <v>1</v>
      </c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>
        <v>1</v>
      </c>
      <c r="AQ691" s="8"/>
      <c r="AR691" s="8">
        <v>1</v>
      </c>
      <c r="AS691" s="8"/>
      <c r="AT691" s="8"/>
      <c r="AU691" s="8"/>
      <c r="AV691" s="8">
        <v>1</v>
      </c>
      <c r="AW691" s="8"/>
      <c r="AX691" s="8">
        <v>1</v>
      </c>
      <c r="AY691" s="8">
        <v>1</v>
      </c>
      <c r="AZ691" s="8"/>
      <c r="BA691" s="8"/>
      <c r="BB691" s="1"/>
      <c r="BL691" s="58"/>
      <c r="BP691" t="str">
        <f t="shared" si="25"/>
        <v>SteelGround</v>
      </c>
      <c r="BQ691" t="s">
        <v>2</v>
      </c>
      <c r="BR691">
        <v>5</v>
      </c>
    </row>
    <row r="692" spans="1:70" x14ac:dyDescent="0.25">
      <c r="A692">
        <f t="shared" si="26"/>
        <v>644</v>
      </c>
      <c r="B692" t="s">
        <v>794</v>
      </c>
      <c r="D692" s="1" t="s">
        <v>6</v>
      </c>
      <c r="E692" s="1" t="s">
        <v>8</v>
      </c>
      <c r="F692" s="1" t="s">
        <v>50</v>
      </c>
      <c r="G692" s="1" t="s">
        <v>50</v>
      </c>
      <c r="H692" s="1" t="s">
        <v>50</v>
      </c>
      <c r="I692" s="1" t="s">
        <v>50</v>
      </c>
      <c r="J692" s="1" t="s">
        <v>50</v>
      </c>
      <c r="K692" s="1" t="s">
        <v>50</v>
      </c>
      <c r="L692" s="1"/>
      <c r="M692" s="1" t="s">
        <v>104</v>
      </c>
      <c r="N692" s="1" t="s">
        <v>50</v>
      </c>
      <c r="O692" s="1" t="s">
        <v>50</v>
      </c>
      <c r="P692" s="1" t="s">
        <v>810</v>
      </c>
      <c r="Q692" s="1" t="s">
        <v>104</v>
      </c>
      <c r="R692" s="1" t="s">
        <v>104</v>
      </c>
      <c r="S692" s="1" t="s">
        <v>104</v>
      </c>
      <c r="T692" s="1" t="s">
        <v>104</v>
      </c>
      <c r="U692" s="1" t="s">
        <v>104</v>
      </c>
      <c r="V692" s="1" t="s">
        <v>104</v>
      </c>
      <c r="W692" s="1" t="s">
        <v>104</v>
      </c>
      <c r="X692" s="1" t="s">
        <v>726</v>
      </c>
      <c r="Y692" s="1"/>
      <c r="Z692" s="8"/>
      <c r="AA692" s="8"/>
      <c r="AB692" s="8"/>
      <c r="AC692" s="8"/>
      <c r="AD692" s="8">
        <v>1</v>
      </c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>
        <v>1</v>
      </c>
      <c r="AQ692" s="8"/>
      <c r="AR692" s="8">
        <v>1</v>
      </c>
      <c r="AS692" s="8"/>
      <c r="AT692" s="8"/>
      <c r="AU692" s="8"/>
      <c r="AV692" s="8">
        <v>1</v>
      </c>
      <c r="AW692" s="8"/>
      <c r="AX692" s="8">
        <v>1</v>
      </c>
      <c r="AY692" s="8">
        <v>1</v>
      </c>
      <c r="AZ692" s="8"/>
      <c r="BA692" s="8"/>
      <c r="BB692" s="1"/>
      <c r="BJ692">
        <v>3</v>
      </c>
      <c r="BL692" s="58"/>
      <c r="BP692" t="str">
        <f t="shared" si="25"/>
        <v>SteelGround</v>
      </c>
      <c r="BR692">
        <v>5</v>
      </c>
    </row>
    <row r="693" spans="1:70" x14ac:dyDescent="0.25">
      <c r="A693">
        <f t="shared" si="26"/>
        <v>645</v>
      </c>
      <c r="B693" t="s">
        <v>795</v>
      </c>
      <c r="D693" s="1" t="s">
        <v>6</v>
      </c>
      <c r="E693" s="1" t="s">
        <v>16</v>
      </c>
      <c r="F693" s="1" t="s">
        <v>50</v>
      </c>
      <c r="G693" s="1" t="s">
        <v>50</v>
      </c>
      <c r="H693" s="1"/>
      <c r="I693" s="1" t="s">
        <v>50</v>
      </c>
      <c r="J693" s="1" t="s">
        <v>50</v>
      </c>
      <c r="K693" s="1" t="s">
        <v>50</v>
      </c>
      <c r="L693" s="1"/>
      <c r="M693" s="1" t="s">
        <v>50</v>
      </c>
      <c r="N693" s="1" t="s">
        <v>50</v>
      </c>
      <c r="O693" s="1" t="s">
        <v>50</v>
      </c>
      <c r="P693" s="13" t="s">
        <v>2074</v>
      </c>
      <c r="Q693" s="1" t="s">
        <v>104</v>
      </c>
      <c r="R693" s="1" t="s">
        <v>104</v>
      </c>
      <c r="S693" s="1" t="s">
        <v>104</v>
      </c>
      <c r="T693" s="1" t="s">
        <v>104</v>
      </c>
      <c r="U693" s="1" t="s">
        <v>104</v>
      </c>
      <c r="V693" s="1" t="s">
        <v>104</v>
      </c>
      <c r="W693" s="1" t="s">
        <v>104</v>
      </c>
      <c r="X693" s="1" t="s">
        <v>726</v>
      </c>
      <c r="Y693" s="1"/>
      <c r="Z693" s="8">
        <v>1</v>
      </c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>
        <v>1</v>
      </c>
      <c r="AR693" s="8"/>
      <c r="AS693" s="8"/>
      <c r="AT693" s="8"/>
      <c r="AU693" s="8"/>
      <c r="AV693" s="8"/>
      <c r="AW693" s="8"/>
      <c r="AX693" s="8">
        <v>1</v>
      </c>
      <c r="AY693" s="8"/>
      <c r="AZ693" s="8"/>
      <c r="BA693" s="8"/>
      <c r="BB693" s="1"/>
      <c r="BL693" s="58"/>
      <c r="BP693" t="str">
        <f t="shared" si="25"/>
        <v>SteelFlying</v>
      </c>
      <c r="BQ693" t="s">
        <v>2</v>
      </c>
      <c r="BR693">
        <v>8</v>
      </c>
    </row>
    <row r="694" spans="1:70" x14ac:dyDescent="0.25">
      <c r="A694">
        <f t="shared" si="26"/>
        <v>646</v>
      </c>
      <c r="B694" t="s">
        <v>796</v>
      </c>
      <c r="D694" s="1" t="s">
        <v>6</v>
      </c>
      <c r="E694" s="1" t="s">
        <v>16</v>
      </c>
      <c r="F694" s="1" t="s">
        <v>50</v>
      </c>
      <c r="G694" s="1" t="s">
        <v>50</v>
      </c>
      <c r="H694" s="1"/>
      <c r="I694" s="1" t="s">
        <v>50</v>
      </c>
      <c r="J694" s="1" t="s">
        <v>50</v>
      </c>
      <c r="K694" s="1" t="s">
        <v>50</v>
      </c>
      <c r="L694" s="1"/>
      <c r="M694" s="1" t="s">
        <v>104</v>
      </c>
      <c r="N694" s="1" t="s">
        <v>50</v>
      </c>
      <c r="O694" s="1" t="s">
        <v>50</v>
      </c>
      <c r="P694" s="13" t="s">
        <v>2074</v>
      </c>
      <c r="Q694" s="1" t="s">
        <v>104</v>
      </c>
      <c r="R694" s="1" t="s">
        <v>104</v>
      </c>
      <c r="S694" s="1" t="s">
        <v>104</v>
      </c>
      <c r="T694" s="1" t="s">
        <v>104</v>
      </c>
      <c r="U694" s="1" t="s">
        <v>104</v>
      </c>
      <c r="V694" s="1" t="s">
        <v>104</v>
      </c>
      <c r="W694" s="1" t="s">
        <v>104</v>
      </c>
      <c r="X694" s="1" t="s">
        <v>726</v>
      </c>
      <c r="Y694" s="1"/>
      <c r="Z694" s="8">
        <v>1</v>
      </c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>
        <v>1</v>
      </c>
      <c r="AR694" s="8"/>
      <c r="AS694" s="8"/>
      <c r="AT694" s="8"/>
      <c r="AU694" s="8"/>
      <c r="AV694" s="8"/>
      <c r="AW694" s="8"/>
      <c r="AX694" s="8">
        <v>1</v>
      </c>
      <c r="AY694" s="8"/>
      <c r="AZ694" s="8"/>
      <c r="BA694" s="8"/>
      <c r="BB694" s="1"/>
      <c r="BL694" s="58"/>
      <c r="BP694" t="str">
        <f t="shared" si="25"/>
        <v>SteelFlying</v>
      </c>
      <c r="BQ694" t="s">
        <v>2</v>
      </c>
      <c r="BR694">
        <v>8</v>
      </c>
    </row>
    <row r="695" spans="1:70" x14ac:dyDescent="0.25">
      <c r="A695">
        <f t="shared" si="26"/>
        <v>647</v>
      </c>
      <c r="B695" t="s">
        <v>797</v>
      </c>
      <c r="D695" s="1" t="s">
        <v>6</v>
      </c>
      <c r="E695" s="1" t="s">
        <v>16</v>
      </c>
      <c r="F695" s="1" t="s">
        <v>50</v>
      </c>
      <c r="G695" s="1" t="s">
        <v>50</v>
      </c>
      <c r="H695" s="1" t="s">
        <v>50</v>
      </c>
      <c r="I695" s="1" t="s">
        <v>50</v>
      </c>
      <c r="J695" s="1" t="s">
        <v>50</v>
      </c>
      <c r="K695" s="1" t="s">
        <v>50</v>
      </c>
      <c r="L695" s="1"/>
      <c r="M695" s="1" t="s">
        <v>104</v>
      </c>
      <c r="N695" s="1" t="s">
        <v>50</v>
      </c>
      <c r="O695" s="1" t="s">
        <v>50</v>
      </c>
      <c r="P695" s="13" t="s">
        <v>2074</v>
      </c>
      <c r="Q695" s="1" t="s">
        <v>50</v>
      </c>
      <c r="R695" s="1" t="s">
        <v>50</v>
      </c>
      <c r="S695" s="1" t="s">
        <v>50</v>
      </c>
      <c r="T695" s="1" t="s">
        <v>50</v>
      </c>
      <c r="U695" s="1" t="s">
        <v>50</v>
      </c>
      <c r="V695" s="1" t="s">
        <v>50</v>
      </c>
      <c r="W695" s="1" t="s">
        <v>50</v>
      </c>
      <c r="X695" s="1" t="s">
        <v>726</v>
      </c>
      <c r="Y695" s="1"/>
      <c r="Z695" s="8">
        <v>1</v>
      </c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>
        <v>1</v>
      </c>
      <c r="AR695" s="8"/>
      <c r="AS695" s="8"/>
      <c r="AT695" s="8"/>
      <c r="AU695" s="8"/>
      <c r="AV695" s="8"/>
      <c r="AW695" s="8"/>
      <c r="AX695" s="8">
        <v>1</v>
      </c>
      <c r="AY695" s="8"/>
      <c r="AZ695" s="8"/>
      <c r="BA695" s="8"/>
      <c r="BB695" s="1"/>
      <c r="BJ695">
        <v>35</v>
      </c>
      <c r="BK695">
        <v>10</v>
      </c>
      <c r="BL695" s="58"/>
      <c r="BP695" t="str">
        <f t="shared" si="25"/>
        <v>SteelFlying</v>
      </c>
      <c r="BR695">
        <v>8</v>
      </c>
    </row>
    <row r="696" spans="1:70" x14ac:dyDescent="0.25">
      <c r="A696">
        <f t="shared" si="26"/>
        <v>648</v>
      </c>
      <c r="B696" t="s">
        <v>798</v>
      </c>
      <c r="D696" s="1" t="s">
        <v>17</v>
      </c>
      <c r="E696" s="1" t="s">
        <v>10</v>
      </c>
      <c r="F696" s="1" t="s">
        <v>50</v>
      </c>
      <c r="G696" s="1" t="s">
        <v>50</v>
      </c>
      <c r="H696" s="1"/>
      <c r="I696" s="1" t="s">
        <v>50</v>
      </c>
      <c r="J696" s="1" t="s">
        <v>50</v>
      </c>
      <c r="K696" s="1" t="s">
        <v>50</v>
      </c>
      <c r="L696" s="1"/>
      <c r="M696" s="1" t="s">
        <v>50</v>
      </c>
      <c r="N696" s="1" t="s">
        <v>50</v>
      </c>
      <c r="O696" s="1" t="s">
        <v>50</v>
      </c>
      <c r="P696" s="1" t="s">
        <v>1795</v>
      </c>
      <c r="Q696" s="1" t="s">
        <v>104</v>
      </c>
      <c r="R696" s="1" t="s">
        <v>104</v>
      </c>
      <c r="S696" s="1" t="s">
        <v>104</v>
      </c>
      <c r="T696" s="1" t="s">
        <v>104</v>
      </c>
      <c r="U696" s="1" t="s">
        <v>104</v>
      </c>
      <c r="V696" s="1" t="s">
        <v>104</v>
      </c>
      <c r="W696" s="1" t="s">
        <v>104</v>
      </c>
      <c r="X696" s="1" t="s">
        <v>726</v>
      </c>
      <c r="Y696" s="1"/>
      <c r="Z696" s="8"/>
      <c r="AA696" s="8">
        <v>1</v>
      </c>
      <c r="AB696" s="8">
        <v>1</v>
      </c>
      <c r="AC696" s="8"/>
      <c r="AD696" s="8">
        <v>1</v>
      </c>
      <c r="AE696" s="8"/>
      <c r="AF696" s="8">
        <v>1</v>
      </c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>
        <v>1</v>
      </c>
      <c r="AT696" s="8">
        <v>1</v>
      </c>
      <c r="AU696" s="8"/>
      <c r="AV696" s="8"/>
      <c r="AW696" s="8"/>
      <c r="AX696" s="8"/>
      <c r="AY696" s="8"/>
      <c r="AZ696" s="8">
        <v>1</v>
      </c>
      <c r="BA696" s="8"/>
      <c r="BB696" s="1"/>
      <c r="BL696" s="58"/>
      <c r="BP696" t="str">
        <f t="shared" si="25"/>
        <v>BugPoison</v>
      </c>
      <c r="BQ696" t="s">
        <v>2</v>
      </c>
      <c r="BR696">
        <v>7</v>
      </c>
    </row>
    <row r="697" spans="1:70" x14ac:dyDescent="0.25">
      <c r="A697">
        <f t="shared" si="26"/>
        <v>649</v>
      </c>
      <c r="B697" t="s">
        <v>799</v>
      </c>
      <c r="D697" s="1" t="s">
        <v>17</v>
      </c>
      <c r="E697" s="1" t="s">
        <v>10</v>
      </c>
      <c r="F697" s="1" t="s">
        <v>50</v>
      </c>
      <c r="G697" s="1" t="s">
        <v>50</v>
      </c>
      <c r="H697" s="1" t="s">
        <v>50</v>
      </c>
      <c r="I697" s="1" t="s">
        <v>50</v>
      </c>
      <c r="J697" s="1" t="s">
        <v>50</v>
      </c>
      <c r="K697" s="1" t="s">
        <v>50</v>
      </c>
      <c r="L697" s="1"/>
      <c r="M697" s="1" t="s">
        <v>104</v>
      </c>
      <c r="N697" s="1" t="s">
        <v>50</v>
      </c>
      <c r="O697" s="1" t="s">
        <v>50</v>
      </c>
      <c r="P697" s="1" t="s">
        <v>1795</v>
      </c>
      <c r="Q697" s="1"/>
      <c r="R697" s="1"/>
      <c r="S697" s="1"/>
      <c r="T697" s="1"/>
      <c r="U697" s="1"/>
      <c r="V697" s="1"/>
      <c r="W697" s="1"/>
      <c r="X697" s="1" t="s">
        <v>726</v>
      </c>
      <c r="Y697" s="1"/>
      <c r="Z697" s="8"/>
      <c r="AA697" s="8">
        <v>1</v>
      </c>
      <c r="AB697" s="8">
        <v>1</v>
      </c>
      <c r="AC697" s="8"/>
      <c r="AD697" s="8">
        <v>1</v>
      </c>
      <c r="AE697" s="8"/>
      <c r="AF697" s="8">
        <v>1</v>
      </c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>
        <v>1</v>
      </c>
      <c r="AT697" s="8">
        <v>1</v>
      </c>
      <c r="AU697" s="8"/>
      <c r="AV697" s="8"/>
      <c r="AW697" s="8"/>
      <c r="AX697" s="8"/>
      <c r="AY697" s="8"/>
      <c r="AZ697" s="8">
        <v>1</v>
      </c>
      <c r="BA697" s="8"/>
      <c r="BB697" s="1"/>
      <c r="BJ697">
        <v>8</v>
      </c>
      <c r="BK697">
        <v>1</v>
      </c>
      <c r="BL697" s="58"/>
      <c r="BP697" t="str">
        <f t="shared" si="25"/>
        <v>BugPoison</v>
      </c>
      <c r="BR697">
        <v>7</v>
      </c>
    </row>
    <row r="698" spans="1:70" x14ac:dyDescent="0.25">
      <c r="A698">
        <f t="shared" si="26"/>
        <v>650</v>
      </c>
      <c r="B698" t="s">
        <v>801</v>
      </c>
      <c r="D698" s="1" t="s">
        <v>3</v>
      </c>
      <c r="E698" s="1">
        <v>0</v>
      </c>
      <c r="F698" s="1" t="s">
        <v>50</v>
      </c>
      <c r="G698" s="1" t="s">
        <v>50</v>
      </c>
      <c r="H698" s="1"/>
      <c r="I698" s="1" t="s">
        <v>50</v>
      </c>
      <c r="J698" s="1" t="s">
        <v>50</v>
      </c>
      <c r="K698" s="1" t="s">
        <v>50</v>
      </c>
      <c r="L698" s="1"/>
      <c r="M698" s="1" t="s">
        <v>50</v>
      </c>
      <c r="N698" s="1" t="s">
        <v>50</v>
      </c>
      <c r="O698" s="1" t="s">
        <v>50</v>
      </c>
      <c r="P698" s="1" t="s">
        <v>1727</v>
      </c>
      <c r="Q698" s="1" t="s">
        <v>104</v>
      </c>
      <c r="R698" s="1" t="s">
        <v>104</v>
      </c>
      <c r="S698" s="1" t="s">
        <v>104</v>
      </c>
      <c r="T698" s="1" t="s">
        <v>104</v>
      </c>
      <c r="U698" s="1" t="s">
        <v>104</v>
      </c>
      <c r="V698" s="1" t="s">
        <v>104</v>
      </c>
      <c r="W698" s="1" t="s">
        <v>104</v>
      </c>
      <c r="X698" s="1" t="s">
        <v>726</v>
      </c>
      <c r="Y698" s="1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>
        <v>1</v>
      </c>
      <c r="AT698" s="8"/>
      <c r="AU698" s="8"/>
      <c r="AV698" s="8"/>
      <c r="AW698" s="8"/>
      <c r="AX698" s="8"/>
      <c r="AY698" s="8"/>
      <c r="AZ698" s="8"/>
      <c r="BA698" s="8"/>
      <c r="BB698" s="1"/>
      <c r="BL698" s="58"/>
      <c r="BP698" t="str">
        <f t="shared" si="25"/>
        <v>Electric0</v>
      </c>
      <c r="BQ698" t="s">
        <v>2</v>
      </c>
      <c r="BR698">
        <v>5</v>
      </c>
    </row>
    <row r="699" spans="1:70" x14ac:dyDescent="0.25">
      <c r="A699">
        <f t="shared" si="26"/>
        <v>651</v>
      </c>
      <c r="B699" t="s">
        <v>802</v>
      </c>
      <c r="D699" s="1" t="s">
        <v>3</v>
      </c>
      <c r="E699" s="1" t="s">
        <v>17</v>
      </c>
      <c r="F699" s="1" t="s">
        <v>50</v>
      </c>
      <c r="G699" s="1" t="s">
        <v>50</v>
      </c>
      <c r="H699" s="1" t="s">
        <v>50</v>
      </c>
      <c r="I699" s="1" t="s">
        <v>50</v>
      </c>
      <c r="J699" s="1" t="s">
        <v>50</v>
      </c>
      <c r="K699" s="1" t="s">
        <v>50</v>
      </c>
      <c r="L699" s="1"/>
      <c r="M699" s="1" t="s">
        <v>104</v>
      </c>
      <c r="N699" s="1" t="s">
        <v>50</v>
      </c>
      <c r="O699" s="1" t="s">
        <v>50</v>
      </c>
      <c r="P699" s="1" t="s">
        <v>1727</v>
      </c>
      <c r="Q699" s="1" t="s">
        <v>104</v>
      </c>
      <c r="R699" s="1" t="s">
        <v>104</v>
      </c>
      <c r="S699" s="1" t="s">
        <v>104</v>
      </c>
      <c r="T699" s="1" t="s">
        <v>104</v>
      </c>
      <c r="U699" s="1" t="s">
        <v>104</v>
      </c>
      <c r="V699" s="1" t="s">
        <v>104</v>
      </c>
      <c r="W699" s="1" t="s">
        <v>104</v>
      </c>
      <c r="X699" s="1" t="s">
        <v>726</v>
      </c>
      <c r="Y699" s="1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>
        <v>1</v>
      </c>
      <c r="AT699" s="8"/>
      <c r="AU699" s="8"/>
      <c r="AV699" s="8"/>
      <c r="AW699" s="8"/>
      <c r="AX699" s="8"/>
      <c r="AY699" s="8"/>
      <c r="AZ699" s="8"/>
      <c r="BA699" s="8"/>
      <c r="BB699" s="1"/>
      <c r="BJ699">
        <v>7</v>
      </c>
      <c r="BK699">
        <v>3</v>
      </c>
      <c r="BL699" s="58"/>
      <c r="BP699" t="str">
        <f t="shared" si="25"/>
        <v>ElectricBug</v>
      </c>
      <c r="BR699">
        <v>5</v>
      </c>
    </row>
    <row r="700" spans="1:70" x14ac:dyDescent="0.25">
      <c r="A700">
        <f t="shared" si="26"/>
        <v>652</v>
      </c>
      <c r="B700" t="s">
        <v>803</v>
      </c>
      <c r="D700" s="1" t="s">
        <v>7</v>
      </c>
      <c r="E700" s="1" t="s">
        <v>0</v>
      </c>
      <c r="F700" s="1" t="s">
        <v>50</v>
      </c>
      <c r="G700" s="1" t="s">
        <v>50</v>
      </c>
      <c r="H700" s="1"/>
      <c r="I700" s="1" t="s">
        <v>50</v>
      </c>
      <c r="J700" s="1" t="s">
        <v>50</v>
      </c>
      <c r="K700" s="1" t="s">
        <v>50</v>
      </c>
      <c r="L700" s="1"/>
      <c r="M700" s="1" t="s">
        <v>50</v>
      </c>
      <c r="N700" s="1" t="s">
        <v>50</v>
      </c>
      <c r="O700" s="1" t="s">
        <v>50</v>
      </c>
      <c r="P700" s="1" t="s">
        <v>1839</v>
      </c>
      <c r="Q700" s="1" t="s">
        <v>104</v>
      </c>
      <c r="R700" s="1" t="s">
        <v>104</v>
      </c>
      <c r="S700" s="1" t="s">
        <v>104</v>
      </c>
      <c r="T700" s="1" t="s">
        <v>104</v>
      </c>
      <c r="U700" s="1" t="s">
        <v>104</v>
      </c>
      <c r="V700" s="1" t="s">
        <v>104</v>
      </c>
      <c r="W700" s="1" t="s">
        <v>104</v>
      </c>
      <c r="X700" s="1" t="s">
        <v>726</v>
      </c>
      <c r="Y700" s="1"/>
      <c r="Z700" s="8"/>
      <c r="AA700" s="8"/>
      <c r="AB700" s="8"/>
      <c r="AC700" s="8"/>
      <c r="AD700" s="8"/>
      <c r="AE700" s="8"/>
      <c r="AF700" s="8"/>
      <c r="AG700" s="8">
        <v>1</v>
      </c>
      <c r="AH700" s="8">
        <v>1</v>
      </c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>
        <v>1</v>
      </c>
      <c r="AT700" s="8">
        <v>1</v>
      </c>
      <c r="AU700" s="8"/>
      <c r="AV700" s="8"/>
      <c r="AW700" s="8"/>
      <c r="AX700" s="8"/>
      <c r="AY700" s="8"/>
      <c r="AZ700" s="8"/>
      <c r="BA700" s="8"/>
      <c r="BB700" s="1"/>
      <c r="BL700" s="58"/>
      <c r="BP700" t="str">
        <f t="shared" si="25"/>
        <v>FairyDark</v>
      </c>
      <c r="BQ700" t="s">
        <v>2</v>
      </c>
      <c r="BR700">
        <v>3</v>
      </c>
    </row>
    <row r="701" spans="1:70" x14ac:dyDescent="0.25">
      <c r="A701">
        <f t="shared" si="26"/>
        <v>653</v>
      </c>
      <c r="B701" t="s">
        <v>804</v>
      </c>
      <c r="D701" s="1" t="s">
        <v>7</v>
      </c>
      <c r="E701" s="1" t="s">
        <v>0</v>
      </c>
      <c r="F701" s="1" t="s">
        <v>50</v>
      </c>
      <c r="G701" s="1" t="s">
        <v>50</v>
      </c>
      <c r="H701" s="1" t="s">
        <v>50</v>
      </c>
      <c r="I701" s="1" t="s">
        <v>50</v>
      </c>
      <c r="J701" s="1" t="s">
        <v>50</v>
      </c>
      <c r="K701" s="1" t="s">
        <v>50</v>
      </c>
      <c r="L701" s="1"/>
      <c r="M701" s="1" t="s">
        <v>104</v>
      </c>
      <c r="N701" s="1" t="s">
        <v>50</v>
      </c>
      <c r="O701" s="1" t="s">
        <v>50</v>
      </c>
      <c r="P701" s="1" t="s">
        <v>1839</v>
      </c>
      <c r="Q701" s="1" t="s">
        <v>50</v>
      </c>
      <c r="R701" s="1" t="s">
        <v>50</v>
      </c>
      <c r="S701" s="1" t="s">
        <v>50</v>
      </c>
      <c r="T701" s="1" t="s">
        <v>50</v>
      </c>
      <c r="U701" s="1" t="s">
        <v>50</v>
      </c>
      <c r="V701" s="1" t="s">
        <v>50</v>
      </c>
      <c r="W701" s="1" t="s">
        <v>50</v>
      </c>
      <c r="X701" s="1" t="s">
        <v>2229</v>
      </c>
      <c r="Y701" s="1"/>
      <c r="Z701" s="8"/>
      <c r="AA701" s="8"/>
      <c r="AB701" s="8"/>
      <c r="AC701" s="8"/>
      <c r="AD701" s="8"/>
      <c r="AE701" s="8"/>
      <c r="AF701" s="8"/>
      <c r="AG701" s="8">
        <v>1</v>
      </c>
      <c r="AH701" s="8">
        <v>1</v>
      </c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>
        <v>1</v>
      </c>
      <c r="AT701" s="8">
        <v>1</v>
      </c>
      <c r="AU701" s="8"/>
      <c r="AV701" s="8"/>
      <c r="AW701" s="8"/>
      <c r="AX701" s="8"/>
      <c r="AY701" s="8"/>
      <c r="AZ701" s="8"/>
      <c r="BA701" s="8"/>
      <c r="BB701" s="1"/>
      <c r="BJ701">
        <v>7</v>
      </c>
      <c r="BK701">
        <v>3</v>
      </c>
      <c r="BL701" s="58"/>
      <c r="BP701" t="str">
        <f t="shared" si="25"/>
        <v>FairyDark</v>
      </c>
      <c r="BR701">
        <v>3</v>
      </c>
    </row>
    <row r="702" spans="1:70" x14ac:dyDescent="0.25">
      <c r="A702">
        <f t="shared" si="26"/>
        <v>654</v>
      </c>
      <c r="B702" t="s">
        <v>805</v>
      </c>
      <c r="D702" s="1" t="s">
        <v>3</v>
      </c>
      <c r="E702" s="1" t="s">
        <v>41</v>
      </c>
      <c r="F702" s="1" t="s">
        <v>50</v>
      </c>
      <c r="G702" s="1" t="s">
        <v>50</v>
      </c>
      <c r="H702" s="1" t="s">
        <v>50</v>
      </c>
      <c r="I702" s="1" t="s">
        <v>50</v>
      </c>
      <c r="J702" s="1" t="s">
        <v>50</v>
      </c>
      <c r="K702" s="1" t="s">
        <v>50</v>
      </c>
      <c r="L702" s="1"/>
      <c r="M702" s="1" t="s">
        <v>50</v>
      </c>
      <c r="N702" s="1" t="s">
        <v>50</v>
      </c>
      <c r="O702" s="1" t="s">
        <v>50</v>
      </c>
      <c r="P702" s="1" t="s">
        <v>2059</v>
      </c>
      <c r="Q702" s="1" t="s">
        <v>104</v>
      </c>
      <c r="R702" s="1" t="s">
        <v>104</v>
      </c>
      <c r="S702" s="1" t="s">
        <v>104</v>
      </c>
      <c r="T702" s="1" t="s">
        <v>104</v>
      </c>
      <c r="U702" s="1" t="s">
        <v>104</v>
      </c>
      <c r="V702" s="1" t="s">
        <v>104</v>
      </c>
      <c r="W702" s="1" t="s">
        <v>104</v>
      </c>
      <c r="X702" s="1" t="s">
        <v>726</v>
      </c>
      <c r="Y702" s="1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>
        <v>1</v>
      </c>
      <c r="AT702" s="8"/>
      <c r="AU702" s="8"/>
      <c r="AV702" s="8"/>
      <c r="AW702" s="8"/>
      <c r="AX702" s="8"/>
      <c r="AY702" s="8"/>
      <c r="AZ702" s="8"/>
      <c r="BA702" s="8"/>
      <c r="BB702" s="1"/>
      <c r="BJ702">
        <v>2</v>
      </c>
      <c r="BL702" s="58"/>
      <c r="BP702" t="str">
        <f t="shared" si="25"/>
        <v>ElectricSound</v>
      </c>
      <c r="BR702">
        <v>8</v>
      </c>
    </row>
    <row r="703" spans="1:70" x14ac:dyDescent="0.25">
      <c r="A703">
        <f t="shared" si="26"/>
        <v>655</v>
      </c>
      <c r="B703" t="s">
        <v>806</v>
      </c>
      <c r="D703" s="1" t="s">
        <v>8</v>
      </c>
      <c r="E703" s="1" t="s">
        <v>12</v>
      </c>
      <c r="F703" s="1" t="s">
        <v>50</v>
      </c>
      <c r="G703" s="1" t="s">
        <v>50</v>
      </c>
      <c r="H703" s="1" t="s">
        <v>50</v>
      </c>
      <c r="I703" s="1" t="s">
        <v>50</v>
      </c>
      <c r="J703" s="1" t="s">
        <v>50</v>
      </c>
      <c r="K703" s="1" t="s">
        <v>50</v>
      </c>
      <c r="L703" s="1" t="s">
        <v>104</v>
      </c>
      <c r="M703" s="1" t="s">
        <v>50</v>
      </c>
      <c r="N703" s="1" t="s">
        <v>50</v>
      </c>
      <c r="O703" s="1" t="s">
        <v>50</v>
      </c>
      <c r="P703" s="1" t="s">
        <v>1727</v>
      </c>
      <c r="Q703" s="1" t="s">
        <v>104</v>
      </c>
      <c r="R703" s="1" t="s">
        <v>104</v>
      </c>
      <c r="S703" s="1" t="s">
        <v>104</v>
      </c>
      <c r="T703" s="1" t="s">
        <v>104</v>
      </c>
      <c r="U703" s="1" t="s">
        <v>104</v>
      </c>
      <c r="V703" s="1" t="s">
        <v>104</v>
      </c>
      <c r="W703" s="1" t="s">
        <v>104</v>
      </c>
      <c r="X703" s="1" t="s">
        <v>726</v>
      </c>
      <c r="Y703" s="1"/>
      <c r="Z703" s="8"/>
      <c r="AA703" s="8"/>
      <c r="AB703" s="8"/>
      <c r="AC703" s="8"/>
      <c r="AD703" s="8"/>
      <c r="AE703" s="8">
        <v>1</v>
      </c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>
        <v>1</v>
      </c>
      <c r="AY703" s="8">
        <v>1</v>
      </c>
      <c r="AZ703" s="8"/>
      <c r="BA703" s="8"/>
      <c r="BB703" s="1"/>
      <c r="BJ703">
        <v>2</v>
      </c>
      <c r="BK703">
        <v>2</v>
      </c>
      <c r="BL703" s="58"/>
      <c r="BP703" t="str">
        <f t="shared" si="25"/>
        <v>GroundDragon</v>
      </c>
      <c r="BR703">
        <v>1</v>
      </c>
    </row>
    <row r="704" spans="1:70" x14ac:dyDescent="0.25">
      <c r="A704">
        <f t="shared" si="26"/>
        <v>656</v>
      </c>
      <c r="B704" t="s">
        <v>814</v>
      </c>
      <c r="D704" s="1" t="s">
        <v>11</v>
      </c>
      <c r="E704" s="1">
        <v>0</v>
      </c>
      <c r="F704" s="1" t="s">
        <v>50</v>
      </c>
      <c r="G704" s="1" t="s">
        <v>50</v>
      </c>
      <c r="H704" s="1"/>
      <c r="I704" s="1" t="s">
        <v>50</v>
      </c>
      <c r="J704" s="1" t="s">
        <v>50</v>
      </c>
      <c r="K704" s="1" t="s">
        <v>50</v>
      </c>
      <c r="L704" s="1" t="s">
        <v>50</v>
      </c>
      <c r="M704" s="1" t="s">
        <v>50</v>
      </c>
      <c r="N704" s="1" t="s">
        <v>50</v>
      </c>
      <c r="O704" s="1" t="s">
        <v>50</v>
      </c>
      <c r="P704" s="13" t="s">
        <v>1705</v>
      </c>
      <c r="Q704" s="1" t="s">
        <v>104</v>
      </c>
      <c r="R704" s="1" t="s">
        <v>104</v>
      </c>
      <c r="S704" s="1" t="s">
        <v>104</v>
      </c>
      <c r="T704" s="1" t="s">
        <v>104</v>
      </c>
      <c r="U704" s="1" t="s">
        <v>104</v>
      </c>
      <c r="V704" s="1" t="s">
        <v>104</v>
      </c>
      <c r="W704" s="1" t="s">
        <v>104</v>
      </c>
      <c r="X704" s="1" t="s">
        <v>727</v>
      </c>
      <c r="Y704" s="1"/>
      <c r="Z704" s="8">
        <v>1</v>
      </c>
      <c r="AA704" s="8">
        <v>1</v>
      </c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1"/>
      <c r="BL704" s="58"/>
      <c r="BP704" t="str">
        <f t="shared" si="25"/>
        <v>Grass0</v>
      </c>
      <c r="BQ704" t="s">
        <v>2</v>
      </c>
      <c r="BR704">
        <v>8</v>
      </c>
    </row>
    <row r="705" spans="1:70" x14ac:dyDescent="0.25">
      <c r="A705">
        <f t="shared" si="26"/>
        <v>657</v>
      </c>
      <c r="B705" t="s">
        <v>815</v>
      </c>
      <c r="D705" s="1" t="s">
        <v>11</v>
      </c>
      <c r="E705" s="1">
        <v>0</v>
      </c>
      <c r="F705" s="1" t="s">
        <v>50</v>
      </c>
      <c r="G705" s="1" t="s">
        <v>50</v>
      </c>
      <c r="H705" s="1" t="s">
        <v>50</v>
      </c>
      <c r="I705" s="1" t="s">
        <v>50</v>
      </c>
      <c r="J705" s="1" t="s">
        <v>50</v>
      </c>
      <c r="K705" s="1" t="s">
        <v>50</v>
      </c>
      <c r="L705" s="1" t="s">
        <v>50</v>
      </c>
      <c r="M705" s="1" t="s">
        <v>104</v>
      </c>
      <c r="N705" s="1" t="s">
        <v>50</v>
      </c>
      <c r="O705" s="1" t="s">
        <v>50</v>
      </c>
      <c r="P705" s="13" t="s">
        <v>1705</v>
      </c>
      <c r="Q705" s="1" t="s">
        <v>104</v>
      </c>
      <c r="R705" s="1" t="s">
        <v>104</v>
      </c>
      <c r="S705" s="1" t="s">
        <v>104</v>
      </c>
      <c r="T705" s="1" t="s">
        <v>104</v>
      </c>
      <c r="U705" s="1" t="s">
        <v>104</v>
      </c>
      <c r="V705" s="1" t="s">
        <v>104</v>
      </c>
      <c r="W705" s="1" t="s">
        <v>104</v>
      </c>
      <c r="X705" s="1" t="s">
        <v>727</v>
      </c>
      <c r="Y705" s="1"/>
      <c r="Z705" s="8">
        <v>1</v>
      </c>
      <c r="AA705" s="8">
        <v>1</v>
      </c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1"/>
      <c r="BJ705">
        <v>1</v>
      </c>
      <c r="BL705" s="58"/>
      <c r="BP705" t="str">
        <f t="shared" si="25"/>
        <v>Grass0</v>
      </c>
      <c r="BR705">
        <v>8</v>
      </c>
    </row>
    <row r="706" spans="1:70" x14ac:dyDescent="0.25">
      <c r="A706">
        <f t="shared" si="26"/>
        <v>658</v>
      </c>
      <c r="B706" t="s">
        <v>816</v>
      </c>
      <c r="D706" s="1" t="s">
        <v>15</v>
      </c>
      <c r="E706" s="1" t="s">
        <v>1</v>
      </c>
      <c r="F706" s="1" t="s">
        <v>50</v>
      </c>
      <c r="G706" s="1" t="s">
        <v>50</v>
      </c>
      <c r="H706" s="1"/>
      <c r="I706" s="1" t="s">
        <v>50</v>
      </c>
      <c r="J706" s="1" t="s">
        <v>50</v>
      </c>
      <c r="K706" s="1" t="s">
        <v>50</v>
      </c>
      <c r="L706" s="1"/>
      <c r="M706" s="1" t="s">
        <v>50</v>
      </c>
      <c r="N706" s="1" t="s">
        <v>50</v>
      </c>
      <c r="O706" s="1" t="s">
        <v>50</v>
      </c>
      <c r="P706" s="1" t="s">
        <v>811</v>
      </c>
      <c r="Q706" s="1" t="s">
        <v>104</v>
      </c>
      <c r="R706" s="1" t="s">
        <v>104</v>
      </c>
      <c r="S706" s="1" t="s">
        <v>104</v>
      </c>
      <c r="T706" s="1" t="s">
        <v>104</v>
      </c>
      <c r="U706" s="1" t="s">
        <v>104</v>
      </c>
      <c r="V706" s="1" t="s">
        <v>104</v>
      </c>
      <c r="W706" s="1" t="s">
        <v>104</v>
      </c>
      <c r="X706" s="1" t="s">
        <v>727</v>
      </c>
      <c r="Y706" s="1"/>
      <c r="Z706" s="8"/>
      <c r="AA706" s="8">
        <v>1</v>
      </c>
      <c r="AB706" s="8"/>
      <c r="AC706" s="8"/>
      <c r="AD706" s="8"/>
      <c r="AE706" s="8"/>
      <c r="AF706" s="8"/>
      <c r="AG706" s="8"/>
      <c r="AH706" s="8"/>
      <c r="AI706" s="8">
        <v>1</v>
      </c>
      <c r="AJ706" s="8">
        <v>1</v>
      </c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>
        <v>1</v>
      </c>
      <c r="BA706" s="8"/>
      <c r="BB706" s="1"/>
      <c r="BL706" s="58"/>
      <c r="BP706" t="str">
        <f t="shared" ref="BP706:BP769" si="27">D706&amp;E706</f>
        <v>WaterNormal</v>
      </c>
      <c r="BQ706" t="s">
        <v>2</v>
      </c>
      <c r="BR706">
        <v>4</v>
      </c>
    </row>
    <row r="707" spans="1:70" x14ac:dyDescent="0.25">
      <c r="A707">
        <f t="shared" si="26"/>
        <v>659</v>
      </c>
      <c r="B707" t="s">
        <v>817</v>
      </c>
      <c r="D707" s="1" t="s">
        <v>15</v>
      </c>
      <c r="E707" s="1" t="s">
        <v>8</v>
      </c>
      <c r="F707" s="1" t="s">
        <v>50</v>
      </c>
      <c r="G707" s="1" t="s">
        <v>50</v>
      </c>
      <c r="H707" s="1" t="s">
        <v>50</v>
      </c>
      <c r="I707" s="1" t="s">
        <v>50</v>
      </c>
      <c r="J707" s="1" t="s">
        <v>50</v>
      </c>
      <c r="K707" s="1" t="s">
        <v>50</v>
      </c>
      <c r="L707" s="1"/>
      <c r="M707" s="1" t="s">
        <v>104</v>
      </c>
      <c r="N707" s="1" t="s">
        <v>50</v>
      </c>
      <c r="O707" s="1" t="s">
        <v>50</v>
      </c>
      <c r="P707" s="1" t="s">
        <v>811</v>
      </c>
      <c r="Q707" s="1" t="s">
        <v>104</v>
      </c>
      <c r="R707" s="1" t="s">
        <v>104</v>
      </c>
      <c r="S707" s="1" t="s">
        <v>104</v>
      </c>
      <c r="T707" s="1" t="s">
        <v>104</v>
      </c>
      <c r="U707" s="1" t="s">
        <v>104</v>
      </c>
      <c r="V707" s="1" t="s">
        <v>104</v>
      </c>
      <c r="W707" s="1" t="s">
        <v>104</v>
      </c>
      <c r="X707" s="1" t="s">
        <v>727</v>
      </c>
      <c r="Y707" s="1"/>
      <c r="Z707" s="8"/>
      <c r="AA707" s="8">
        <v>1</v>
      </c>
      <c r="AB707" s="8"/>
      <c r="AC707" s="8"/>
      <c r="AD707" s="8"/>
      <c r="AE707" s="8"/>
      <c r="AF707" s="8"/>
      <c r="AG707" s="8"/>
      <c r="AH707" s="8"/>
      <c r="AI707" s="8">
        <v>1</v>
      </c>
      <c r="AJ707" s="8">
        <v>1</v>
      </c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>
        <v>1</v>
      </c>
      <c r="BA707" s="8"/>
      <c r="BB707" s="1"/>
      <c r="BJ707">
        <v>2</v>
      </c>
      <c r="BK707">
        <v>1</v>
      </c>
      <c r="BL707" s="58"/>
      <c r="BP707" t="str">
        <f t="shared" si="27"/>
        <v>WaterGround</v>
      </c>
      <c r="BR707">
        <v>4</v>
      </c>
    </row>
    <row r="708" spans="1:70" x14ac:dyDescent="0.25">
      <c r="A708">
        <f t="shared" si="26"/>
        <v>660</v>
      </c>
      <c r="B708" t="s">
        <v>834</v>
      </c>
      <c r="D708" s="1" t="s">
        <v>41</v>
      </c>
      <c r="E708" s="1" t="s">
        <v>8</v>
      </c>
      <c r="F708" s="1" t="s">
        <v>50</v>
      </c>
      <c r="G708" s="1" t="s">
        <v>50</v>
      </c>
      <c r="H708" s="1"/>
      <c r="I708" s="1" t="s">
        <v>50</v>
      </c>
      <c r="J708" s="1" t="s">
        <v>50</v>
      </c>
      <c r="K708" s="1" t="s">
        <v>50</v>
      </c>
      <c r="L708" s="1"/>
      <c r="M708" s="1" t="s">
        <v>50</v>
      </c>
      <c r="N708" s="1" t="s">
        <v>50</v>
      </c>
      <c r="O708" s="1" t="s">
        <v>50</v>
      </c>
      <c r="P708" s="1" t="s">
        <v>726</v>
      </c>
      <c r="Q708" s="1" t="s">
        <v>104</v>
      </c>
      <c r="R708" s="1" t="s">
        <v>104</v>
      </c>
      <c r="S708" s="1" t="s">
        <v>104</v>
      </c>
      <c r="T708" s="1" t="s">
        <v>104</v>
      </c>
      <c r="U708" s="1" t="s">
        <v>104</v>
      </c>
      <c r="V708" s="1" t="s">
        <v>104</v>
      </c>
      <c r="W708" s="1" t="s">
        <v>104</v>
      </c>
      <c r="X708" s="1" t="s">
        <v>727</v>
      </c>
      <c r="Y708" s="1"/>
      <c r="Z708" s="8"/>
      <c r="AA708" s="8"/>
      <c r="AB708" s="8"/>
      <c r="AC708" s="8"/>
      <c r="AD708" s="8">
        <v>1</v>
      </c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>
        <v>1</v>
      </c>
      <c r="AY708" s="8">
        <v>1</v>
      </c>
      <c r="AZ708" s="8"/>
      <c r="BA708" s="8"/>
      <c r="BB708" s="1"/>
      <c r="BL708" s="58"/>
      <c r="BP708" t="str">
        <f t="shared" si="27"/>
        <v>SoundGround</v>
      </c>
      <c r="BQ708" t="s">
        <v>2</v>
      </c>
      <c r="BR708">
        <v>5</v>
      </c>
    </row>
    <row r="709" spans="1:70" x14ac:dyDescent="0.25">
      <c r="A709">
        <f t="shared" si="26"/>
        <v>661</v>
      </c>
      <c r="B709" t="s">
        <v>835</v>
      </c>
      <c r="D709" s="1" t="s">
        <v>41</v>
      </c>
      <c r="E709" s="1" t="s">
        <v>8</v>
      </c>
      <c r="F709" s="1" t="s">
        <v>50</v>
      </c>
      <c r="G709" s="1" t="s">
        <v>50</v>
      </c>
      <c r="H709" s="1" t="s">
        <v>50</v>
      </c>
      <c r="I709" s="1" t="s">
        <v>50</v>
      </c>
      <c r="J709" s="1" t="s">
        <v>50</v>
      </c>
      <c r="K709" s="1" t="s">
        <v>50</v>
      </c>
      <c r="L709" s="1"/>
      <c r="M709" s="1" t="s">
        <v>104</v>
      </c>
      <c r="N709" s="1" t="s">
        <v>50</v>
      </c>
      <c r="O709" s="1" t="s">
        <v>50</v>
      </c>
      <c r="P709" s="1" t="s">
        <v>726</v>
      </c>
      <c r="Q709" s="1" t="s">
        <v>104</v>
      </c>
      <c r="R709" s="1" t="s">
        <v>104</v>
      </c>
      <c r="S709" s="1" t="s">
        <v>104</v>
      </c>
      <c r="T709" s="1" t="s">
        <v>104</v>
      </c>
      <c r="U709" s="1" t="s">
        <v>104</v>
      </c>
      <c r="V709" s="1" t="s">
        <v>104</v>
      </c>
      <c r="W709" s="1" t="s">
        <v>104</v>
      </c>
      <c r="X709" s="1" t="s">
        <v>727</v>
      </c>
      <c r="Y709" s="1"/>
      <c r="Z709" s="8"/>
      <c r="AA709" s="8"/>
      <c r="AB709" s="8"/>
      <c r="AC709" s="8"/>
      <c r="AD709" s="8">
        <v>1</v>
      </c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>
        <v>1</v>
      </c>
      <c r="AY709" s="8">
        <v>1</v>
      </c>
      <c r="AZ709" s="8"/>
      <c r="BA709" s="8"/>
      <c r="BB709" s="1"/>
      <c r="BJ709">
        <v>9</v>
      </c>
      <c r="BK709">
        <v>4</v>
      </c>
      <c r="BL709" s="58">
        <v>1</v>
      </c>
      <c r="BP709" t="str">
        <f t="shared" si="27"/>
        <v>SoundGround</v>
      </c>
      <c r="BR709">
        <v>5</v>
      </c>
    </row>
    <row r="710" spans="1:70" x14ac:dyDescent="0.25">
      <c r="A710">
        <f t="shared" si="26"/>
        <v>662</v>
      </c>
      <c r="B710" t="s">
        <v>836</v>
      </c>
      <c r="D710" s="1" t="s">
        <v>5</v>
      </c>
      <c r="E710" s="1" t="s">
        <v>44</v>
      </c>
      <c r="F710" s="1" t="s">
        <v>50</v>
      </c>
      <c r="G710" s="1" t="s">
        <v>50</v>
      </c>
      <c r="H710" s="1"/>
      <c r="I710" s="1" t="s">
        <v>50</v>
      </c>
      <c r="J710" s="1" t="s">
        <v>50</v>
      </c>
      <c r="K710" s="1" t="s">
        <v>50</v>
      </c>
      <c r="L710" s="1"/>
      <c r="M710" s="1" t="s">
        <v>50</v>
      </c>
      <c r="N710" s="1" t="s">
        <v>50</v>
      </c>
      <c r="O710" s="1" t="s">
        <v>50</v>
      </c>
      <c r="P710" s="1" t="s">
        <v>2063</v>
      </c>
      <c r="Q710" s="1" t="s">
        <v>104</v>
      </c>
      <c r="R710" s="1" t="s">
        <v>104</v>
      </c>
      <c r="S710" s="1" t="s">
        <v>104</v>
      </c>
      <c r="T710" s="1" t="s">
        <v>104</v>
      </c>
      <c r="U710" s="1" t="s">
        <v>104</v>
      </c>
      <c r="V710" s="1" t="s">
        <v>104</v>
      </c>
      <c r="W710" s="1" t="s">
        <v>104</v>
      </c>
      <c r="X710" s="1" t="s">
        <v>726</v>
      </c>
      <c r="Y710" s="1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>
        <v>1</v>
      </c>
      <c r="AQ710" s="8">
        <v>1</v>
      </c>
      <c r="AR710" s="8">
        <v>1</v>
      </c>
      <c r="AS710" s="8"/>
      <c r="AT710" s="8"/>
      <c r="AU710" s="8"/>
      <c r="AV710" s="8"/>
      <c r="AW710" s="8"/>
      <c r="AX710" s="8"/>
      <c r="AY710" s="8"/>
      <c r="AZ710" s="8"/>
      <c r="BA710" s="8"/>
      <c r="BB710" s="1"/>
      <c r="BL710" s="58"/>
      <c r="BP710" t="str">
        <f t="shared" si="27"/>
        <v>IceLight</v>
      </c>
      <c r="BQ710" t="s">
        <v>2</v>
      </c>
      <c r="BR710">
        <v>5</v>
      </c>
    </row>
    <row r="711" spans="1:70" x14ac:dyDescent="0.25">
      <c r="A711">
        <f t="shared" si="26"/>
        <v>663</v>
      </c>
      <c r="B711" t="s">
        <v>837</v>
      </c>
      <c r="D711" s="1" t="s">
        <v>5</v>
      </c>
      <c r="E711" s="1" t="s">
        <v>44</v>
      </c>
      <c r="F711" s="1" t="s">
        <v>50</v>
      </c>
      <c r="G711" s="1" t="s">
        <v>50</v>
      </c>
      <c r="H711" s="1" t="s">
        <v>50</v>
      </c>
      <c r="I711" s="1" t="s">
        <v>50</v>
      </c>
      <c r="J711" s="1" t="s">
        <v>50</v>
      </c>
      <c r="K711" s="1" t="s">
        <v>50</v>
      </c>
      <c r="L711" s="1"/>
      <c r="M711" s="1" t="s">
        <v>104</v>
      </c>
      <c r="N711" s="1" t="s">
        <v>50</v>
      </c>
      <c r="O711" s="1" t="s">
        <v>50</v>
      </c>
      <c r="P711" s="1" t="s">
        <v>2063</v>
      </c>
      <c r="Q711" s="1" t="s">
        <v>104</v>
      </c>
      <c r="R711" s="1" t="s">
        <v>104</v>
      </c>
      <c r="S711" s="1" t="s">
        <v>104</v>
      </c>
      <c r="T711" s="1" t="s">
        <v>104</v>
      </c>
      <c r="U711" s="1" t="s">
        <v>104</v>
      </c>
      <c r="V711" s="1" t="s">
        <v>104</v>
      </c>
      <c r="W711" s="1" t="s">
        <v>104</v>
      </c>
      <c r="X711" s="1" t="s">
        <v>726</v>
      </c>
      <c r="Y711" s="1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>
        <v>1</v>
      </c>
      <c r="AQ711" s="8">
        <v>1</v>
      </c>
      <c r="AR711" s="8">
        <v>1</v>
      </c>
      <c r="AS711" s="8"/>
      <c r="AT711" s="8"/>
      <c r="AU711" s="8"/>
      <c r="AV711" s="8"/>
      <c r="AW711" s="8"/>
      <c r="AX711" s="8"/>
      <c r="AY711" s="8"/>
      <c r="AZ711" s="8"/>
      <c r="BA711" s="8"/>
      <c r="BB711" s="1"/>
      <c r="BJ711">
        <v>7</v>
      </c>
      <c r="BK711">
        <v>1</v>
      </c>
      <c r="BL711" s="58"/>
      <c r="BP711" t="str">
        <f t="shared" si="27"/>
        <v>IceLight</v>
      </c>
      <c r="BR711">
        <v>5</v>
      </c>
    </row>
    <row r="712" spans="1:70" x14ac:dyDescent="0.25">
      <c r="A712">
        <f t="shared" si="26"/>
        <v>664</v>
      </c>
      <c r="B712" t="s">
        <v>838</v>
      </c>
      <c r="D712" s="1" t="s">
        <v>9</v>
      </c>
      <c r="E712" s="1">
        <v>0</v>
      </c>
      <c r="F712" s="1" t="s">
        <v>50</v>
      </c>
      <c r="G712" s="1" t="s">
        <v>50</v>
      </c>
      <c r="H712" s="1"/>
      <c r="I712" s="1" t="s">
        <v>50</v>
      </c>
      <c r="J712" s="1" t="s">
        <v>50</v>
      </c>
      <c r="K712" s="1" t="s">
        <v>50</v>
      </c>
      <c r="L712" s="1" t="s">
        <v>1767</v>
      </c>
      <c r="M712" s="1" t="s">
        <v>50</v>
      </c>
      <c r="N712" s="1" t="s">
        <v>50</v>
      </c>
      <c r="O712" s="1" t="s">
        <v>50</v>
      </c>
      <c r="P712" s="1" t="s">
        <v>1704</v>
      </c>
      <c r="Q712" s="1" t="s">
        <v>104</v>
      </c>
      <c r="R712" s="1" t="s">
        <v>104</v>
      </c>
      <c r="S712" s="1" t="s">
        <v>104</v>
      </c>
      <c r="T712" s="1" t="s">
        <v>104</v>
      </c>
      <c r="U712" s="1" t="s">
        <v>104</v>
      </c>
      <c r="V712" s="1" t="s">
        <v>104</v>
      </c>
      <c r="W712" s="1" t="s">
        <v>104</v>
      </c>
      <c r="X712" s="1" t="s">
        <v>727</v>
      </c>
      <c r="Y712" s="1"/>
      <c r="Z712" s="8"/>
      <c r="AA712" s="8"/>
      <c r="AB712" s="8"/>
      <c r="AC712" s="8">
        <v>1</v>
      </c>
      <c r="AD712" s="8">
        <v>1</v>
      </c>
      <c r="AE712" s="8"/>
      <c r="AF712" s="8"/>
      <c r="AG712" s="8">
        <v>1</v>
      </c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>
        <v>1</v>
      </c>
      <c r="AY712" s="8">
        <v>1</v>
      </c>
      <c r="AZ712" s="8"/>
      <c r="BA712" s="8"/>
      <c r="BB712" s="1"/>
      <c r="BL712" s="58"/>
      <c r="BP712" t="str">
        <f t="shared" si="27"/>
        <v>Rock0</v>
      </c>
      <c r="BQ712" t="s">
        <v>2</v>
      </c>
      <c r="BR712">
        <v>8</v>
      </c>
    </row>
    <row r="713" spans="1:70" x14ac:dyDescent="0.25">
      <c r="A713">
        <f t="shared" si="26"/>
        <v>665</v>
      </c>
      <c r="B713" t="s">
        <v>839</v>
      </c>
      <c r="D713" s="1" t="s">
        <v>9</v>
      </c>
      <c r="E713" s="1" t="s">
        <v>16</v>
      </c>
      <c r="F713" s="1" t="s">
        <v>50</v>
      </c>
      <c r="G713" s="1" t="s">
        <v>50</v>
      </c>
      <c r="H713" s="1" t="s">
        <v>50</v>
      </c>
      <c r="I713" s="1" t="s">
        <v>50</v>
      </c>
      <c r="J713" s="1" t="s">
        <v>50</v>
      </c>
      <c r="K713" s="1" t="s">
        <v>50</v>
      </c>
      <c r="L713" s="1"/>
      <c r="M713" s="1" t="s">
        <v>104</v>
      </c>
      <c r="N713" s="1" t="s">
        <v>50</v>
      </c>
      <c r="O713" s="1" t="s">
        <v>50</v>
      </c>
      <c r="P713" s="1" t="s">
        <v>1704</v>
      </c>
      <c r="Q713" s="1" t="s">
        <v>104</v>
      </c>
      <c r="R713" s="1" t="s">
        <v>104</v>
      </c>
      <c r="S713" s="1" t="s">
        <v>104</v>
      </c>
      <c r="T713" s="1" t="s">
        <v>104</v>
      </c>
      <c r="U713" s="1" t="s">
        <v>104</v>
      </c>
      <c r="V713" s="1" t="s">
        <v>104</v>
      </c>
      <c r="W713" s="1" t="s">
        <v>104</v>
      </c>
      <c r="X713" s="1" t="s">
        <v>727</v>
      </c>
      <c r="Y713" s="1"/>
      <c r="Z713" s="8"/>
      <c r="AA713" s="8"/>
      <c r="AB713" s="8"/>
      <c r="AC713" s="8">
        <v>1</v>
      </c>
      <c r="AD713" s="8">
        <v>1</v>
      </c>
      <c r="AE713" s="8"/>
      <c r="AF713" s="8"/>
      <c r="AG713" s="8">
        <v>1</v>
      </c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>
        <v>1</v>
      </c>
      <c r="AY713" s="8">
        <v>1</v>
      </c>
      <c r="AZ713" s="8"/>
      <c r="BA713" s="8"/>
      <c r="BB713" s="1"/>
      <c r="BJ713">
        <v>1</v>
      </c>
      <c r="BL713" s="58"/>
      <c r="BP713" t="str">
        <f t="shared" si="27"/>
        <v>RockFlying</v>
      </c>
      <c r="BR713">
        <v>8</v>
      </c>
    </row>
    <row r="714" spans="1:70" x14ac:dyDescent="0.25">
      <c r="A714">
        <f t="shared" si="26"/>
        <v>666</v>
      </c>
      <c r="B714" t="s">
        <v>840</v>
      </c>
      <c r="D714" s="1" t="s">
        <v>13</v>
      </c>
      <c r="E714" s="1" t="s">
        <v>44</v>
      </c>
      <c r="F714" s="1" t="s">
        <v>50</v>
      </c>
      <c r="G714" s="1" t="s">
        <v>50</v>
      </c>
      <c r="H714" s="1"/>
      <c r="I714" s="1" t="s">
        <v>50</v>
      </c>
      <c r="J714" s="1" t="s">
        <v>50</v>
      </c>
      <c r="K714" s="1" t="s">
        <v>50</v>
      </c>
      <c r="L714" s="1" t="s">
        <v>50</v>
      </c>
      <c r="M714" s="1" t="s">
        <v>50</v>
      </c>
      <c r="N714" s="1" t="s">
        <v>50</v>
      </c>
      <c r="O714" s="1" t="s">
        <v>50</v>
      </c>
      <c r="P714" s="1" t="s">
        <v>1704</v>
      </c>
      <c r="Q714" s="1" t="s">
        <v>104</v>
      </c>
      <c r="R714" s="1" t="s">
        <v>104</v>
      </c>
      <c r="S714" s="1" t="s">
        <v>104</v>
      </c>
      <c r="T714" s="1" t="s">
        <v>104</v>
      </c>
      <c r="U714" s="1" t="s">
        <v>104</v>
      </c>
      <c r="V714" s="1" t="s">
        <v>104</v>
      </c>
      <c r="W714" s="1" t="s">
        <v>104</v>
      </c>
      <c r="X714" s="1" t="s">
        <v>727</v>
      </c>
      <c r="Y714" s="1"/>
      <c r="Z714" s="8">
        <v>1</v>
      </c>
      <c r="AA714" s="8"/>
      <c r="AB714" s="8"/>
      <c r="AC714" s="8"/>
      <c r="AD714" s="8"/>
      <c r="AE714" s="8"/>
      <c r="AF714" s="8"/>
      <c r="AG714" s="8">
        <v>1</v>
      </c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>
        <v>1</v>
      </c>
      <c r="AV714" s="8"/>
      <c r="AW714" s="8"/>
      <c r="AX714" s="8">
        <v>1</v>
      </c>
      <c r="AY714" s="8"/>
      <c r="AZ714" s="8"/>
      <c r="BA714" s="8"/>
      <c r="BB714" s="1"/>
      <c r="BL714" s="58"/>
      <c r="BP714" t="str">
        <f t="shared" si="27"/>
        <v>FireLight</v>
      </c>
      <c r="BQ714" t="s">
        <v>2</v>
      </c>
      <c r="BR714">
        <v>2</v>
      </c>
    </row>
    <row r="715" spans="1:70" x14ac:dyDescent="0.25">
      <c r="A715">
        <f t="shared" si="26"/>
        <v>667</v>
      </c>
      <c r="B715" t="s">
        <v>841</v>
      </c>
      <c r="D715" s="1" t="s">
        <v>13</v>
      </c>
      <c r="E715" s="1" t="s">
        <v>44</v>
      </c>
      <c r="F715" s="1" t="s">
        <v>50</v>
      </c>
      <c r="G715" s="1" t="s">
        <v>50</v>
      </c>
      <c r="H715" s="1" t="s">
        <v>50</v>
      </c>
      <c r="I715" s="1" t="s">
        <v>50</v>
      </c>
      <c r="J715" s="1" t="s">
        <v>50</v>
      </c>
      <c r="K715" s="1" t="s">
        <v>50</v>
      </c>
      <c r="L715" s="1"/>
      <c r="M715" s="1" t="s">
        <v>104</v>
      </c>
      <c r="N715" s="1" t="s">
        <v>50</v>
      </c>
      <c r="O715" s="1" t="s">
        <v>50</v>
      </c>
      <c r="P715" s="1" t="s">
        <v>1704</v>
      </c>
      <c r="Q715" s="1" t="s">
        <v>50</v>
      </c>
      <c r="R715" s="1" t="s">
        <v>50</v>
      </c>
      <c r="S715" s="1" t="s">
        <v>50</v>
      </c>
      <c r="T715" s="1" t="s">
        <v>50</v>
      </c>
      <c r="U715" s="1" t="s">
        <v>50</v>
      </c>
      <c r="V715" s="1" t="s">
        <v>50</v>
      </c>
      <c r="W715" s="1" t="s">
        <v>50</v>
      </c>
      <c r="X715" s="1" t="s">
        <v>727</v>
      </c>
      <c r="Y715" s="1"/>
      <c r="Z715" s="8">
        <v>1</v>
      </c>
      <c r="AA715" s="8"/>
      <c r="AB715" s="8"/>
      <c r="AC715" s="8"/>
      <c r="AD715" s="8"/>
      <c r="AE715" s="8"/>
      <c r="AF715" s="8"/>
      <c r="AG715" s="8">
        <v>1</v>
      </c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>
        <v>1</v>
      </c>
      <c r="AV715" s="8"/>
      <c r="AW715" s="8"/>
      <c r="AX715" s="8">
        <v>1</v>
      </c>
      <c r="AY715" s="8"/>
      <c r="AZ715" s="8"/>
      <c r="BA715" s="8"/>
      <c r="BB715" s="1"/>
      <c r="BJ715">
        <v>10</v>
      </c>
      <c r="BK715">
        <v>1</v>
      </c>
      <c r="BL715" s="58"/>
      <c r="BP715" t="str">
        <f t="shared" si="27"/>
        <v>FireLight</v>
      </c>
      <c r="BR715">
        <v>2</v>
      </c>
    </row>
    <row r="716" spans="1:70" x14ac:dyDescent="0.25">
      <c r="A716">
        <f t="shared" si="26"/>
        <v>668</v>
      </c>
      <c r="B716" t="s">
        <v>846</v>
      </c>
      <c r="D716" s="1" t="s">
        <v>15</v>
      </c>
      <c r="E716" s="1" t="s">
        <v>5</v>
      </c>
      <c r="F716" s="1" t="s">
        <v>50</v>
      </c>
      <c r="G716" s="1" t="s">
        <v>50</v>
      </c>
      <c r="H716" s="1"/>
      <c r="I716" s="1" t="s">
        <v>50</v>
      </c>
      <c r="J716" s="1" t="s">
        <v>50</v>
      </c>
      <c r="K716" s="1" t="s">
        <v>50</v>
      </c>
      <c r="L716" s="1" t="s">
        <v>50</v>
      </c>
      <c r="M716" s="1" t="s">
        <v>50</v>
      </c>
      <c r="N716" s="1" t="s">
        <v>50</v>
      </c>
      <c r="O716" s="1" t="s">
        <v>50</v>
      </c>
      <c r="P716" s="1" t="s">
        <v>1796</v>
      </c>
      <c r="Q716" s="1" t="s">
        <v>104</v>
      </c>
      <c r="R716" s="1" t="s">
        <v>104</v>
      </c>
      <c r="S716" s="1" t="s">
        <v>104</v>
      </c>
      <c r="T716" s="1" t="s">
        <v>104</v>
      </c>
      <c r="U716" s="1" t="s">
        <v>104</v>
      </c>
      <c r="V716" s="1" t="s">
        <v>104</v>
      </c>
      <c r="W716" s="1" t="s">
        <v>104</v>
      </c>
      <c r="X716" s="1" t="s">
        <v>727</v>
      </c>
      <c r="Y716" s="1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>
        <v>1</v>
      </c>
      <c r="AM716" s="8">
        <v>1</v>
      </c>
      <c r="AN716" s="8">
        <v>1</v>
      </c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1"/>
      <c r="BL716" s="58"/>
      <c r="BP716" t="str">
        <f t="shared" si="27"/>
        <v>WaterIce</v>
      </c>
      <c r="BQ716" t="s">
        <v>2</v>
      </c>
      <c r="BR716">
        <v>2</v>
      </c>
    </row>
    <row r="717" spans="1:70" x14ac:dyDescent="0.25">
      <c r="A717">
        <f t="shared" si="26"/>
        <v>669</v>
      </c>
      <c r="B717" t="s">
        <v>847</v>
      </c>
      <c r="D717" s="1" t="s">
        <v>15</v>
      </c>
      <c r="E717" s="1" t="s">
        <v>5</v>
      </c>
      <c r="F717" s="1" t="s">
        <v>50</v>
      </c>
      <c r="G717" s="1" t="s">
        <v>50</v>
      </c>
      <c r="H717" s="1"/>
      <c r="I717" s="1" t="s">
        <v>50</v>
      </c>
      <c r="J717" s="1" t="s">
        <v>50</v>
      </c>
      <c r="K717" s="1" t="s">
        <v>50</v>
      </c>
      <c r="L717" s="1" t="s">
        <v>50</v>
      </c>
      <c r="M717" s="1" t="s">
        <v>104</v>
      </c>
      <c r="N717" s="1" t="s">
        <v>50</v>
      </c>
      <c r="O717" s="1" t="s">
        <v>50</v>
      </c>
      <c r="P717" s="1" t="s">
        <v>1796</v>
      </c>
      <c r="Q717" s="1" t="s">
        <v>104</v>
      </c>
      <c r="R717" s="1" t="s">
        <v>104</v>
      </c>
      <c r="S717" s="1" t="s">
        <v>104</v>
      </c>
      <c r="T717" s="1" t="s">
        <v>104</v>
      </c>
      <c r="U717" s="1" t="s">
        <v>104</v>
      </c>
      <c r="V717" s="1" t="s">
        <v>104</v>
      </c>
      <c r="W717" s="1" t="s">
        <v>104</v>
      </c>
      <c r="X717" s="1" t="s">
        <v>727</v>
      </c>
      <c r="Y717" s="1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>
        <v>1</v>
      </c>
      <c r="AM717" s="8">
        <v>1</v>
      </c>
      <c r="AN717" s="8">
        <v>1</v>
      </c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1"/>
      <c r="BL717" s="58"/>
      <c r="BP717" t="str">
        <f t="shared" si="27"/>
        <v>WaterIce</v>
      </c>
      <c r="BQ717" t="s">
        <v>2</v>
      </c>
      <c r="BR717">
        <v>2</v>
      </c>
    </row>
    <row r="718" spans="1:70" x14ac:dyDescent="0.25">
      <c r="A718">
        <f t="shared" si="26"/>
        <v>670</v>
      </c>
      <c r="B718" t="s">
        <v>848</v>
      </c>
      <c r="D718" s="1" t="s">
        <v>15</v>
      </c>
      <c r="E718" s="1" t="s">
        <v>5</v>
      </c>
      <c r="F718" s="1" t="s">
        <v>50</v>
      </c>
      <c r="G718" s="1" t="s">
        <v>50</v>
      </c>
      <c r="H718" s="1" t="s">
        <v>50</v>
      </c>
      <c r="I718" s="1" t="s">
        <v>50</v>
      </c>
      <c r="J718" s="1" t="s">
        <v>50</v>
      </c>
      <c r="K718" s="1" t="s">
        <v>50</v>
      </c>
      <c r="L718" s="1"/>
      <c r="M718" s="1" t="s">
        <v>104</v>
      </c>
      <c r="N718" s="1" t="s">
        <v>50</v>
      </c>
      <c r="O718" s="1" t="s">
        <v>50</v>
      </c>
      <c r="P718" s="1" t="s">
        <v>1796</v>
      </c>
      <c r="Q718" s="1" t="s">
        <v>50</v>
      </c>
      <c r="R718" s="1" t="s">
        <v>50</v>
      </c>
      <c r="S718" s="1" t="s">
        <v>50</v>
      </c>
      <c r="T718" s="1" t="s">
        <v>50</v>
      </c>
      <c r="U718" s="1" t="s">
        <v>50</v>
      </c>
      <c r="V718" s="1" t="s">
        <v>50</v>
      </c>
      <c r="W718" s="1" t="s">
        <v>50</v>
      </c>
      <c r="X718" s="1" t="s">
        <v>727</v>
      </c>
      <c r="Y718" s="1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>
        <v>1</v>
      </c>
      <c r="AM718" s="8">
        <v>1</v>
      </c>
      <c r="AN718" s="8">
        <v>1</v>
      </c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1"/>
      <c r="BJ718">
        <v>1</v>
      </c>
      <c r="BK718">
        <v>1</v>
      </c>
      <c r="BL718" s="58"/>
      <c r="BP718" t="str">
        <f t="shared" si="27"/>
        <v>WaterIce</v>
      </c>
      <c r="BR718">
        <v>2</v>
      </c>
    </row>
    <row r="719" spans="1:70" x14ac:dyDescent="0.25">
      <c r="A719">
        <f t="shared" si="26"/>
        <v>671</v>
      </c>
      <c r="B719" t="s">
        <v>849</v>
      </c>
      <c r="D719" s="1" t="s">
        <v>42</v>
      </c>
      <c r="E719" s="1" t="s">
        <v>10</v>
      </c>
      <c r="F719" s="1" t="s">
        <v>50</v>
      </c>
      <c r="G719" s="1" t="s">
        <v>50</v>
      </c>
      <c r="H719" s="1"/>
      <c r="I719" s="1" t="s">
        <v>50</v>
      </c>
      <c r="J719" s="1" t="s">
        <v>50</v>
      </c>
      <c r="K719" s="1" t="s">
        <v>50</v>
      </c>
      <c r="L719" s="1" t="s">
        <v>1767</v>
      </c>
      <c r="M719" s="1" t="s">
        <v>50</v>
      </c>
      <c r="N719" s="1" t="s">
        <v>50</v>
      </c>
      <c r="O719" s="1" t="s">
        <v>50</v>
      </c>
      <c r="P719" s="1" t="s">
        <v>1703</v>
      </c>
      <c r="Q719" s="1" t="s">
        <v>104</v>
      </c>
      <c r="R719" s="1" t="s">
        <v>104</v>
      </c>
      <c r="S719" s="1" t="s">
        <v>104</v>
      </c>
      <c r="T719" s="1" t="s">
        <v>104</v>
      </c>
      <c r="U719" s="1" t="s">
        <v>104</v>
      </c>
      <c r="V719" s="1" t="s">
        <v>104</v>
      </c>
      <c r="W719" s="1" t="s">
        <v>104</v>
      </c>
      <c r="X719" s="1" t="s">
        <v>727</v>
      </c>
      <c r="Y719" s="1"/>
      <c r="Z719" s="8"/>
      <c r="AA719" s="8"/>
      <c r="AB719" s="8"/>
      <c r="AC719" s="8"/>
      <c r="AD719" s="8"/>
      <c r="AE719" s="8"/>
      <c r="AF719" s="8"/>
      <c r="AG719" s="8"/>
      <c r="AH719" s="8">
        <v>1</v>
      </c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>
        <v>1</v>
      </c>
      <c r="AT719" s="8">
        <v>1</v>
      </c>
      <c r="AU719" s="8">
        <v>1</v>
      </c>
      <c r="AV719" s="8"/>
      <c r="AW719" s="8"/>
      <c r="AX719" s="8"/>
      <c r="AY719" s="8"/>
      <c r="AZ719" s="8"/>
      <c r="BA719" s="8"/>
      <c r="BB719" s="1"/>
      <c r="BL719" s="58"/>
      <c r="BP719" t="str">
        <f t="shared" si="27"/>
        <v>CosmicPoison</v>
      </c>
      <c r="BQ719" t="s">
        <v>2</v>
      </c>
      <c r="BR719">
        <v>2</v>
      </c>
    </row>
    <row r="720" spans="1:70" x14ac:dyDescent="0.25">
      <c r="A720">
        <f t="shared" si="26"/>
        <v>672</v>
      </c>
      <c r="B720" t="s">
        <v>850</v>
      </c>
      <c r="D720" s="1" t="s">
        <v>42</v>
      </c>
      <c r="E720" s="1" t="s">
        <v>10</v>
      </c>
      <c r="F720" s="1" t="s">
        <v>50</v>
      </c>
      <c r="G720" s="1" t="s">
        <v>50</v>
      </c>
      <c r="H720" s="1"/>
      <c r="I720" s="1" t="s">
        <v>50</v>
      </c>
      <c r="J720" s="1" t="s">
        <v>50</v>
      </c>
      <c r="K720" s="1" t="s">
        <v>50</v>
      </c>
      <c r="L720" s="1" t="s">
        <v>1767</v>
      </c>
      <c r="M720" s="1" t="s">
        <v>104</v>
      </c>
      <c r="N720" s="1" t="s">
        <v>50</v>
      </c>
      <c r="O720" s="1" t="s">
        <v>50</v>
      </c>
      <c r="P720" s="1" t="s">
        <v>1703</v>
      </c>
      <c r="Q720" s="1" t="s">
        <v>104</v>
      </c>
      <c r="R720" s="1" t="s">
        <v>104</v>
      </c>
      <c r="S720" s="1" t="s">
        <v>104</v>
      </c>
      <c r="T720" s="1" t="s">
        <v>104</v>
      </c>
      <c r="U720" s="1" t="s">
        <v>104</v>
      </c>
      <c r="V720" s="1" t="s">
        <v>104</v>
      </c>
      <c r="W720" s="1" t="s">
        <v>104</v>
      </c>
      <c r="X720" s="1" t="s">
        <v>727</v>
      </c>
      <c r="Y720" s="1"/>
      <c r="Z720" s="8"/>
      <c r="AA720" s="8"/>
      <c r="AB720" s="8"/>
      <c r="AC720" s="8"/>
      <c r="AD720" s="8"/>
      <c r="AE720" s="8"/>
      <c r="AF720" s="8"/>
      <c r="AG720" s="8"/>
      <c r="AH720" s="8">
        <v>1</v>
      </c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>
        <v>1</v>
      </c>
      <c r="AT720" s="8">
        <v>1</v>
      </c>
      <c r="AU720" s="8">
        <v>1</v>
      </c>
      <c r="AV720" s="8"/>
      <c r="AW720" s="8"/>
      <c r="AX720" s="8"/>
      <c r="AY720" s="8"/>
      <c r="AZ720" s="8"/>
      <c r="BA720" s="8"/>
      <c r="BB720" s="1"/>
      <c r="BL720" s="58"/>
      <c r="BP720" t="str">
        <f t="shared" si="27"/>
        <v>CosmicPoison</v>
      </c>
      <c r="BQ720" t="s">
        <v>2</v>
      </c>
      <c r="BR720">
        <v>2</v>
      </c>
    </row>
    <row r="721" spans="1:70" x14ac:dyDescent="0.25">
      <c r="A721">
        <f t="shared" si="26"/>
        <v>673</v>
      </c>
      <c r="B721" t="s">
        <v>851</v>
      </c>
      <c r="D721" s="1" t="s">
        <v>42</v>
      </c>
      <c r="E721" s="1" t="s">
        <v>10</v>
      </c>
      <c r="F721" s="1" t="s">
        <v>50</v>
      </c>
      <c r="G721" s="1" t="s">
        <v>50</v>
      </c>
      <c r="H721" s="1" t="s">
        <v>50</v>
      </c>
      <c r="I721" s="1" t="s">
        <v>50</v>
      </c>
      <c r="J721" s="1" t="s">
        <v>50</v>
      </c>
      <c r="K721" s="1" t="s">
        <v>50</v>
      </c>
      <c r="L721" s="1"/>
      <c r="M721" s="1" t="s">
        <v>104</v>
      </c>
      <c r="N721" s="1" t="s">
        <v>50</v>
      </c>
      <c r="O721" s="1" t="s">
        <v>50</v>
      </c>
      <c r="P721" s="1" t="s">
        <v>1703</v>
      </c>
      <c r="Q721" s="1" t="s">
        <v>104</v>
      </c>
      <c r="R721" s="1" t="s">
        <v>104</v>
      </c>
      <c r="S721" s="1" t="s">
        <v>104</v>
      </c>
      <c r="T721" s="1" t="s">
        <v>104</v>
      </c>
      <c r="U721" s="1" t="s">
        <v>104</v>
      </c>
      <c r="V721" s="1" t="s">
        <v>104</v>
      </c>
      <c r="W721" s="1" t="s">
        <v>104</v>
      </c>
      <c r="X721" s="1" t="s">
        <v>727</v>
      </c>
      <c r="Y721" s="1"/>
      <c r="Z721" s="8"/>
      <c r="AA721" s="8"/>
      <c r="AB721" s="8"/>
      <c r="AC721" s="8"/>
      <c r="AD721" s="8"/>
      <c r="AE721" s="8"/>
      <c r="AF721" s="8"/>
      <c r="AG721" s="8"/>
      <c r="AH721" s="8">
        <v>1</v>
      </c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>
        <v>1</v>
      </c>
      <c r="AT721" s="8">
        <v>1</v>
      </c>
      <c r="AU721" s="8">
        <v>1</v>
      </c>
      <c r="AV721" s="8"/>
      <c r="AW721" s="8"/>
      <c r="AX721" s="8"/>
      <c r="AY721" s="8"/>
      <c r="AZ721" s="8"/>
      <c r="BA721" s="8"/>
      <c r="BB721" s="1"/>
      <c r="BL721" s="58"/>
      <c r="BP721" t="str">
        <f t="shared" si="27"/>
        <v>CosmicPoison</v>
      </c>
      <c r="BR721">
        <v>2</v>
      </c>
    </row>
    <row r="722" spans="1:70" x14ac:dyDescent="0.25">
      <c r="A722">
        <f t="shared" si="26"/>
        <v>674</v>
      </c>
      <c r="B722" t="s">
        <v>852</v>
      </c>
      <c r="D722" s="1" t="s">
        <v>1</v>
      </c>
      <c r="E722" s="1">
        <v>0</v>
      </c>
      <c r="F722" s="1" t="s">
        <v>50</v>
      </c>
      <c r="G722" s="1" t="s">
        <v>50</v>
      </c>
      <c r="H722" s="1"/>
      <c r="I722" s="1" t="s">
        <v>50</v>
      </c>
      <c r="J722" s="1" t="s">
        <v>50</v>
      </c>
      <c r="K722" s="1" t="s">
        <v>50</v>
      </c>
      <c r="L722" s="1" t="s">
        <v>1767</v>
      </c>
      <c r="M722" s="1" t="s">
        <v>50</v>
      </c>
      <c r="N722" s="1" t="s">
        <v>50</v>
      </c>
      <c r="O722" s="1" t="s">
        <v>50</v>
      </c>
      <c r="P722" s="13" t="s">
        <v>1789</v>
      </c>
      <c r="Q722" s="1" t="s">
        <v>104</v>
      </c>
      <c r="R722" s="1" t="s">
        <v>104</v>
      </c>
      <c r="S722" s="1" t="s">
        <v>104</v>
      </c>
      <c r="T722" s="1" t="s">
        <v>104</v>
      </c>
      <c r="U722" s="1" t="s">
        <v>104</v>
      </c>
      <c r="V722" s="1" t="s">
        <v>104</v>
      </c>
      <c r="W722" s="1" t="s">
        <v>104</v>
      </c>
      <c r="X722" s="1" t="s">
        <v>727</v>
      </c>
      <c r="Y722" s="1"/>
      <c r="Z722" s="8">
        <v>1</v>
      </c>
      <c r="AA722" s="8"/>
      <c r="AB722" s="8"/>
      <c r="AC722" s="8"/>
      <c r="AD722" s="8"/>
      <c r="AE722" s="8">
        <v>1</v>
      </c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>
        <v>1</v>
      </c>
      <c r="AY722" s="8">
        <v>1</v>
      </c>
      <c r="AZ722" s="8"/>
      <c r="BA722" s="8"/>
      <c r="BB722" s="1"/>
      <c r="BL722" s="58"/>
      <c r="BP722" t="str">
        <f t="shared" si="27"/>
        <v>Normal0</v>
      </c>
      <c r="BQ722" t="s">
        <v>2</v>
      </c>
      <c r="BR722">
        <v>2</v>
      </c>
    </row>
    <row r="723" spans="1:70" x14ac:dyDescent="0.25">
      <c r="A723">
        <f t="shared" si="26"/>
        <v>675</v>
      </c>
      <c r="B723" t="s">
        <v>853</v>
      </c>
      <c r="D723" s="1" t="s">
        <v>1</v>
      </c>
      <c r="E723" s="1">
        <v>0</v>
      </c>
      <c r="F723" s="1" t="s">
        <v>50</v>
      </c>
      <c r="G723" s="1" t="s">
        <v>50</v>
      </c>
      <c r="H723" s="1" t="s">
        <v>50</v>
      </c>
      <c r="I723" s="1" t="s">
        <v>50</v>
      </c>
      <c r="J723" s="1" t="s">
        <v>50</v>
      </c>
      <c r="K723" s="1" t="s">
        <v>50</v>
      </c>
      <c r="L723" s="1"/>
      <c r="M723" s="1" t="s">
        <v>104</v>
      </c>
      <c r="N723" s="1" t="s">
        <v>50</v>
      </c>
      <c r="O723" s="1" t="s">
        <v>50</v>
      </c>
      <c r="P723" s="13" t="s">
        <v>1789</v>
      </c>
      <c r="Q723" s="1" t="s">
        <v>104</v>
      </c>
      <c r="R723" s="1" t="s">
        <v>104</v>
      </c>
      <c r="S723" s="1" t="s">
        <v>104</v>
      </c>
      <c r="T723" s="1" t="s">
        <v>104</v>
      </c>
      <c r="U723" s="1" t="s">
        <v>104</v>
      </c>
      <c r="V723" s="1" t="s">
        <v>104</v>
      </c>
      <c r="W723" s="1" t="s">
        <v>104</v>
      </c>
      <c r="X723" s="1" t="s">
        <v>727</v>
      </c>
      <c r="Y723" s="1"/>
      <c r="Z723" s="8">
        <v>1</v>
      </c>
      <c r="AA723" s="8"/>
      <c r="AB723" s="8"/>
      <c r="AC723" s="8"/>
      <c r="AD723" s="8"/>
      <c r="AE723" s="8">
        <v>1</v>
      </c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>
        <v>1</v>
      </c>
      <c r="AY723" s="8">
        <v>1</v>
      </c>
      <c r="AZ723" s="8"/>
      <c r="BA723" s="8"/>
      <c r="BB723" s="1"/>
      <c r="BJ723">
        <v>1</v>
      </c>
      <c r="BL723" s="58"/>
      <c r="BP723" t="str">
        <f t="shared" si="27"/>
        <v>Normal0</v>
      </c>
      <c r="BR723">
        <v>2</v>
      </c>
    </row>
    <row r="724" spans="1:70" x14ac:dyDescent="0.25">
      <c r="A724">
        <f t="shared" si="26"/>
        <v>676</v>
      </c>
      <c r="B724" t="s">
        <v>854</v>
      </c>
      <c r="D724" s="1" t="s">
        <v>1</v>
      </c>
      <c r="E724" s="1" t="s">
        <v>16</v>
      </c>
      <c r="F724" s="1" t="s">
        <v>50</v>
      </c>
      <c r="G724" s="1" t="s">
        <v>50</v>
      </c>
      <c r="H724" s="1" t="s">
        <v>50</v>
      </c>
      <c r="I724" s="1" t="s">
        <v>50</v>
      </c>
      <c r="J724" s="1" t="s">
        <v>50</v>
      </c>
      <c r="K724" s="1" t="s">
        <v>50</v>
      </c>
      <c r="L724" s="1"/>
      <c r="M724" s="1" t="s">
        <v>50</v>
      </c>
      <c r="N724" s="1" t="s">
        <v>50</v>
      </c>
      <c r="O724" s="1" t="s">
        <v>50</v>
      </c>
      <c r="P724" s="13" t="s">
        <v>807</v>
      </c>
      <c r="Q724" s="1" t="s">
        <v>104</v>
      </c>
      <c r="R724" s="1" t="s">
        <v>104</v>
      </c>
      <c r="S724" s="1" t="s">
        <v>104</v>
      </c>
      <c r="T724" s="1" t="s">
        <v>104</v>
      </c>
      <c r="U724" s="1" t="s">
        <v>104</v>
      </c>
      <c r="V724" s="1" t="s">
        <v>104</v>
      </c>
      <c r="W724" s="1" t="s">
        <v>104</v>
      </c>
      <c r="X724" s="1" t="s">
        <v>727</v>
      </c>
      <c r="Y724" s="1"/>
      <c r="Z724" s="8">
        <v>1</v>
      </c>
      <c r="AA724" s="8">
        <v>1</v>
      </c>
      <c r="AB724" s="8"/>
      <c r="AC724" s="8"/>
      <c r="AD724" s="8"/>
      <c r="AE724" s="8"/>
      <c r="AF724" s="8"/>
      <c r="AG724" s="8"/>
      <c r="AH724" s="8"/>
      <c r="AI724" s="8">
        <v>1</v>
      </c>
      <c r="AJ724" s="8"/>
      <c r="AK724" s="8"/>
      <c r="AL724" s="8"/>
      <c r="AM724" s="8"/>
      <c r="AN724" s="8"/>
      <c r="AO724" s="8">
        <v>1</v>
      </c>
      <c r="AP724" s="8">
        <v>1</v>
      </c>
      <c r="AQ724" s="8"/>
      <c r="AR724" s="8"/>
      <c r="AS724" s="8"/>
      <c r="AT724" s="8"/>
      <c r="AU724" s="8"/>
      <c r="AV724" s="8"/>
      <c r="AW724" s="8"/>
      <c r="AX724" s="8">
        <v>1</v>
      </c>
      <c r="AY724" s="8">
        <v>1</v>
      </c>
      <c r="AZ724" s="8"/>
      <c r="BA724" s="8"/>
      <c r="BB724" s="1"/>
      <c r="BL724" s="58"/>
      <c r="BP724" t="str">
        <f t="shared" si="27"/>
        <v>NormalFlying</v>
      </c>
      <c r="BR724">
        <v>2</v>
      </c>
    </row>
    <row r="725" spans="1:70" x14ac:dyDescent="0.25">
      <c r="A725">
        <f t="shared" si="26"/>
        <v>677</v>
      </c>
      <c r="B725" t="s">
        <v>855</v>
      </c>
      <c r="D725" s="1" t="s">
        <v>17</v>
      </c>
      <c r="E725" s="1" t="s">
        <v>44</v>
      </c>
      <c r="F725" s="1" t="s">
        <v>50</v>
      </c>
      <c r="G725" s="1" t="s">
        <v>50</v>
      </c>
      <c r="H725" s="1"/>
      <c r="I725" s="1" t="s">
        <v>50</v>
      </c>
      <c r="J725" s="1" t="s">
        <v>50</v>
      </c>
      <c r="K725" s="1" t="s">
        <v>50</v>
      </c>
      <c r="L725" s="1"/>
      <c r="M725" s="1" t="s">
        <v>50</v>
      </c>
      <c r="N725" s="1" t="s">
        <v>50</v>
      </c>
      <c r="O725" s="1" t="s">
        <v>50</v>
      </c>
      <c r="P725" s="1" t="s">
        <v>1704</v>
      </c>
      <c r="Q725" s="1" t="s">
        <v>104</v>
      </c>
      <c r="R725" s="1" t="s">
        <v>104</v>
      </c>
      <c r="S725" s="1" t="s">
        <v>104</v>
      </c>
      <c r="T725" s="1" t="s">
        <v>104</v>
      </c>
      <c r="U725" s="1" t="s">
        <v>104</v>
      </c>
      <c r="V725" s="1" t="s">
        <v>104</v>
      </c>
      <c r="W725" s="1" t="s">
        <v>104</v>
      </c>
      <c r="X725" s="1" t="s">
        <v>727</v>
      </c>
      <c r="Y725" s="1"/>
      <c r="Z725" s="8">
        <v>1</v>
      </c>
      <c r="AA725" s="8">
        <v>1</v>
      </c>
      <c r="AB725" s="8">
        <v>1</v>
      </c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>
        <v>1</v>
      </c>
      <c r="BA725" s="8"/>
      <c r="BB725" s="1"/>
      <c r="BL725" s="58"/>
      <c r="BP725" t="str">
        <f t="shared" si="27"/>
        <v>BugLight</v>
      </c>
      <c r="BQ725" t="s">
        <v>2</v>
      </c>
      <c r="BR725">
        <v>2</v>
      </c>
    </row>
    <row r="726" spans="1:70" x14ac:dyDescent="0.25">
      <c r="A726">
        <f t="shared" si="26"/>
        <v>678</v>
      </c>
      <c r="B726" t="s">
        <v>856</v>
      </c>
      <c r="D726" s="1" t="s">
        <v>17</v>
      </c>
      <c r="E726" s="1" t="s">
        <v>44</v>
      </c>
      <c r="F726" s="1" t="s">
        <v>50</v>
      </c>
      <c r="G726" s="1" t="s">
        <v>50</v>
      </c>
      <c r="H726" s="1"/>
      <c r="I726" s="1" t="s">
        <v>50</v>
      </c>
      <c r="J726" s="1" t="s">
        <v>50</v>
      </c>
      <c r="K726" s="1" t="s">
        <v>50</v>
      </c>
      <c r="L726" s="1"/>
      <c r="M726" s="1" t="s">
        <v>104</v>
      </c>
      <c r="N726" s="1" t="s">
        <v>50</v>
      </c>
      <c r="O726" s="1" t="s">
        <v>50</v>
      </c>
      <c r="P726" s="1" t="s">
        <v>1704</v>
      </c>
      <c r="Q726" s="1" t="s">
        <v>104</v>
      </c>
      <c r="R726" s="1" t="s">
        <v>104</v>
      </c>
      <c r="S726" s="1" t="s">
        <v>104</v>
      </c>
      <c r="T726" s="1" t="s">
        <v>104</v>
      </c>
      <c r="U726" s="1" t="s">
        <v>104</v>
      </c>
      <c r="V726" s="1" t="s">
        <v>104</v>
      </c>
      <c r="W726" s="1" t="s">
        <v>104</v>
      </c>
      <c r="X726" s="1" t="s">
        <v>727</v>
      </c>
      <c r="Y726" s="1"/>
      <c r="Z726" s="8">
        <v>1</v>
      </c>
      <c r="AA726" s="8">
        <v>1</v>
      </c>
      <c r="AB726" s="8">
        <v>1</v>
      </c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>
        <v>1</v>
      </c>
      <c r="BA726" s="8"/>
      <c r="BB726" s="1"/>
      <c r="BL726" s="58"/>
      <c r="BP726" t="str">
        <f t="shared" si="27"/>
        <v>BugLight</v>
      </c>
      <c r="BQ726" t="s">
        <v>2</v>
      </c>
      <c r="BR726">
        <v>2</v>
      </c>
    </row>
    <row r="727" spans="1:70" x14ac:dyDescent="0.25">
      <c r="A727">
        <f t="shared" si="26"/>
        <v>679</v>
      </c>
      <c r="B727" t="s">
        <v>1838</v>
      </c>
      <c r="D727" s="1" t="s">
        <v>17</v>
      </c>
      <c r="E727" s="1" t="s">
        <v>44</v>
      </c>
      <c r="F727" s="1" t="s">
        <v>50</v>
      </c>
      <c r="G727" s="1" t="s">
        <v>50</v>
      </c>
      <c r="H727" s="1" t="s">
        <v>50</v>
      </c>
      <c r="I727" s="1" t="s">
        <v>50</v>
      </c>
      <c r="J727" s="1" t="s">
        <v>50</v>
      </c>
      <c r="K727" s="1" t="s">
        <v>50</v>
      </c>
      <c r="L727" s="1"/>
      <c r="M727" s="1" t="s">
        <v>104</v>
      </c>
      <c r="N727" s="1" t="s">
        <v>50</v>
      </c>
      <c r="O727" s="1" t="s">
        <v>50</v>
      </c>
      <c r="P727" s="1" t="s">
        <v>1704</v>
      </c>
      <c r="Q727" s="1" t="s">
        <v>50</v>
      </c>
      <c r="R727" s="1" t="s">
        <v>50</v>
      </c>
      <c r="S727" s="1" t="s">
        <v>50</v>
      </c>
      <c r="T727" s="1" t="s">
        <v>50</v>
      </c>
      <c r="U727" s="1" t="s">
        <v>50</v>
      </c>
      <c r="V727" s="1" t="s">
        <v>50</v>
      </c>
      <c r="W727" s="1" t="s">
        <v>50</v>
      </c>
      <c r="X727" s="1" t="s">
        <v>2436</v>
      </c>
      <c r="Y727" s="1"/>
      <c r="Z727" s="8">
        <v>1</v>
      </c>
      <c r="AA727" s="8">
        <v>1</v>
      </c>
      <c r="AB727" s="8">
        <v>1</v>
      </c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>
        <v>1</v>
      </c>
      <c r="BA727" s="8"/>
      <c r="BB727" s="1"/>
      <c r="BJ727">
        <v>3</v>
      </c>
      <c r="BL727" s="58"/>
      <c r="BP727" t="str">
        <f t="shared" si="27"/>
        <v>BugLight</v>
      </c>
      <c r="BR727">
        <v>2</v>
      </c>
    </row>
    <row r="728" spans="1:70" x14ac:dyDescent="0.25">
      <c r="A728">
        <f t="shared" si="26"/>
        <v>680</v>
      </c>
      <c r="B728" t="s">
        <v>857</v>
      </c>
      <c r="D728" s="1" t="s">
        <v>6</v>
      </c>
      <c r="E728" s="1" t="s">
        <v>0</v>
      </c>
      <c r="F728" s="1" t="s">
        <v>50</v>
      </c>
      <c r="G728" s="1" t="s">
        <v>50</v>
      </c>
      <c r="H728" s="1"/>
      <c r="I728" s="1" t="s">
        <v>50</v>
      </c>
      <c r="J728" s="1" t="s">
        <v>50</v>
      </c>
      <c r="K728" s="1" t="s">
        <v>50</v>
      </c>
      <c r="L728" s="1"/>
      <c r="M728" s="1" t="s">
        <v>50</v>
      </c>
      <c r="N728" s="1" t="s">
        <v>50</v>
      </c>
      <c r="O728" s="1" t="s">
        <v>50</v>
      </c>
      <c r="P728" s="13" t="s">
        <v>1788</v>
      </c>
      <c r="Q728" s="1" t="s">
        <v>104</v>
      </c>
      <c r="R728" s="1" t="s">
        <v>104</v>
      </c>
      <c r="S728" s="1" t="s">
        <v>104</v>
      </c>
      <c r="T728" s="1" t="s">
        <v>104</v>
      </c>
      <c r="U728" s="1" t="s">
        <v>104</v>
      </c>
      <c r="V728" s="1" t="s">
        <v>104</v>
      </c>
      <c r="W728" s="1" t="s">
        <v>104</v>
      </c>
      <c r="X728" s="1" t="s">
        <v>727</v>
      </c>
      <c r="Y728" s="1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>
        <v>1</v>
      </c>
      <c r="AT728" s="8">
        <v>1</v>
      </c>
      <c r="AU728" s="8">
        <v>1</v>
      </c>
      <c r="AV728" s="8"/>
      <c r="AW728" s="8"/>
      <c r="AX728" s="8"/>
      <c r="AY728" s="8"/>
      <c r="AZ728" s="8"/>
      <c r="BA728" s="8"/>
      <c r="BB728" s="1"/>
      <c r="BL728" s="58"/>
      <c r="BP728" t="str">
        <f t="shared" si="27"/>
        <v>SteelDark</v>
      </c>
      <c r="BQ728" t="s">
        <v>2</v>
      </c>
      <c r="BR728">
        <v>2</v>
      </c>
    </row>
    <row r="729" spans="1:70" x14ac:dyDescent="0.25">
      <c r="A729">
        <f t="shared" si="26"/>
        <v>681</v>
      </c>
      <c r="B729" t="s">
        <v>858</v>
      </c>
      <c r="D729" s="1" t="s">
        <v>6</v>
      </c>
      <c r="E729" s="1" t="s">
        <v>0</v>
      </c>
      <c r="F729" s="1" t="s">
        <v>50</v>
      </c>
      <c r="G729" s="1" t="s">
        <v>50</v>
      </c>
      <c r="H729" s="1" t="s">
        <v>50</v>
      </c>
      <c r="I729" s="1" t="s">
        <v>50</v>
      </c>
      <c r="J729" s="1" t="s">
        <v>50</v>
      </c>
      <c r="K729" s="1" t="s">
        <v>50</v>
      </c>
      <c r="L729" s="1" t="s">
        <v>50</v>
      </c>
      <c r="M729" s="1" t="s">
        <v>104</v>
      </c>
      <c r="N729" s="1" t="s">
        <v>50</v>
      </c>
      <c r="O729" s="1" t="s">
        <v>50</v>
      </c>
      <c r="P729" s="13" t="s">
        <v>1788</v>
      </c>
      <c r="Q729" s="1" t="s">
        <v>104</v>
      </c>
      <c r="R729" s="1" t="s">
        <v>104</v>
      </c>
      <c r="S729" s="1" t="s">
        <v>104</v>
      </c>
      <c r="T729" s="1" t="s">
        <v>104</v>
      </c>
      <c r="U729" s="1" t="s">
        <v>104</v>
      </c>
      <c r="V729" s="1" t="s">
        <v>104</v>
      </c>
      <c r="W729" s="1" t="s">
        <v>104</v>
      </c>
      <c r="X729" s="1" t="s">
        <v>727</v>
      </c>
      <c r="Y729" s="1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>
        <v>1</v>
      </c>
      <c r="AT729" s="8">
        <v>1</v>
      </c>
      <c r="AU729" s="8">
        <v>1</v>
      </c>
      <c r="AV729" s="8"/>
      <c r="AW729" s="8"/>
      <c r="AX729" s="8"/>
      <c r="AY729" s="8"/>
      <c r="AZ729" s="8"/>
      <c r="BA729" s="8"/>
      <c r="BB729" s="1"/>
      <c r="BJ729">
        <v>1</v>
      </c>
      <c r="BL729" s="58"/>
      <c r="BP729" t="str">
        <f t="shared" si="27"/>
        <v>SteelDark</v>
      </c>
      <c r="BQ729" t="s">
        <v>2</v>
      </c>
      <c r="BR729">
        <v>2</v>
      </c>
    </row>
    <row r="730" spans="1:70" x14ac:dyDescent="0.25">
      <c r="A730">
        <f t="shared" si="26"/>
        <v>682</v>
      </c>
      <c r="B730" t="s">
        <v>859</v>
      </c>
      <c r="D730" s="1" t="s">
        <v>6</v>
      </c>
      <c r="E730" s="1" t="s">
        <v>0</v>
      </c>
      <c r="F730" s="1" t="s">
        <v>50</v>
      </c>
      <c r="G730" s="1" t="s">
        <v>50</v>
      </c>
      <c r="H730" s="1" t="s">
        <v>50</v>
      </c>
      <c r="I730" s="1" t="s">
        <v>50</v>
      </c>
      <c r="J730" s="1" t="s">
        <v>50</v>
      </c>
      <c r="K730" s="1" t="s">
        <v>50</v>
      </c>
      <c r="L730" s="1"/>
      <c r="M730" s="1" t="s">
        <v>104</v>
      </c>
      <c r="N730" s="1" t="s">
        <v>50</v>
      </c>
      <c r="O730" s="1" t="s">
        <v>50</v>
      </c>
      <c r="P730" s="13" t="s">
        <v>1788</v>
      </c>
      <c r="Q730" s="1" t="s">
        <v>104</v>
      </c>
      <c r="R730" s="1" t="s">
        <v>104</v>
      </c>
      <c r="S730" s="1" t="s">
        <v>104</v>
      </c>
      <c r="T730" s="1" t="s">
        <v>104</v>
      </c>
      <c r="U730" s="1" t="s">
        <v>104</v>
      </c>
      <c r="V730" s="1" t="s">
        <v>104</v>
      </c>
      <c r="W730" s="1" t="s">
        <v>104</v>
      </c>
      <c r="X730" s="1" t="s">
        <v>727</v>
      </c>
      <c r="Y730" s="1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>
        <v>1</v>
      </c>
      <c r="AT730" s="8">
        <v>1</v>
      </c>
      <c r="AU730" s="8">
        <v>1</v>
      </c>
      <c r="AV730" s="8"/>
      <c r="AW730" s="8"/>
      <c r="AX730" s="8"/>
      <c r="AY730" s="8"/>
      <c r="AZ730" s="8"/>
      <c r="BA730" s="8"/>
      <c r="BB730" s="1"/>
      <c r="BJ730">
        <v>9</v>
      </c>
      <c r="BL730" s="58"/>
      <c r="BP730" t="str">
        <f t="shared" si="27"/>
        <v>SteelDark</v>
      </c>
      <c r="BR730">
        <v>2</v>
      </c>
    </row>
    <row r="731" spans="1:70" x14ac:dyDescent="0.25">
      <c r="A731">
        <f t="shared" si="26"/>
        <v>683</v>
      </c>
      <c r="B731" t="s">
        <v>860</v>
      </c>
      <c r="D731" s="1" t="s">
        <v>41</v>
      </c>
      <c r="E731" s="1" t="s">
        <v>3</v>
      </c>
      <c r="F731" s="1" t="s">
        <v>50</v>
      </c>
      <c r="G731" s="1" t="s">
        <v>50</v>
      </c>
      <c r="H731" s="1"/>
      <c r="I731" s="1" t="s">
        <v>50</v>
      </c>
      <c r="J731" s="1" t="s">
        <v>50</v>
      </c>
      <c r="K731" s="1" t="s">
        <v>50</v>
      </c>
      <c r="L731" s="1" t="s">
        <v>50</v>
      </c>
      <c r="M731" s="1" t="s">
        <v>50</v>
      </c>
      <c r="N731" s="1" t="s">
        <v>50</v>
      </c>
      <c r="O731" s="1" t="s">
        <v>50</v>
      </c>
      <c r="P731" s="13" t="s">
        <v>824</v>
      </c>
      <c r="Q731" s="1" t="s">
        <v>104</v>
      </c>
      <c r="R731" s="1" t="s">
        <v>104</v>
      </c>
      <c r="S731" s="1" t="s">
        <v>104</v>
      </c>
      <c r="T731" s="1" t="s">
        <v>104</v>
      </c>
      <c r="U731" s="1" t="s">
        <v>104</v>
      </c>
      <c r="V731" s="1" t="s">
        <v>104</v>
      </c>
      <c r="W731" s="1" t="s">
        <v>104</v>
      </c>
      <c r="X731" s="1" t="s">
        <v>727</v>
      </c>
      <c r="Y731" s="1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>
        <v>1</v>
      </c>
      <c r="AT731" s="8">
        <v>1</v>
      </c>
      <c r="AU731" s="8"/>
      <c r="AV731" s="8"/>
      <c r="AW731" s="8"/>
      <c r="AX731" s="8"/>
      <c r="AY731" s="8"/>
      <c r="AZ731" s="8"/>
      <c r="BA731" s="8"/>
      <c r="BB731" s="1"/>
      <c r="BL731" s="58"/>
      <c r="BP731" t="str">
        <f t="shared" si="27"/>
        <v>SoundElectric</v>
      </c>
      <c r="BQ731" t="s">
        <v>2</v>
      </c>
      <c r="BR731">
        <v>2</v>
      </c>
    </row>
    <row r="732" spans="1:70" x14ac:dyDescent="0.25">
      <c r="A732">
        <f t="shared" si="26"/>
        <v>684</v>
      </c>
      <c r="B732" t="s">
        <v>861</v>
      </c>
      <c r="D732" s="1" t="s">
        <v>41</v>
      </c>
      <c r="E732" s="1" t="s">
        <v>3</v>
      </c>
      <c r="F732" s="1" t="s">
        <v>50</v>
      </c>
      <c r="G732" s="1" t="s">
        <v>50</v>
      </c>
      <c r="H732" s="1"/>
      <c r="I732" s="1" t="s">
        <v>50</v>
      </c>
      <c r="J732" s="1" t="s">
        <v>50</v>
      </c>
      <c r="K732" s="1" t="s">
        <v>50</v>
      </c>
      <c r="L732" s="1"/>
      <c r="M732" s="1" t="s">
        <v>104</v>
      </c>
      <c r="N732" s="1" t="s">
        <v>50</v>
      </c>
      <c r="O732" s="1" t="s">
        <v>50</v>
      </c>
      <c r="P732" s="13" t="s">
        <v>824</v>
      </c>
      <c r="Q732" s="1" t="s">
        <v>104</v>
      </c>
      <c r="R732" s="1" t="s">
        <v>104</v>
      </c>
      <c r="S732" s="1" t="s">
        <v>104</v>
      </c>
      <c r="T732" s="1" t="s">
        <v>104</v>
      </c>
      <c r="U732" s="1" t="s">
        <v>104</v>
      </c>
      <c r="V732" s="1" t="s">
        <v>104</v>
      </c>
      <c r="W732" s="1" t="s">
        <v>104</v>
      </c>
      <c r="X732" s="1" t="s">
        <v>727</v>
      </c>
      <c r="Y732" s="1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>
        <v>1</v>
      </c>
      <c r="AT732" s="8">
        <v>1</v>
      </c>
      <c r="AU732" s="8"/>
      <c r="AV732" s="8"/>
      <c r="AW732" s="8"/>
      <c r="AX732" s="8"/>
      <c r="AY732" s="8"/>
      <c r="AZ732" s="8"/>
      <c r="BA732" s="8"/>
      <c r="BB732" s="1"/>
      <c r="BL732" s="58"/>
      <c r="BP732" t="str">
        <f t="shared" si="27"/>
        <v>SoundElectric</v>
      </c>
      <c r="BQ732" t="s">
        <v>2</v>
      </c>
      <c r="BR732">
        <v>2</v>
      </c>
    </row>
    <row r="733" spans="1:70" x14ac:dyDescent="0.25">
      <c r="A733">
        <f t="shared" si="26"/>
        <v>685</v>
      </c>
      <c r="B733" t="s">
        <v>862</v>
      </c>
      <c r="D733" s="1" t="s">
        <v>41</v>
      </c>
      <c r="E733" s="1" t="s">
        <v>3</v>
      </c>
      <c r="F733" s="1" t="s">
        <v>50</v>
      </c>
      <c r="G733" s="1" t="s">
        <v>50</v>
      </c>
      <c r="H733" s="1" t="s">
        <v>50</v>
      </c>
      <c r="I733" s="1" t="s">
        <v>50</v>
      </c>
      <c r="J733" s="1" t="s">
        <v>50</v>
      </c>
      <c r="K733" s="1" t="s">
        <v>50</v>
      </c>
      <c r="L733" s="1"/>
      <c r="M733" s="1" t="s">
        <v>104</v>
      </c>
      <c r="N733" s="1" t="s">
        <v>50</v>
      </c>
      <c r="O733" s="1" t="s">
        <v>50</v>
      </c>
      <c r="P733" s="13" t="s">
        <v>824</v>
      </c>
      <c r="Q733" s="1" t="s">
        <v>50</v>
      </c>
      <c r="R733" s="1" t="s">
        <v>50</v>
      </c>
      <c r="S733" s="1" t="s">
        <v>50</v>
      </c>
      <c r="T733" s="1" t="s">
        <v>50</v>
      </c>
      <c r="U733" s="1" t="s">
        <v>50</v>
      </c>
      <c r="V733" s="1" t="s">
        <v>50</v>
      </c>
      <c r="W733" s="1" t="s">
        <v>50</v>
      </c>
      <c r="X733" s="1" t="s">
        <v>727</v>
      </c>
      <c r="Y733" s="1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>
        <v>1</v>
      </c>
      <c r="AT733" s="8">
        <v>1</v>
      </c>
      <c r="AU733" s="8"/>
      <c r="AV733" s="8"/>
      <c r="AW733" s="8"/>
      <c r="AX733" s="8"/>
      <c r="AY733" s="8"/>
      <c r="AZ733" s="8"/>
      <c r="BA733" s="8"/>
      <c r="BB733" s="1"/>
      <c r="BJ733">
        <v>3</v>
      </c>
      <c r="BL733" s="58"/>
      <c r="BP733" t="str">
        <f t="shared" si="27"/>
        <v>SoundElectric</v>
      </c>
      <c r="BR733">
        <v>2</v>
      </c>
    </row>
    <row r="734" spans="1:70" x14ac:dyDescent="0.25">
      <c r="A734">
        <f t="shared" si="26"/>
        <v>686</v>
      </c>
      <c r="B734" t="s">
        <v>1673</v>
      </c>
      <c r="D734" s="1" t="s">
        <v>17</v>
      </c>
      <c r="E734" s="1" t="s">
        <v>10</v>
      </c>
      <c r="F734" s="1" t="s">
        <v>50</v>
      </c>
      <c r="G734" s="1" t="s">
        <v>50</v>
      </c>
      <c r="H734" s="1"/>
      <c r="I734" s="1" t="s">
        <v>50</v>
      </c>
      <c r="J734" s="1" t="s">
        <v>50</v>
      </c>
      <c r="K734" s="1" t="s">
        <v>50</v>
      </c>
      <c r="L734" s="1" t="s">
        <v>50</v>
      </c>
      <c r="M734" s="1" t="s">
        <v>50</v>
      </c>
      <c r="N734" s="1" t="s">
        <v>50</v>
      </c>
      <c r="O734" s="1" t="s">
        <v>50</v>
      </c>
      <c r="P734" s="13" t="s">
        <v>1787</v>
      </c>
      <c r="Q734" s="1" t="s">
        <v>104</v>
      </c>
      <c r="R734" s="1" t="s">
        <v>104</v>
      </c>
      <c r="S734" s="1" t="s">
        <v>104</v>
      </c>
      <c r="T734" s="1" t="s">
        <v>104</v>
      </c>
      <c r="U734" s="1" t="s">
        <v>104</v>
      </c>
      <c r="V734" s="1" t="s">
        <v>104</v>
      </c>
      <c r="W734" s="1" t="s">
        <v>104</v>
      </c>
      <c r="X734" s="1" t="s">
        <v>727</v>
      </c>
      <c r="Y734" s="1"/>
      <c r="Z734" s="8">
        <v>1</v>
      </c>
      <c r="AA734" s="8">
        <v>1</v>
      </c>
      <c r="AB734" s="8">
        <v>1</v>
      </c>
      <c r="AC734" s="8">
        <v>1</v>
      </c>
      <c r="AD734" s="8">
        <v>1</v>
      </c>
      <c r="AE734" s="8"/>
      <c r="AF734" s="8">
        <v>1</v>
      </c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>
        <v>1</v>
      </c>
      <c r="BA734" s="8"/>
      <c r="BB734" s="1"/>
      <c r="BL734" s="58"/>
      <c r="BP734" t="str">
        <f t="shared" si="27"/>
        <v>BugPoison</v>
      </c>
      <c r="BQ734" t="s">
        <v>2</v>
      </c>
      <c r="BR734">
        <v>2</v>
      </c>
    </row>
    <row r="735" spans="1:70" x14ac:dyDescent="0.25">
      <c r="A735">
        <f t="shared" si="26"/>
        <v>687</v>
      </c>
      <c r="B735" t="s">
        <v>1674</v>
      </c>
      <c r="D735" s="1" t="s">
        <v>17</v>
      </c>
      <c r="E735" s="1" t="s">
        <v>10</v>
      </c>
      <c r="F735" s="1" t="s">
        <v>50</v>
      </c>
      <c r="G735" s="1" t="s">
        <v>50</v>
      </c>
      <c r="H735" s="1" t="s">
        <v>50</v>
      </c>
      <c r="I735" s="1" t="s">
        <v>50</v>
      </c>
      <c r="J735" s="1" t="s">
        <v>50</v>
      </c>
      <c r="K735" s="1" t="s">
        <v>50</v>
      </c>
      <c r="L735" s="1"/>
      <c r="M735" s="1" t="s">
        <v>104</v>
      </c>
      <c r="N735" s="1" t="s">
        <v>50</v>
      </c>
      <c r="O735" s="1" t="s">
        <v>50</v>
      </c>
      <c r="P735" s="13" t="s">
        <v>1787</v>
      </c>
      <c r="Q735" s="1" t="s">
        <v>50</v>
      </c>
      <c r="R735" s="1" t="s">
        <v>50</v>
      </c>
      <c r="S735" s="1" t="s">
        <v>50</v>
      </c>
      <c r="T735" s="1" t="s">
        <v>50</v>
      </c>
      <c r="U735" s="1" t="s">
        <v>50</v>
      </c>
      <c r="V735" s="1" t="s">
        <v>50</v>
      </c>
      <c r="W735" s="1" t="s">
        <v>50</v>
      </c>
      <c r="X735" s="1" t="s">
        <v>727</v>
      </c>
      <c r="Y735" s="1"/>
      <c r="Z735" s="8">
        <v>1</v>
      </c>
      <c r="AA735" s="8">
        <v>1</v>
      </c>
      <c r="AB735" s="8">
        <v>1</v>
      </c>
      <c r="AC735" s="8">
        <v>1</v>
      </c>
      <c r="AD735" s="8">
        <v>1</v>
      </c>
      <c r="AE735" s="8"/>
      <c r="AF735" s="8">
        <v>1</v>
      </c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>
        <v>1</v>
      </c>
      <c r="BA735" s="8"/>
      <c r="BB735" s="1"/>
      <c r="BJ735">
        <v>6</v>
      </c>
      <c r="BK735">
        <v>1</v>
      </c>
      <c r="BL735" s="58"/>
      <c r="BP735" t="str">
        <f t="shared" si="27"/>
        <v>BugPoison</v>
      </c>
      <c r="BR735">
        <v>2</v>
      </c>
    </row>
    <row r="736" spans="1:70" x14ac:dyDescent="0.25">
      <c r="A736">
        <f t="shared" si="26"/>
        <v>688</v>
      </c>
      <c r="B736" t="s">
        <v>1675</v>
      </c>
      <c r="D736" s="1" t="s">
        <v>15</v>
      </c>
      <c r="E736" s="1" t="s">
        <v>41</v>
      </c>
      <c r="F736" s="1" t="s">
        <v>50</v>
      </c>
      <c r="G736" s="1" t="s">
        <v>50</v>
      </c>
      <c r="H736" s="1"/>
      <c r="I736" s="1" t="s">
        <v>50</v>
      </c>
      <c r="J736" s="1" t="s">
        <v>50</v>
      </c>
      <c r="K736" s="1" t="s">
        <v>50</v>
      </c>
      <c r="L736" s="1"/>
      <c r="M736" s="1" t="s">
        <v>50</v>
      </c>
      <c r="N736" s="1" t="s">
        <v>50</v>
      </c>
      <c r="O736" s="1" t="s">
        <v>50</v>
      </c>
      <c r="P736" s="13" t="s">
        <v>1790</v>
      </c>
      <c r="Q736" s="1" t="s">
        <v>104</v>
      </c>
      <c r="R736" s="1" t="s">
        <v>104</v>
      </c>
      <c r="S736" s="1" t="s">
        <v>104</v>
      </c>
      <c r="T736" s="1" t="s">
        <v>104</v>
      </c>
      <c r="U736" s="1" t="s">
        <v>104</v>
      </c>
      <c r="V736" s="1" t="s">
        <v>104</v>
      </c>
      <c r="W736" s="1" t="s">
        <v>104</v>
      </c>
      <c r="X736" s="1" t="s">
        <v>727</v>
      </c>
      <c r="Y736" s="1"/>
      <c r="Z736" s="8">
        <v>1</v>
      </c>
      <c r="AA736" s="8">
        <v>1</v>
      </c>
      <c r="AB736" s="8"/>
      <c r="AC736" s="8"/>
      <c r="AD736" s="8"/>
      <c r="AE736" s="8"/>
      <c r="AF736" s="8"/>
      <c r="AG736" s="8"/>
      <c r="AH736" s="8"/>
      <c r="AI736" s="8">
        <v>1</v>
      </c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>
        <v>1</v>
      </c>
      <c r="BA736" s="8"/>
      <c r="BB736" s="1"/>
      <c r="BL736" s="58"/>
      <c r="BP736" t="str">
        <f t="shared" si="27"/>
        <v>WaterSound</v>
      </c>
      <c r="BQ736" t="s">
        <v>2</v>
      </c>
      <c r="BR736">
        <v>2</v>
      </c>
    </row>
    <row r="737" spans="1:70" x14ac:dyDescent="0.25">
      <c r="A737">
        <f t="shared" si="26"/>
        <v>689</v>
      </c>
      <c r="B737" t="s">
        <v>1676</v>
      </c>
      <c r="D737" s="1" t="s">
        <v>15</v>
      </c>
      <c r="E737" s="1" t="s">
        <v>41</v>
      </c>
      <c r="F737" s="1" t="s">
        <v>50</v>
      </c>
      <c r="G737" s="1" t="s">
        <v>50</v>
      </c>
      <c r="H737" s="1"/>
      <c r="I737" s="1" t="s">
        <v>50</v>
      </c>
      <c r="J737" s="1" t="s">
        <v>50</v>
      </c>
      <c r="K737" s="1" t="s">
        <v>50</v>
      </c>
      <c r="L737" s="1"/>
      <c r="M737" s="1" t="s">
        <v>104</v>
      </c>
      <c r="N737" s="1" t="s">
        <v>50</v>
      </c>
      <c r="O737" s="1" t="s">
        <v>50</v>
      </c>
      <c r="P737" s="13" t="s">
        <v>1790</v>
      </c>
      <c r="Q737" s="1" t="s">
        <v>104</v>
      </c>
      <c r="R737" s="1" t="s">
        <v>104</v>
      </c>
      <c r="S737" s="1" t="s">
        <v>104</v>
      </c>
      <c r="T737" s="1" t="s">
        <v>104</v>
      </c>
      <c r="U737" s="1" t="s">
        <v>104</v>
      </c>
      <c r="V737" s="1" t="s">
        <v>104</v>
      </c>
      <c r="W737" s="1" t="s">
        <v>104</v>
      </c>
      <c r="X737" s="1" t="s">
        <v>727</v>
      </c>
      <c r="Y737" s="1"/>
      <c r="Z737" s="8">
        <v>1</v>
      </c>
      <c r="AA737" s="8">
        <v>1</v>
      </c>
      <c r="AB737" s="8"/>
      <c r="AC737" s="8"/>
      <c r="AD737" s="8"/>
      <c r="AE737" s="8"/>
      <c r="AF737" s="8"/>
      <c r="AG737" s="8"/>
      <c r="AH737" s="8"/>
      <c r="AI737" s="8">
        <v>1</v>
      </c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>
        <v>1</v>
      </c>
      <c r="BA737" s="8"/>
      <c r="BB737" s="1"/>
      <c r="BL737" s="58"/>
      <c r="BP737" t="str">
        <f t="shared" si="27"/>
        <v>WaterSound</v>
      </c>
      <c r="BQ737" t="s">
        <v>2</v>
      </c>
      <c r="BR737">
        <v>2</v>
      </c>
    </row>
    <row r="738" spans="1:70" x14ac:dyDescent="0.25">
      <c r="A738">
        <f t="shared" si="26"/>
        <v>690</v>
      </c>
      <c r="B738" t="s">
        <v>1677</v>
      </c>
      <c r="D738" s="1" t="s">
        <v>15</v>
      </c>
      <c r="E738" s="1" t="s">
        <v>41</v>
      </c>
      <c r="F738" s="1" t="s">
        <v>50</v>
      </c>
      <c r="G738" s="1" t="s">
        <v>50</v>
      </c>
      <c r="H738" s="1" t="s">
        <v>50</v>
      </c>
      <c r="I738" s="1" t="s">
        <v>50</v>
      </c>
      <c r="J738" s="1" t="s">
        <v>50</v>
      </c>
      <c r="K738" s="1" t="s">
        <v>50</v>
      </c>
      <c r="L738" s="1" t="s">
        <v>50</v>
      </c>
      <c r="M738" s="1" t="s">
        <v>104</v>
      </c>
      <c r="N738" s="1" t="s">
        <v>50</v>
      </c>
      <c r="O738" s="1" t="s">
        <v>50</v>
      </c>
      <c r="P738" s="13" t="s">
        <v>1790</v>
      </c>
      <c r="Q738" s="1" t="s">
        <v>104</v>
      </c>
      <c r="R738" s="1" t="s">
        <v>104</v>
      </c>
      <c r="S738" s="1" t="s">
        <v>104</v>
      </c>
      <c r="T738" s="1" t="s">
        <v>104</v>
      </c>
      <c r="U738" s="1" t="s">
        <v>104</v>
      </c>
      <c r="V738" s="1" t="s">
        <v>104</v>
      </c>
      <c r="W738" s="1" t="s">
        <v>104</v>
      </c>
      <c r="X738" s="1" t="s">
        <v>727</v>
      </c>
      <c r="Y738" s="1"/>
      <c r="Z738" s="8">
        <v>1</v>
      </c>
      <c r="AA738" s="8">
        <v>1</v>
      </c>
      <c r="AB738" s="8"/>
      <c r="AC738" s="8"/>
      <c r="AD738" s="8"/>
      <c r="AE738" s="8"/>
      <c r="AF738" s="8"/>
      <c r="AG738" s="8"/>
      <c r="AH738" s="8"/>
      <c r="AI738" s="8">
        <v>1</v>
      </c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>
        <v>1</v>
      </c>
      <c r="BA738" s="8"/>
      <c r="BB738" s="1"/>
      <c r="BJ738">
        <v>16</v>
      </c>
      <c r="BK738">
        <v>11</v>
      </c>
      <c r="BL738" s="58">
        <v>1</v>
      </c>
      <c r="BP738" t="str">
        <f t="shared" si="27"/>
        <v>WaterSound</v>
      </c>
      <c r="BR738">
        <v>2</v>
      </c>
    </row>
    <row r="739" spans="1:70" x14ac:dyDescent="0.25">
      <c r="A739">
        <f t="shared" si="26"/>
        <v>691</v>
      </c>
      <c r="B739" t="s">
        <v>1678</v>
      </c>
      <c r="D739" s="1" t="s">
        <v>11</v>
      </c>
      <c r="E739" s="1" t="s">
        <v>18</v>
      </c>
      <c r="F739" s="1" t="s">
        <v>50</v>
      </c>
      <c r="G739" s="1" t="s">
        <v>50</v>
      </c>
      <c r="H739" s="1"/>
      <c r="I739" s="1" t="s">
        <v>50</v>
      </c>
      <c r="J739" s="1" t="s">
        <v>50</v>
      </c>
      <c r="K739" s="1" t="s">
        <v>50</v>
      </c>
      <c r="L739" s="1" t="s">
        <v>50</v>
      </c>
      <c r="M739" s="1" t="s">
        <v>50</v>
      </c>
      <c r="N739" s="1" t="s">
        <v>50</v>
      </c>
      <c r="O739" s="1" t="s">
        <v>50</v>
      </c>
      <c r="P739" s="1" t="s">
        <v>2424</v>
      </c>
      <c r="Q739" s="1" t="s">
        <v>104</v>
      </c>
      <c r="R739" s="1" t="s">
        <v>104</v>
      </c>
      <c r="S739" s="1" t="s">
        <v>104</v>
      </c>
      <c r="T739" s="1" t="s">
        <v>104</v>
      </c>
      <c r="U739" s="1" t="s">
        <v>104</v>
      </c>
      <c r="V739" s="1" t="s">
        <v>104</v>
      </c>
      <c r="W739" s="1" t="s">
        <v>104</v>
      </c>
      <c r="X739" s="1" t="s">
        <v>1847</v>
      </c>
      <c r="Y739" s="1"/>
      <c r="Z739" s="8"/>
      <c r="AA739" s="8">
        <v>1</v>
      </c>
      <c r="AB739" s="8">
        <v>1</v>
      </c>
      <c r="AC739" s="8">
        <v>1</v>
      </c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1"/>
      <c r="BL739" s="58"/>
      <c r="BP739" t="str">
        <f t="shared" si="27"/>
        <v>GrassFighting</v>
      </c>
      <c r="BQ739" t="s">
        <v>2</v>
      </c>
      <c r="BR739">
        <v>2</v>
      </c>
    </row>
    <row r="740" spans="1:70" x14ac:dyDescent="0.25">
      <c r="A740">
        <f t="shared" si="26"/>
        <v>692</v>
      </c>
      <c r="B740" t="s">
        <v>1679</v>
      </c>
      <c r="D740" s="1" t="s">
        <v>11</v>
      </c>
      <c r="E740" s="1" t="s">
        <v>18</v>
      </c>
      <c r="F740" s="1" t="s">
        <v>50</v>
      </c>
      <c r="G740" s="1" t="s">
        <v>50</v>
      </c>
      <c r="H740" s="1"/>
      <c r="I740" s="1" t="s">
        <v>50</v>
      </c>
      <c r="J740" s="1" t="s">
        <v>50</v>
      </c>
      <c r="K740" s="1" t="s">
        <v>50</v>
      </c>
      <c r="L740" s="1" t="s">
        <v>50</v>
      </c>
      <c r="M740" s="1" t="s">
        <v>104</v>
      </c>
      <c r="N740" s="1" t="s">
        <v>50</v>
      </c>
      <c r="O740" s="1" t="s">
        <v>50</v>
      </c>
      <c r="P740" s="1" t="s">
        <v>2424</v>
      </c>
      <c r="Q740" s="1" t="s">
        <v>104</v>
      </c>
      <c r="R740" s="1" t="s">
        <v>104</v>
      </c>
      <c r="S740" s="1" t="s">
        <v>104</v>
      </c>
      <c r="T740" s="1" t="s">
        <v>104</v>
      </c>
      <c r="U740" s="1" t="s">
        <v>104</v>
      </c>
      <c r="V740" s="1" t="s">
        <v>104</v>
      </c>
      <c r="W740" s="1" t="s">
        <v>104</v>
      </c>
      <c r="X740" s="1" t="s">
        <v>1847</v>
      </c>
      <c r="Y740" s="1"/>
      <c r="Z740" s="8"/>
      <c r="AA740" s="8">
        <v>1</v>
      </c>
      <c r="AB740" s="8">
        <v>1</v>
      </c>
      <c r="AC740" s="8">
        <v>1</v>
      </c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1"/>
      <c r="BL740" s="58"/>
      <c r="BP740" t="str">
        <f t="shared" si="27"/>
        <v>GrassFighting</v>
      </c>
      <c r="BQ740" t="s">
        <v>2</v>
      </c>
      <c r="BR740">
        <v>2</v>
      </c>
    </row>
    <row r="741" spans="1:70" x14ac:dyDescent="0.25">
      <c r="A741">
        <f t="shared" si="26"/>
        <v>693</v>
      </c>
      <c r="B741" t="s">
        <v>1680</v>
      </c>
      <c r="D741" s="1" t="s">
        <v>11</v>
      </c>
      <c r="E741" s="1" t="s">
        <v>18</v>
      </c>
      <c r="F741" s="1" t="s">
        <v>50</v>
      </c>
      <c r="G741" s="1" t="s">
        <v>50</v>
      </c>
      <c r="H741" s="1" t="s">
        <v>50</v>
      </c>
      <c r="I741" s="1" t="s">
        <v>50</v>
      </c>
      <c r="J741" s="1" t="s">
        <v>50</v>
      </c>
      <c r="K741" s="1" t="s">
        <v>50</v>
      </c>
      <c r="L741" s="1" t="s">
        <v>50</v>
      </c>
      <c r="M741" s="1" t="s">
        <v>104</v>
      </c>
      <c r="N741" s="1" t="s">
        <v>50</v>
      </c>
      <c r="O741" s="1" t="s">
        <v>50</v>
      </c>
      <c r="P741" s="1" t="s">
        <v>2424</v>
      </c>
      <c r="Q741" s="1" t="s">
        <v>104</v>
      </c>
      <c r="R741" s="1" t="s">
        <v>104</v>
      </c>
      <c r="S741" s="1" t="s">
        <v>104</v>
      </c>
      <c r="T741" s="1" t="s">
        <v>104</v>
      </c>
      <c r="U741" s="1" t="s">
        <v>104</v>
      </c>
      <c r="V741" s="1" t="s">
        <v>104</v>
      </c>
      <c r="W741" s="1" t="s">
        <v>104</v>
      </c>
      <c r="X741" s="1" t="s">
        <v>1847</v>
      </c>
      <c r="Y741" s="1"/>
      <c r="Z741" s="8"/>
      <c r="AA741" s="8">
        <v>1</v>
      </c>
      <c r="AB741" s="8">
        <v>1</v>
      </c>
      <c r="AC741" s="8">
        <v>1</v>
      </c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1"/>
      <c r="BJ741">
        <v>4</v>
      </c>
      <c r="BK741">
        <v>1</v>
      </c>
      <c r="BL741" s="58"/>
      <c r="BP741" t="str">
        <f t="shared" si="27"/>
        <v>GrassFighting</v>
      </c>
      <c r="BR741">
        <v>2</v>
      </c>
    </row>
    <row r="742" spans="1:70" x14ac:dyDescent="0.25">
      <c r="A742">
        <f t="shared" si="26"/>
        <v>694</v>
      </c>
      <c r="B742" t="s">
        <v>1681</v>
      </c>
      <c r="D742" s="1" t="s">
        <v>9</v>
      </c>
      <c r="E742" s="1" t="s">
        <v>0</v>
      </c>
      <c r="F742" s="1" t="s">
        <v>50</v>
      </c>
      <c r="G742" s="1" t="s">
        <v>50</v>
      </c>
      <c r="H742" s="1"/>
      <c r="I742" s="1" t="s">
        <v>50</v>
      </c>
      <c r="J742" s="1" t="s">
        <v>50</v>
      </c>
      <c r="K742" s="1" t="s">
        <v>50</v>
      </c>
      <c r="L742" s="1" t="s">
        <v>1767</v>
      </c>
      <c r="M742" s="1" t="s">
        <v>50</v>
      </c>
      <c r="N742" s="1" t="s">
        <v>50</v>
      </c>
      <c r="O742" s="1" t="s">
        <v>50</v>
      </c>
      <c r="P742" s="1" t="s">
        <v>832</v>
      </c>
      <c r="Q742" s="1" t="s">
        <v>104</v>
      </c>
      <c r="R742" s="1" t="s">
        <v>104</v>
      </c>
      <c r="S742" s="1" t="s">
        <v>104</v>
      </c>
      <c r="T742" s="1" t="s">
        <v>104</v>
      </c>
      <c r="U742" s="1" t="s">
        <v>104</v>
      </c>
      <c r="V742" s="1" t="s">
        <v>104</v>
      </c>
      <c r="W742" s="1" t="s">
        <v>104</v>
      </c>
      <c r="X742" s="1" t="s">
        <v>727</v>
      </c>
      <c r="Y742" s="1"/>
      <c r="Z742" s="8"/>
      <c r="AA742" s="8"/>
      <c r="AB742" s="8"/>
      <c r="AC742" s="8"/>
      <c r="AD742" s="8">
        <v>1</v>
      </c>
      <c r="AE742" s="8">
        <v>1</v>
      </c>
      <c r="AF742" s="8">
        <v>1</v>
      </c>
      <c r="AG742" s="8"/>
      <c r="AH742" s="8"/>
      <c r="AI742" s="8">
        <v>1</v>
      </c>
      <c r="AJ742" s="8">
        <v>1</v>
      </c>
      <c r="AK742" s="8"/>
      <c r="AL742" s="8"/>
      <c r="AM742" s="8"/>
      <c r="AN742" s="8"/>
      <c r="AO742" s="8"/>
      <c r="AP742" s="8"/>
      <c r="AQ742" s="8"/>
      <c r="AR742" s="8"/>
      <c r="AS742" s="8"/>
      <c r="AT742" s="8">
        <v>1</v>
      </c>
      <c r="AU742" s="8"/>
      <c r="AV742" s="8"/>
      <c r="AW742" s="8"/>
      <c r="AX742" s="8">
        <v>1</v>
      </c>
      <c r="AY742" s="8">
        <v>1</v>
      </c>
      <c r="AZ742" s="8"/>
      <c r="BA742" s="8"/>
      <c r="BB742" s="1"/>
      <c r="BL742" s="58"/>
      <c r="BP742" t="str">
        <f t="shared" si="27"/>
        <v>RockDark</v>
      </c>
      <c r="BQ742" t="s">
        <v>2</v>
      </c>
      <c r="BR742">
        <v>2</v>
      </c>
    </row>
    <row r="743" spans="1:70" x14ac:dyDescent="0.25">
      <c r="A743">
        <f t="shared" si="26"/>
        <v>695</v>
      </c>
      <c r="B743" t="s">
        <v>1682</v>
      </c>
      <c r="D743" s="1" t="s">
        <v>9</v>
      </c>
      <c r="E743" s="1" t="s">
        <v>0</v>
      </c>
      <c r="F743" s="1" t="s">
        <v>50</v>
      </c>
      <c r="G743" s="1" t="s">
        <v>50</v>
      </c>
      <c r="H743" s="1" t="s">
        <v>50</v>
      </c>
      <c r="I743" s="1" t="s">
        <v>50</v>
      </c>
      <c r="J743" s="1" t="s">
        <v>50</v>
      </c>
      <c r="K743" s="1" t="s">
        <v>50</v>
      </c>
      <c r="L743" s="1"/>
      <c r="M743" s="1" t="s">
        <v>104</v>
      </c>
      <c r="N743" s="1" t="s">
        <v>50</v>
      </c>
      <c r="O743" s="1" t="s">
        <v>50</v>
      </c>
      <c r="P743" s="1" t="s">
        <v>832</v>
      </c>
      <c r="Q743" s="1" t="s">
        <v>104</v>
      </c>
      <c r="R743" s="1" t="s">
        <v>104</v>
      </c>
      <c r="S743" s="1" t="s">
        <v>104</v>
      </c>
      <c r="T743" s="1" t="s">
        <v>104</v>
      </c>
      <c r="U743" s="1" t="s">
        <v>104</v>
      </c>
      <c r="V743" s="1" t="s">
        <v>104</v>
      </c>
      <c r="W743" s="1" t="s">
        <v>104</v>
      </c>
      <c r="X743" s="1" t="s">
        <v>727</v>
      </c>
      <c r="Y743" s="1"/>
      <c r="Z743" s="8"/>
      <c r="AA743" s="8"/>
      <c r="AB743" s="8"/>
      <c r="AC743" s="8"/>
      <c r="AD743" s="8">
        <v>1</v>
      </c>
      <c r="AE743" s="8">
        <v>1</v>
      </c>
      <c r="AF743" s="8">
        <v>1</v>
      </c>
      <c r="AG743" s="8"/>
      <c r="AH743" s="8"/>
      <c r="AI743" s="8">
        <v>1</v>
      </c>
      <c r="AJ743" s="8">
        <v>1</v>
      </c>
      <c r="AK743" s="8"/>
      <c r="AL743" s="8"/>
      <c r="AM743" s="8"/>
      <c r="AN743" s="8"/>
      <c r="AO743" s="8"/>
      <c r="AP743" s="8"/>
      <c r="AQ743" s="8"/>
      <c r="AR743" s="8"/>
      <c r="AS743" s="8"/>
      <c r="AT743" s="8">
        <v>1</v>
      </c>
      <c r="AU743" s="8"/>
      <c r="AV743" s="8"/>
      <c r="AW743" s="8"/>
      <c r="AX743" s="8">
        <v>1</v>
      </c>
      <c r="AY743" s="8">
        <v>1</v>
      </c>
      <c r="AZ743" s="8"/>
      <c r="BA743" s="8"/>
      <c r="BB743" s="1"/>
      <c r="BL743" s="58"/>
      <c r="BP743" t="str">
        <f t="shared" si="27"/>
        <v>RockDark</v>
      </c>
      <c r="BR743">
        <v>2</v>
      </c>
    </row>
    <row r="744" spans="1:70" x14ac:dyDescent="0.25">
      <c r="A744">
        <f t="shared" si="26"/>
        <v>696</v>
      </c>
      <c r="B744" t="s">
        <v>375</v>
      </c>
      <c r="D744" s="1" t="s">
        <v>11</v>
      </c>
      <c r="E744" s="1" t="s">
        <v>17</v>
      </c>
      <c r="F744" s="1" t="s">
        <v>50</v>
      </c>
      <c r="G744" s="1" t="s">
        <v>50</v>
      </c>
      <c r="H744" s="1" t="s">
        <v>50</v>
      </c>
      <c r="I744" s="1" t="s">
        <v>50</v>
      </c>
      <c r="J744" s="1" t="s">
        <v>50</v>
      </c>
      <c r="K744" s="1" t="s">
        <v>50</v>
      </c>
      <c r="L744" s="1" t="s">
        <v>50</v>
      </c>
      <c r="M744" s="1" t="s">
        <v>50</v>
      </c>
      <c r="N744" s="1" t="s">
        <v>50</v>
      </c>
      <c r="O744" s="1" t="s">
        <v>50</v>
      </c>
      <c r="P744" s="1" t="s">
        <v>104</v>
      </c>
      <c r="Q744" s="1" t="s">
        <v>104</v>
      </c>
      <c r="R744" s="1" t="s">
        <v>104</v>
      </c>
      <c r="S744" s="1" t="s">
        <v>104</v>
      </c>
      <c r="T744" s="1" t="s">
        <v>104</v>
      </c>
      <c r="U744" s="1" t="s">
        <v>104</v>
      </c>
      <c r="V744" s="1" t="s">
        <v>104</v>
      </c>
      <c r="W744" s="1" t="s">
        <v>104</v>
      </c>
      <c r="X744" s="1" t="s">
        <v>740</v>
      </c>
      <c r="Y744" s="1"/>
      <c r="Z744" s="8"/>
      <c r="AA744" s="8"/>
      <c r="AB744" s="8">
        <v>1</v>
      </c>
      <c r="AC744" s="8">
        <v>1</v>
      </c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>
        <v>1</v>
      </c>
      <c r="BA744" s="8"/>
      <c r="BB744" s="1"/>
      <c r="BJ744">
        <v>1</v>
      </c>
      <c r="BL744" s="58"/>
      <c r="BP744" t="str">
        <f t="shared" si="27"/>
        <v>GrassBug</v>
      </c>
      <c r="BR744">
        <v>4</v>
      </c>
    </row>
    <row r="745" spans="1:70" x14ac:dyDescent="0.25">
      <c r="A745">
        <f t="shared" ref="A745:A808" si="28">A744+1</f>
        <v>697</v>
      </c>
      <c r="B745" t="s">
        <v>1688</v>
      </c>
      <c r="D745" s="1" t="s">
        <v>10</v>
      </c>
      <c r="E745" s="1" t="s">
        <v>9</v>
      </c>
      <c r="F745" s="1" t="s">
        <v>50</v>
      </c>
      <c r="G745" s="1" t="s">
        <v>50</v>
      </c>
      <c r="H745" s="1"/>
      <c r="I745" s="1" t="s">
        <v>50</v>
      </c>
      <c r="J745" s="1" t="s">
        <v>50</v>
      </c>
      <c r="K745" s="1" t="s">
        <v>50</v>
      </c>
      <c r="L745" s="1"/>
      <c r="M745" s="1" t="s">
        <v>50</v>
      </c>
      <c r="N745" s="1" t="s">
        <v>50</v>
      </c>
      <c r="O745" s="1" t="s">
        <v>50</v>
      </c>
      <c r="P745" s="13" t="s">
        <v>781</v>
      </c>
      <c r="Q745" s="1" t="s">
        <v>104</v>
      </c>
      <c r="R745" s="1" t="s">
        <v>104</v>
      </c>
      <c r="S745" s="1" t="s">
        <v>104</v>
      </c>
      <c r="T745" s="1" t="s">
        <v>104</v>
      </c>
      <c r="U745" s="1" t="s">
        <v>104</v>
      </c>
      <c r="V745" s="1" t="s">
        <v>104</v>
      </c>
      <c r="W745" s="1" t="s">
        <v>104</v>
      </c>
      <c r="X745" s="1" t="s">
        <v>727</v>
      </c>
      <c r="Y745" s="1"/>
      <c r="Z745" s="8"/>
      <c r="AA745" s="8"/>
      <c r="AB745" s="8">
        <v>1</v>
      </c>
      <c r="AC745" s="8">
        <v>1</v>
      </c>
      <c r="AD745" s="8">
        <v>1</v>
      </c>
      <c r="AE745" s="8"/>
      <c r="AF745" s="8">
        <v>1</v>
      </c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>
        <v>1</v>
      </c>
      <c r="AZ745" s="8">
        <v>1</v>
      </c>
      <c r="BA745" s="8"/>
      <c r="BB745" s="1"/>
      <c r="BL745" s="58"/>
      <c r="BP745" t="str">
        <f t="shared" si="27"/>
        <v>PoisonRock</v>
      </c>
      <c r="BQ745" t="s">
        <v>2</v>
      </c>
      <c r="BR745">
        <v>3</v>
      </c>
    </row>
    <row r="746" spans="1:70" x14ac:dyDescent="0.25">
      <c r="A746">
        <f t="shared" si="28"/>
        <v>698</v>
      </c>
      <c r="B746" t="s">
        <v>1689</v>
      </c>
      <c r="D746" s="1" t="s">
        <v>10</v>
      </c>
      <c r="E746" s="1" t="s">
        <v>9</v>
      </c>
      <c r="F746" s="1" t="s">
        <v>50</v>
      </c>
      <c r="G746" s="1" t="s">
        <v>50</v>
      </c>
      <c r="H746" s="1" t="s">
        <v>50</v>
      </c>
      <c r="I746" s="1" t="s">
        <v>50</v>
      </c>
      <c r="J746" s="1" t="s">
        <v>50</v>
      </c>
      <c r="K746" s="1" t="s">
        <v>50</v>
      </c>
      <c r="L746" s="1"/>
      <c r="M746" s="1" t="s">
        <v>104</v>
      </c>
      <c r="N746" s="1" t="s">
        <v>50</v>
      </c>
      <c r="O746" s="1" t="s">
        <v>50</v>
      </c>
      <c r="P746" s="13" t="s">
        <v>781</v>
      </c>
      <c r="Q746" s="1" t="s">
        <v>104</v>
      </c>
      <c r="R746" s="1" t="s">
        <v>104</v>
      </c>
      <c r="S746" s="1" t="s">
        <v>104</v>
      </c>
      <c r="T746" s="1" t="s">
        <v>104</v>
      </c>
      <c r="U746" s="1" t="s">
        <v>104</v>
      </c>
      <c r="V746" s="1" t="s">
        <v>104</v>
      </c>
      <c r="W746" s="1" t="s">
        <v>104</v>
      </c>
      <c r="X746" s="1" t="s">
        <v>727</v>
      </c>
      <c r="Y746" s="1"/>
      <c r="Z746" s="8"/>
      <c r="AA746" s="8"/>
      <c r="AB746" s="8">
        <v>1</v>
      </c>
      <c r="AC746" s="8">
        <v>1</v>
      </c>
      <c r="AD746" s="8">
        <v>1</v>
      </c>
      <c r="AE746" s="8"/>
      <c r="AF746" s="8">
        <v>1</v>
      </c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>
        <v>1</v>
      </c>
      <c r="AZ746" s="8">
        <v>1</v>
      </c>
      <c r="BA746" s="8"/>
      <c r="BB746" s="1"/>
      <c r="BJ746">
        <v>2</v>
      </c>
      <c r="BL746" s="58"/>
      <c r="BP746" t="str">
        <f t="shared" si="27"/>
        <v>PoisonRock</v>
      </c>
      <c r="BR746">
        <v>3</v>
      </c>
    </row>
    <row r="747" spans="1:70" x14ac:dyDescent="0.25">
      <c r="A747">
        <f t="shared" si="28"/>
        <v>699</v>
      </c>
      <c r="B747" t="s">
        <v>1692</v>
      </c>
      <c r="D747" s="1" t="s">
        <v>13</v>
      </c>
      <c r="E747" s="1" t="s">
        <v>10</v>
      </c>
      <c r="F747" s="1" t="s">
        <v>50</v>
      </c>
      <c r="G747" s="1" t="s">
        <v>50</v>
      </c>
      <c r="H747" s="1"/>
      <c r="I747" s="1" t="s">
        <v>50</v>
      </c>
      <c r="J747" s="1" t="s">
        <v>50</v>
      </c>
      <c r="K747" s="1" t="s">
        <v>50</v>
      </c>
      <c r="L747" s="1"/>
      <c r="M747" s="1" t="s">
        <v>50</v>
      </c>
      <c r="N747" s="1" t="s">
        <v>50</v>
      </c>
      <c r="O747" s="1" t="s">
        <v>50</v>
      </c>
      <c r="P747" s="13" t="s">
        <v>1719</v>
      </c>
      <c r="Q747" s="1" t="s">
        <v>104</v>
      </c>
      <c r="R747" s="1" t="s">
        <v>104</v>
      </c>
      <c r="S747" s="1" t="s">
        <v>104</v>
      </c>
      <c r="T747" s="1" t="s">
        <v>104</v>
      </c>
      <c r="U747" s="1" t="s">
        <v>104</v>
      </c>
      <c r="V747" s="1" t="s">
        <v>104</v>
      </c>
      <c r="W747" s="1" t="s">
        <v>104</v>
      </c>
      <c r="X747" s="1" t="s">
        <v>2355</v>
      </c>
      <c r="Y747" s="1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>
        <v>1</v>
      </c>
      <c r="AW747" s="8">
        <v>1</v>
      </c>
      <c r="AX747" s="8">
        <v>1</v>
      </c>
      <c r="AY747" s="8">
        <v>1</v>
      </c>
      <c r="AZ747" s="8"/>
      <c r="BA747" s="8"/>
      <c r="BB747" s="1"/>
      <c r="BL747" s="58"/>
      <c r="BP747" t="str">
        <f t="shared" si="27"/>
        <v>FirePoison</v>
      </c>
      <c r="BQ747" t="s">
        <v>2</v>
      </c>
      <c r="BR747">
        <v>3</v>
      </c>
    </row>
    <row r="748" spans="1:70" x14ac:dyDescent="0.25">
      <c r="A748">
        <f t="shared" si="28"/>
        <v>700</v>
      </c>
      <c r="B748" t="s">
        <v>1693</v>
      </c>
      <c r="D748" s="1" t="s">
        <v>13</v>
      </c>
      <c r="E748" s="1" t="s">
        <v>10</v>
      </c>
      <c r="F748" s="1" t="s">
        <v>50</v>
      </c>
      <c r="G748" s="1" t="s">
        <v>50</v>
      </c>
      <c r="H748" s="1"/>
      <c r="I748" s="1" t="s">
        <v>50</v>
      </c>
      <c r="J748" s="1" t="s">
        <v>50</v>
      </c>
      <c r="K748" s="1" t="s">
        <v>50</v>
      </c>
      <c r="L748" s="1"/>
      <c r="M748" s="1" t="s">
        <v>104</v>
      </c>
      <c r="N748" s="1" t="s">
        <v>50</v>
      </c>
      <c r="O748" s="1" t="s">
        <v>50</v>
      </c>
      <c r="P748" s="13" t="s">
        <v>1719</v>
      </c>
      <c r="Q748" s="1" t="s">
        <v>104</v>
      </c>
      <c r="R748" s="1" t="s">
        <v>104</v>
      </c>
      <c r="S748" s="1" t="s">
        <v>104</v>
      </c>
      <c r="T748" s="1" t="s">
        <v>104</v>
      </c>
      <c r="U748" s="1" t="s">
        <v>104</v>
      </c>
      <c r="V748" s="1" t="s">
        <v>104</v>
      </c>
      <c r="W748" s="1" t="s">
        <v>104</v>
      </c>
      <c r="X748" s="1" t="s">
        <v>2355</v>
      </c>
      <c r="Y748" s="1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>
        <v>1</v>
      </c>
      <c r="AW748" s="8">
        <v>1</v>
      </c>
      <c r="AX748" s="8">
        <v>1</v>
      </c>
      <c r="AY748" s="8">
        <v>1</v>
      </c>
      <c r="AZ748" s="8"/>
      <c r="BA748" s="8"/>
      <c r="BB748" s="1"/>
      <c r="BL748" s="58"/>
      <c r="BP748" t="str">
        <f t="shared" si="27"/>
        <v>FirePoison</v>
      </c>
      <c r="BQ748" t="s">
        <v>2</v>
      </c>
      <c r="BR748">
        <v>3</v>
      </c>
    </row>
    <row r="749" spans="1:70" x14ac:dyDescent="0.25">
      <c r="A749">
        <f t="shared" si="28"/>
        <v>701</v>
      </c>
      <c r="B749" t="s">
        <v>1694</v>
      </c>
      <c r="D749" s="1" t="s">
        <v>13</v>
      </c>
      <c r="E749" s="1" t="s">
        <v>10</v>
      </c>
      <c r="F749" s="1" t="s">
        <v>50</v>
      </c>
      <c r="G749" s="1" t="s">
        <v>50</v>
      </c>
      <c r="H749" s="1" t="s">
        <v>50</v>
      </c>
      <c r="I749" s="1" t="s">
        <v>50</v>
      </c>
      <c r="J749" s="1" t="s">
        <v>50</v>
      </c>
      <c r="K749" s="1" t="s">
        <v>50</v>
      </c>
      <c r="L749" s="1"/>
      <c r="M749" s="1" t="s">
        <v>104</v>
      </c>
      <c r="N749" s="1" t="s">
        <v>50</v>
      </c>
      <c r="O749" s="1" t="s">
        <v>50</v>
      </c>
      <c r="P749" s="13" t="s">
        <v>1719</v>
      </c>
      <c r="Q749" s="1" t="s">
        <v>50</v>
      </c>
      <c r="R749" s="1" t="s">
        <v>50</v>
      </c>
      <c r="S749" s="1" t="s">
        <v>50</v>
      </c>
      <c r="T749" s="1" t="s">
        <v>50</v>
      </c>
      <c r="U749" s="1" t="s">
        <v>50</v>
      </c>
      <c r="V749" s="1" t="s">
        <v>50</v>
      </c>
      <c r="W749" s="1" t="s">
        <v>50</v>
      </c>
      <c r="X749" s="1" t="s">
        <v>2355</v>
      </c>
      <c r="Y749" s="1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>
        <v>1</v>
      </c>
      <c r="AW749" s="8">
        <v>1</v>
      </c>
      <c r="AX749" s="8">
        <v>1</v>
      </c>
      <c r="AY749" s="8">
        <v>1</v>
      </c>
      <c r="AZ749" s="8"/>
      <c r="BA749" s="8"/>
      <c r="BB749" s="1"/>
      <c r="BJ749">
        <v>28</v>
      </c>
      <c r="BK749">
        <v>7</v>
      </c>
      <c r="BL749" s="58">
        <v>1</v>
      </c>
      <c r="BP749" t="str">
        <f t="shared" si="27"/>
        <v>FirePoison</v>
      </c>
      <c r="BR749">
        <v>3</v>
      </c>
    </row>
    <row r="750" spans="1:70" x14ac:dyDescent="0.25">
      <c r="A750">
        <f t="shared" si="28"/>
        <v>702</v>
      </c>
      <c r="B750" t="s">
        <v>1697</v>
      </c>
      <c r="D750" s="1" t="s">
        <v>5</v>
      </c>
      <c r="E750" s="1" t="s">
        <v>4</v>
      </c>
      <c r="F750" s="1" t="s">
        <v>50</v>
      </c>
      <c r="G750" s="1" t="s">
        <v>50</v>
      </c>
      <c r="H750" s="1"/>
      <c r="I750" s="1" t="s">
        <v>50</v>
      </c>
      <c r="J750" s="1" t="s">
        <v>50</v>
      </c>
      <c r="K750" s="1" t="s">
        <v>50</v>
      </c>
      <c r="L750" s="1" t="s">
        <v>50</v>
      </c>
      <c r="M750" s="1" t="s">
        <v>50</v>
      </c>
      <c r="N750" s="1" t="s">
        <v>50</v>
      </c>
      <c r="O750" s="1" t="s">
        <v>50</v>
      </c>
      <c r="P750" s="13" t="s">
        <v>810</v>
      </c>
      <c r="Q750" s="1" t="s">
        <v>104</v>
      </c>
      <c r="R750" s="1" t="s">
        <v>104</v>
      </c>
      <c r="S750" s="1" t="s">
        <v>104</v>
      </c>
      <c r="T750" s="1" t="s">
        <v>104</v>
      </c>
      <c r="U750" s="1" t="s">
        <v>104</v>
      </c>
      <c r="V750" s="1" t="s">
        <v>104</v>
      </c>
      <c r="W750" s="1" t="s">
        <v>104</v>
      </c>
      <c r="X750" s="1" t="s">
        <v>731</v>
      </c>
      <c r="Y750" s="1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>
        <v>1</v>
      </c>
      <c r="AP750" s="8">
        <v>1</v>
      </c>
      <c r="AQ750" s="8">
        <v>1</v>
      </c>
      <c r="AR750" s="8">
        <v>1</v>
      </c>
      <c r="AS750" s="8"/>
      <c r="AT750" s="8"/>
      <c r="AU750" s="8"/>
      <c r="AV750" s="8"/>
      <c r="AW750" s="8"/>
      <c r="AX750" s="8"/>
      <c r="AY750" s="8"/>
      <c r="AZ750" s="8"/>
      <c r="BA750" s="8"/>
      <c r="BB750" s="1"/>
      <c r="BL750" s="58"/>
      <c r="BP750" t="str">
        <f t="shared" si="27"/>
        <v>IcePsychic</v>
      </c>
      <c r="BQ750" t="s">
        <v>2</v>
      </c>
      <c r="BR750">
        <v>2</v>
      </c>
    </row>
    <row r="751" spans="1:70" x14ac:dyDescent="0.25">
      <c r="A751">
        <f t="shared" si="28"/>
        <v>703</v>
      </c>
      <c r="B751" t="s">
        <v>1698</v>
      </c>
      <c r="D751" s="1" t="s">
        <v>5</v>
      </c>
      <c r="E751" s="1" t="s">
        <v>4</v>
      </c>
      <c r="F751" s="1" t="s">
        <v>50</v>
      </c>
      <c r="G751" s="1" t="s">
        <v>50</v>
      </c>
      <c r="H751" s="1" t="s">
        <v>50</v>
      </c>
      <c r="I751" s="1" t="s">
        <v>50</v>
      </c>
      <c r="J751" s="1" t="s">
        <v>50</v>
      </c>
      <c r="K751" s="1" t="s">
        <v>50</v>
      </c>
      <c r="L751" s="1"/>
      <c r="M751" s="1" t="s">
        <v>104</v>
      </c>
      <c r="N751" s="1" t="s">
        <v>50</v>
      </c>
      <c r="O751" s="1" t="s">
        <v>50</v>
      </c>
      <c r="P751" s="13" t="s">
        <v>810</v>
      </c>
      <c r="Q751" s="1" t="s">
        <v>104</v>
      </c>
      <c r="R751" s="1" t="s">
        <v>104</v>
      </c>
      <c r="S751" s="1" t="s">
        <v>104</v>
      </c>
      <c r="T751" s="1" t="s">
        <v>104</v>
      </c>
      <c r="U751" s="1" t="s">
        <v>104</v>
      </c>
      <c r="V751" s="1" t="s">
        <v>104</v>
      </c>
      <c r="W751" s="1" t="s">
        <v>104</v>
      </c>
      <c r="X751" s="1" t="s">
        <v>731</v>
      </c>
      <c r="Y751" s="1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>
        <v>1</v>
      </c>
      <c r="AP751" s="8">
        <v>1</v>
      </c>
      <c r="AQ751" s="8">
        <v>1</v>
      </c>
      <c r="AR751" s="8">
        <v>1</v>
      </c>
      <c r="AS751" s="8"/>
      <c r="AT751" s="8"/>
      <c r="AU751" s="8"/>
      <c r="AV751" s="8"/>
      <c r="AW751" s="8"/>
      <c r="AX751" s="8"/>
      <c r="AY751" s="8"/>
      <c r="AZ751" s="8"/>
      <c r="BA751" s="8"/>
      <c r="BB751" s="1"/>
      <c r="BJ751">
        <v>11</v>
      </c>
      <c r="BL751" s="58"/>
      <c r="BP751" t="str">
        <f t="shared" si="27"/>
        <v>IcePsychic</v>
      </c>
      <c r="BR751">
        <v>1</v>
      </c>
    </row>
    <row r="752" spans="1:70" x14ac:dyDescent="0.25">
      <c r="A752">
        <f t="shared" si="28"/>
        <v>704</v>
      </c>
      <c r="B752" t="s">
        <v>1701</v>
      </c>
      <c r="D752" s="1" t="s">
        <v>42</v>
      </c>
      <c r="E752" s="1" t="s">
        <v>17</v>
      </c>
      <c r="F752" s="1" t="s">
        <v>50</v>
      </c>
      <c r="G752" s="1" t="s">
        <v>50</v>
      </c>
      <c r="H752" s="1"/>
      <c r="I752" s="1" t="s">
        <v>50</v>
      </c>
      <c r="J752" s="1" t="s">
        <v>50</v>
      </c>
      <c r="K752" s="1" t="s">
        <v>50</v>
      </c>
      <c r="L752" s="1" t="s">
        <v>50</v>
      </c>
      <c r="M752" s="1" t="s">
        <v>50</v>
      </c>
      <c r="N752" s="1" t="s">
        <v>50</v>
      </c>
      <c r="O752" s="1" t="s">
        <v>50</v>
      </c>
      <c r="P752" s="13" t="s">
        <v>1727</v>
      </c>
      <c r="Q752" s="1" t="s">
        <v>104</v>
      </c>
      <c r="R752" s="1" t="s">
        <v>104</v>
      </c>
      <c r="S752" s="1" t="s">
        <v>104</v>
      </c>
      <c r="T752" s="1" t="s">
        <v>104</v>
      </c>
      <c r="U752" s="1" t="s">
        <v>104</v>
      </c>
      <c r="V752" s="1" t="s">
        <v>104</v>
      </c>
      <c r="W752" s="1" t="s">
        <v>104</v>
      </c>
      <c r="X752" s="1" t="s">
        <v>1747</v>
      </c>
      <c r="Y752" s="1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>
        <v>1</v>
      </c>
      <c r="AT752" s="8"/>
      <c r="AU752" s="8">
        <v>1</v>
      </c>
      <c r="AV752" s="8"/>
      <c r="AW752" s="8"/>
      <c r="AX752" s="8"/>
      <c r="AY752" s="8"/>
      <c r="AZ752" s="8"/>
      <c r="BA752" s="8"/>
      <c r="BB752" s="1"/>
      <c r="BL752" s="58"/>
      <c r="BP752" t="str">
        <f t="shared" si="27"/>
        <v>CosmicBug</v>
      </c>
      <c r="BQ752" t="s">
        <v>2</v>
      </c>
      <c r="BR752">
        <v>5</v>
      </c>
    </row>
    <row r="753" spans="1:70" x14ac:dyDescent="0.25">
      <c r="A753">
        <f t="shared" si="28"/>
        <v>705</v>
      </c>
      <c r="B753" t="s">
        <v>1702</v>
      </c>
      <c r="D753" s="1" t="s">
        <v>42</v>
      </c>
      <c r="E753" s="1" t="s">
        <v>17</v>
      </c>
      <c r="F753" s="1" t="s">
        <v>50</v>
      </c>
      <c r="G753" s="1" t="s">
        <v>50</v>
      </c>
      <c r="H753" s="1" t="s">
        <v>50</v>
      </c>
      <c r="I753" s="1" t="s">
        <v>50</v>
      </c>
      <c r="J753" s="1" t="s">
        <v>50</v>
      </c>
      <c r="K753" s="1" t="s">
        <v>50</v>
      </c>
      <c r="L753" s="1"/>
      <c r="M753" s="1" t="s">
        <v>104</v>
      </c>
      <c r="N753" s="1" t="s">
        <v>50</v>
      </c>
      <c r="O753" s="1" t="s">
        <v>50</v>
      </c>
      <c r="P753" s="13" t="s">
        <v>1727</v>
      </c>
      <c r="Q753" s="1" t="s">
        <v>104</v>
      </c>
      <c r="R753" s="1" t="s">
        <v>104</v>
      </c>
      <c r="S753" s="1" t="s">
        <v>104</v>
      </c>
      <c r="T753" s="1" t="s">
        <v>104</v>
      </c>
      <c r="U753" s="1" t="s">
        <v>104</v>
      </c>
      <c r="V753" s="1" t="s">
        <v>104</v>
      </c>
      <c r="W753" s="1" t="s">
        <v>104</v>
      </c>
      <c r="X753" s="1" t="s">
        <v>1747</v>
      </c>
      <c r="Y753" s="1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>
        <v>1</v>
      </c>
      <c r="AT753" s="8"/>
      <c r="AU753" s="8">
        <v>1</v>
      </c>
      <c r="AV753" s="8"/>
      <c r="AW753" s="8"/>
      <c r="AX753" s="8"/>
      <c r="AY753" s="8"/>
      <c r="AZ753" s="8"/>
      <c r="BA753" s="8"/>
      <c r="BB753" s="1"/>
      <c r="BJ753">
        <v>25</v>
      </c>
      <c r="BK753">
        <v>5</v>
      </c>
      <c r="BL753" s="58"/>
      <c r="BP753" t="str">
        <f t="shared" si="27"/>
        <v>CosmicBug</v>
      </c>
      <c r="BR753">
        <v>5</v>
      </c>
    </row>
    <row r="754" spans="1:70" x14ac:dyDescent="0.25">
      <c r="A754">
        <f t="shared" si="28"/>
        <v>706</v>
      </c>
      <c r="B754" t="s">
        <v>1709</v>
      </c>
      <c r="D754" s="1" t="s">
        <v>8</v>
      </c>
      <c r="E754" s="1" t="s">
        <v>9</v>
      </c>
      <c r="F754" s="1" t="s">
        <v>50</v>
      </c>
      <c r="G754" s="1" t="s">
        <v>50</v>
      </c>
      <c r="H754" s="1"/>
      <c r="I754" s="1" t="s">
        <v>50</v>
      </c>
      <c r="J754" s="1" t="s">
        <v>50</v>
      </c>
      <c r="K754" s="1" t="s">
        <v>50</v>
      </c>
      <c r="L754" s="1" t="s">
        <v>1767</v>
      </c>
      <c r="M754" s="1" t="s">
        <v>50</v>
      </c>
      <c r="N754" s="1" t="s">
        <v>50</v>
      </c>
      <c r="O754" s="1" t="s">
        <v>50</v>
      </c>
      <c r="P754" s="13" t="s">
        <v>2070</v>
      </c>
      <c r="Q754" s="1" t="s">
        <v>104</v>
      </c>
      <c r="R754" s="1" t="s">
        <v>104</v>
      </c>
      <c r="S754" s="1" t="s">
        <v>104</v>
      </c>
      <c r="T754" s="1" t="s">
        <v>104</v>
      </c>
      <c r="U754" s="1" t="s">
        <v>104</v>
      </c>
      <c r="V754" s="1" t="s">
        <v>104</v>
      </c>
      <c r="W754" s="1" t="s">
        <v>104</v>
      </c>
      <c r="X754" s="1" t="s">
        <v>2489</v>
      </c>
      <c r="Y754" s="1"/>
      <c r="Z754" s="8"/>
      <c r="AA754" s="8"/>
      <c r="AB754" s="8"/>
      <c r="AC754" s="8"/>
      <c r="AD754" s="8">
        <v>1</v>
      </c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>
        <v>1</v>
      </c>
      <c r="AQ754" s="8"/>
      <c r="AR754" s="8"/>
      <c r="AS754" s="8"/>
      <c r="AT754" s="8"/>
      <c r="AU754" s="8"/>
      <c r="AV754" s="8">
        <v>1</v>
      </c>
      <c r="AW754" s="8"/>
      <c r="AX754" s="8">
        <v>1</v>
      </c>
      <c r="AY754" s="8">
        <v>1</v>
      </c>
      <c r="AZ754" s="8">
        <v>1</v>
      </c>
      <c r="BA754" s="8"/>
      <c r="BB754" s="1"/>
      <c r="BL754" s="58"/>
      <c r="BP754" t="str">
        <f t="shared" si="27"/>
        <v>GroundRock</v>
      </c>
      <c r="BQ754" t="s">
        <v>2</v>
      </c>
      <c r="BR754">
        <v>3</v>
      </c>
    </row>
    <row r="755" spans="1:70" x14ac:dyDescent="0.25">
      <c r="A755">
        <f t="shared" si="28"/>
        <v>707</v>
      </c>
      <c r="B755" t="s">
        <v>1710</v>
      </c>
      <c r="D755" s="1" t="s">
        <v>8</v>
      </c>
      <c r="E755" s="1" t="s">
        <v>9</v>
      </c>
      <c r="F755" s="1" t="s">
        <v>50</v>
      </c>
      <c r="G755" s="1" t="s">
        <v>50</v>
      </c>
      <c r="H755" s="1"/>
      <c r="I755" s="1" t="s">
        <v>50</v>
      </c>
      <c r="J755" s="1" t="s">
        <v>50</v>
      </c>
      <c r="K755" s="1" t="s">
        <v>50</v>
      </c>
      <c r="L755" s="1"/>
      <c r="M755" s="1" t="s">
        <v>104</v>
      </c>
      <c r="N755" s="1" t="s">
        <v>50</v>
      </c>
      <c r="O755" s="1" t="s">
        <v>50</v>
      </c>
      <c r="P755" s="13" t="s">
        <v>2070</v>
      </c>
      <c r="Q755" s="1" t="s">
        <v>104</v>
      </c>
      <c r="R755" s="1" t="s">
        <v>104</v>
      </c>
      <c r="S755" s="1" t="s">
        <v>104</v>
      </c>
      <c r="T755" s="1" t="s">
        <v>104</v>
      </c>
      <c r="U755" s="1" t="s">
        <v>104</v>
      </c>
      <c r="V755" s="1" t="s">
        <v>104</v>
      </c>
      <c r="W755" s="1" t="s">
        <v>104</v>
      </c>
      <c r="X755" s="1" t="s">
        <v>2489</v>
      </c>
      <c r="Y755" s="1"/>
      <c r="Z755" s="8"/>
      <c r="AA755" s="8"/>
      <c r="AB755" s="8"/>
      <c r="AC755" s="8"/>
      <c r="AD755" s="8">
        <v>1</v>
      </c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>
        <v>1</v>
      </c>
      <c r="AQ755" s="8"/>
      <c r="AR755" s="8"/>
      <c r="AS755" s="8"/>
      <c r="AT755" s="8"/>
      <c r="AU755" s="8"/>
      <c r="AV755" s="8">
        <v>1</v>
      </c>
      <c r="AW755" s="8"/>
      <c r="AX755" s="8">
        <v>1</v>
      </c>
      <c r="AY755" s="8">
        <v>1</v>
      </c>
      <c r="AZ755" s="8">
        <v>1</v>
      </c>
      <c r="BA755" s="8"/>
      <c r="BB755" s="1"/>
      <c r="BL755" s="58"/>
      <c r="BP755" t="str">
        <f t="shared" si="27"/>
        <v>GroundRock</v>
      </c>
      <c r="BQ755" t="s">
        <v>2</v>
      </c>
      <c r="BR755">
        <v>3</v>
      </c>
    </row>
    <row r="756" spans="1:70" x14ac:dyDescent="0.25">
      <c r="A756">
        <f t="shared" si="28"/>
        <v>708</v>
      </c>
      <c r="B756" t="s">
        <v>1711</v>
      </c>
      <c r="D756" s="1" t="s">
        <v>8</v>
      </c>
      <c r="E756" s="1" t="s">
        <v>9</v>
      </c>
      <c r="F756" s="1" t="s">
        <v>50</v>
      </c>
      <c r="G756" s="1" t="s">
        <v>50</v>
      </c>
      <c r="H756" s="1" t="s">
        <v>50</v>
      </c>
      <c r="I756" s="1" t="s">
        <v>50</v>
      </c>
      <c r="J756" s="1" t="s">
        <v>50</v>
      </c>
      <c r="K756" s="1" t="s">
        <v>50</v>
      </c>
      <c r="L756" s="1"/>
      <c r="M756" s="1" t="s">
        <v>104</v>
      </c>
      <c r="N756" s="1" t="s">
        <v>50</v>
      </c>
      <c r="O756" s="1" t="s">
        <v>50</v>
      </c>
      <c r="P756" s="13" t="s">
        <v>2070</v>
      </c>
      <c r="Q756" s="1" t="s">
        <v>1767</v>
      </c>
      <c r="R756" s="1" t="s">
        <v>1767</v>
      </c>
      <c r="S756" s="1" t="s">
        <v>104</v>
      </c>
      <c r="T756" s="1" t="s">
        <v>1767</v>
      </c>
      <c r="U756" s="1" t="s">
        <v>1767</v>
      </c>
      <c r="V756" s="1" t="s">
        <v>1767</v>
      </c>
      <c r="W756" s="1" t="s">
        <v>1767</v>
      </c>
      <c r="X756" s="1" t="s">
        <v>2489</v>
      </c>
      <c r="Y756" s="1"/>
      <c r="Z756" s="8"/>
      <c r="AA756" s="8"/>
      <c r="AB756" s="8"/>
      <c r="AC756" s="8"/>
      <c r="AD756" s="8">
        <v>1</v>
      </c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>
        <v>1</v>
      </c>
      <c r="AQ756" s="8"/>
      <c r="AR756" s="8"/>
      <c r="AS756" s="8"/>
      <c r="AT756" s="8"/>
      <c r="AU756" s="8"/>
      <c r="AV756" s="8">
        <v>1</v>
      </c>
      <c r="AW756" s="8"/>
      <c r="AX756" s="8">
        <v>1</v>
      </c>
      <c r="AY756" s="8">
        <v>1</v>
      </c>
      <c r="AZ756" s="8">
        <v>1</v>
      </c>
      <c r="BA756" s="8"/>
      <c r="BB756" s="1"/>
      <c r="BJ756">
        <v>3</v>
      </c>
      <c r="BK756">
        <v>1</v>
      </c>
      <c r="BL756" s="58">
        <v>1</v>
      </c>
      <c r="BP756" t="str">
        <f t="shared" si="27"/>
        <v>GroundRock</v>
      </c>
      <c r="BR756">
        <v>3</v>
      </c>
    </row>
    <row r="757" spans="1:70" x14ac:dyDescent="0.25">
      <c r="A757">
        <f t="shared" si="28"/>
        <v>709</v>
      </c>
      <c r="B757" t="s">
        <v>1712</v>
      </c>
      <c r="D757" s="1" t="s">
        <v>0</v>
      </c>
      <c r="E757" s="1" t="s">
        <v>11</v>
      </c>
      <c r="F757" s="1" t="s">
        <v>50</v>
      </c>
      <c r="G757" s="1" t="s">
        <v>50</v>
      </c>
      <c r="H757" s="1"/>
      <c r="I757" s="1" t="s">
        <v>50</v>
      </c>
      <c r="J757" s="1" t="s">
        <v>50</v>
      </c>
      <c r="K757" s="1" t="s">
        <v>50</v>
      </c>
      <c r="L757" s="1" t="s">
        <v>50</v>
      </c>
      <c r="M757" s="1" t="s">
        <v>50</v>
      </c>
      <c r="N757" s="1" t="s">
        <v>50</v>
      </c>
      <c r="O757" s="1" t="s">
        <v>50</v>
      </c>
      <c r="P757" s="13" t="s">
        <v>1714</v>
      </c>
      <c r="Q757" s="1" t="s">
        <v>104</v>
      </c>
      <c r="R757" s="1" t="s">
        <v>104</v>
      </c>
      <c r="S757" s="1" t="s">
        <v>104</v>
      </c>
      <c r="T757" s="1" t="s">
        <v>104</v>
      </c>
      <c r="U757" s="1" t="s">
        <v>104</v>
      </c>
      <c r="V757" s="1" t="s">
        <v>104</v>
      </c>
      <c r="W757" s="1" t="s">
        <v>104</v>
      </c>
      <c r="X757" s="1" t="s">
        <v>727</v>
      </c>
      <c r="Y757" s="1"/>
      <c r="Z757" s="8"/>
      <c r="AA757" s="8">
        <v>1</v>
      </c>
      <c r="AB757" s="8">
        <v>1</v>
      </c>
      <c r="AC757" s="8">
        <v>1</v>
      </c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>
        <v>1</v>
      </c>
      <c r="BA757" s="8"/>
      <c r="BB757" s="1"/>
      <c r="BL757" s="58"/>
      <c r="BP757" t="str">
        <f t="shared" si="27"/>
        <v>DarkGrass</v>
      </c>
      <c r="BQ757" t="s">
        <v>2</v>
      </c>
      <c r="BR757">
        <v>5</v>
      </c>
    </row>
    <row r="758" spans="1:70" x14ac:dyDescent="0.25">
      <c r="A758">
        <f t="shared" si="28"/>
        <v>710</v>
      </c>
      <c r="B758" t="s">
        <v>1713</v>
      </c>
      <c r="D758" s="1" t="s">
        <v>0</v>
      </c>
      <c r="E758" s="1" t="s">
        <v>11</v>
      </c>
      <c r="F758" s="1" t="s">
        <v>50</v>
      </c>
      <c r="G758" s="1" t="s">
        <v>50</v>
      </c>
      <c r="H758" s="1" t="s">
        <v>50</v>
      </c>
      <c r="I758" s="1" t="s">
        <v>50</v>
      </c>
      <c r="J758" s="1" t="s">
        <v>50</v>
      </c>
      <c r="K758" s="1" t="s">
        <v>50</v>
      </c>
      <c r="L758" s="1"/>
      <c r="M758" s="1" t="s">
        <v>104</v>
      </c>
      <c r="N758" s="1" t="s">
        <v>50</v>
      </c>
      <c r="O758" s="1" t="s">
        <v>50</v>
      </c>
      <c r="P758" s="13" t="s">
        <v>1714</v>
      </c>
      <c r="Q758" s="1" t="s">
        <v>104</v>
      </c>
      <c r="R758" s="1" t="s">
        <v>104</v>
      </c>
      <c r="S758" s="1" t="s">
        <v>104</v>
      </c>
      <c r="T758" s="1" t="s">
        <v>104</v>
      </c>
      <c r="U758" s="1" t="s">
        <v>104</v>
      </c>
      <c r="V758" s="1" t="s">
        <v>104</v>
      </c>
      <c r="W758" s="1" t="s">
        <v>104</v>
      </c>
      <c r="X758" s="1" t="s">
        <v>1715</v>
      </c>
      <c r="Y758" s="1"/>
      <c r="Z758" s="8"/>
      <c r="AA758" s="8">
        <v>1</v>
      </c>
      <c r="AB758" s="8">
        <v>1</v>
      </c>
      <c r="AC758" s="8">
        <v>1</v>
      </c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>
        <v>1</v>
      </c>
      <c r="BA758" s="8"/>
      <c r="BB758" s="1"/>
      <c r="BJ758">
        <v>11</v>
      </c>
      <c r="BL758" s="58"/>
      <c r="BP758" t="str">
        <f t="shared" si="27"/>
        <v>DarkGrass</v>
      </c>
      <c r="BR758">
        <v>5</v>
      </c>
    </row>
    <row r="759" spans="1:70" x14ac:dyDescent="0.25">
      <c r="A759">
        <f t="shared" si="28"/>
        <v>711</v>
      </c>
      <c r="B759" t="s">
        <v>1729</v>
      </c>
      <c r="D759" s="1" t="s">
        <v>10</v>
      </c>
      <c r="E759" s="1" t="s">
        <v>9</v>
      </c>
      <c r="F759" s="1" t="s">
        <v>50</v>
      </c>
      <c r="G759" s="1" t="s">
        <v>50</v>
      </c>
      <c r="H759" s="1"/>
      <c r="I759" s="1" t="s">
        <v>50</v>
      </c>
      <c r="J759" s="1" t="s">
        <v>50</v>
      </c>
      <c r="K759" s="1" t="s">
        <v>50</v>
      </c>
      <c r="L759" s="1"/>
      <c r="M759" s="1" t="s">
        <v>50</v>
      </c>
      <c r="N759" s="1" t="s">
        <v>50</v>
      </c>
      <c r="O759" s="1" t="s">
        <v>50</v>
      </c>
      <c r="P759" s="13" t="s">
        <v>1728</v>
      </c>
      <c r="Q759" s="1" t="s">
        <v>104</v>
      </c>
      <c r="R759" s="1" t="s">
        <v>104</v>
      </c>
      <c r="S759" s="1" t="s">
        <v>104</v>
      </c>
      <c r="T759" s="1" t="s">
        <v>104</v>
      </c>
      <c r="U759" s="1" t="s">
        <v>104</v>
      </c>
      <c r="V759" s="1" t="s">
        <v>104</v>
      </c>
      <c r="W759" s="1" t="s">
        <v>104</v>
      </c>
      <c r="X759" s="1" t="s">
        <v>727</v>
      </c>
      <c r="Y759" s="1"/>
      <c r="Z759" s="8"/>
      <c r="AA759" s="8"/>
      <c r="AB759" s="8"/>
      <c r="AC759" s="8"/>
      <c r="AD759" s="8"/>
      <c r="AE759" s="8"/>
      <c r="AF759" s="8"/>
      <c r="AG759" s="8"/>
      <c r="AH759" s="8"/>
      <c r="AI759" s="8">
        <v>1</v>
      </c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>
        <v>1</v>
      </c>
      <c r="AU759" s="8"/>
      <c r="AV759" s="8">
        <v>1</v>
      </c>
      <c r="AW759" s="8">
        <v>1</v>
      </c>
      <c r="AX759" s="8"/>
      <c r="AY759" s="8">
        <v>1</v>
      </c>
      <c r="AZ759" s="8">
        <v>1</v>
      </c>
      <c r="BA759" s="8"/>
      <c r="BB759" s="1"/>
      <c r="BL759" s="58"/>
      <c r="BP759" t="str">
        <f t="shared" si="27"/>
        <v>PoisonRock</v>
      </c>
      <c r="BQ759" t="s">
        <v>2</v>
      </c>
      <c r="BR759">
        <v>5</v>
      </c>
    </row>
    <row r="760" spans="1:70" x14ac:dyDescent="0.25">
      <c r="A760">
        <f t="shared" si="28"/>
        <v>712</v>
      </c>
      <c r="B760" t="s">
        <v>1730</v>
      </c>
      <c r="D760" s="1" t="s">
        <v>10</v>
      </c>
      <c r="E760" s="1" t="s">
        <v>9</v>
      </c>
      <c r="F760" s="1" t="s">
        <v>50</v>
      </c>
      <c r="G760" s="1" t="s">
        <v>50</v>
      </c>
      <c r="H760" s="1" t="s">
        <v>50</v>
      </c>
      <c r="I760" s="1" t="s">
        <v>50</v>
      </c>
      <c r="J760" s="1" t="s">
        <v>50</v>
      </c>
      <c r="K760" s="1" t="s">
        <v>50</v>
      </c>
      <c r="L760" s="1" t="s">
        <v>50</v>
      </c>
      <c r="M760" s="1" t="s">
        <v>104</v>
      </c>
      <c r="N760" s="1" t="s">
        <v>50</v>
      </c>
      <c r="O760" s="1" t="s">
        <v>50</v>
      </c>
      <c r="P760" s="13" t="s">
        <v>1728</v>
      </c>
      <c r="Q760" s="1" t="s">
        <v>104</v>
      </c>
      <c r="R760" s="1" t="s">
        <v>104</v>
      </c>
      <c r="S760" s="1" t="s">
        <v>104</v>
      </c>
      <c r="T760" s="1" t="s">
        <v>104</v>
      </c>
      <c r="U760" s="1" t="s">
        <v>104</v>
      </c>
      <c r="V760" s="1" t="s">
        <v>104</v>
      </c>
      <c r="W760" s="1" t="s">
        <v>104</v>
      </c>
      <c r="X760" s="1" t="s">
        <v>727</v>
      </c>
      <c r="Y760" s="1"/>
      <c r="Z760" s="8"/>
      <c r="AA760" s="8"/>
      <c r="AB760" s="8"/>
      <c r="AC760" s="8"/>
      <c r="AD760" s="8"/>
      <c r="AE760" s="8"/>
      <c r="AF760" s="8"/>
      <c r="AG760" s="8"/>
      <c r="AH760" s="8"/>
      <c r="AI760" s="8">
        <v>1</v>
      </c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>
        <v>1</v>
      </c>
      <c r="AU760" s="8"/>
      <c r="AV760" s="8">
        <v>1</v>
      </c>
      <c r="AW760" s="8">
        <v>1</v>
      </c>
      <c r="AX760" s="8"/>
      <c r="AY760" s="8">
        <v>1</v>
      </c>
      <c r="AZ760" s="8">
        <v>1</v>
      </c>
      <c r="BA760" s="8"/>
      <c r="BB760" s="1"/>
      <c r="BJ760">
        <v>8</v>
      </c>
      <c r="BK760">
        <v>3</v>
      </c>
      <c r="BL760" s="58"/>
      <c r="BP760" t="str">
        <f t="shared" si="27"/>
        <v>PoisonRock</v>
      </c>
      <c r="BR760">
        <v>5</v>
      </c>
    </row>
    <row r="761" spans="1:70" x14ac:dyDescent="0.25">
      <c r="A761">
        <f t="shared" si="28"/>
        <v>713</v>
      </c>
      <c r="B761" t="s">
        <v>1731</v>
      </c>
      <c r="D761" s="1" t="s">
        <v>11</v>
      </c>
      <c r="E761" s="1" t="s">
        <v>10</v>
      </c>
      <c r="F761" s="1" t="s">
        <v>50</v>
      </c>
      <c r="G761" s="1" t="s">
        <v>50</v>
      </c>
      <c r="H761" s="1"/>
      <c r="I761" s="1" t="s">
        <v>50</v>
      </c>
      <c r="J761" s="1" t="s">
        <v>50</v>
      </c>
      <c r="K761" s="1" t="s">
        <v>50</v>
      </c>
      <c r="L761" s="1"/>
      <c r="M761" s="1" t="s">
        <v>50</v>
      </c>
      <c r="N761" s="1" t="s">
        <v>50</v>
      </c>
      <c r="O761" s="1" t="s">
        <v>50</v>
      </c>
      <c r="P761" s="13" t="s">
        <v>1733</v>
      </c>
      <c r="Q761" s="1" t="s">
        <v>104</v>
      </c>
      <c r="R761" s="1" t="s">
        <v>104</v>
      </c>
      <c r="S761" s="1" t="s">
        <v>104</v>
      </c>
      <c r="T761" s="1" t="s">
        <v>104</v>
      </c>
      <c r="U761" s="1" t="s">
        <v>104</v>
      </c>
      <c r="V761" s="1" t="s">
        <v>104</v>
      </c>
      <c r="W761" s="1" t="s">
        <v>104</v>
      </c>
      <c r="X761" s="1" t="s">
        <v>727</v>
      </c>
      <c r="Y761" s="1"/>
      <c r="Z761" s="8"/>
      <c r="AA761" s="8">
        <v>1</v>
      </c>
      <c r="AB761" s="8">
        <v>1</v>
      </c>
      <c r="AC761" s="8">
        <v>1</v>
      </c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>
        <v>1</v>
      </c>
      <c r="BA761" s="8"/>
      <c r="BB761" s="1"/>
      <c r="BL761" s="58"/>
      <c r="BP761" t="str">
        <f t="shared" si="27"/>
        <v>GrassPoison</v>
      </c>
      <c r="BQ761" t="s">
        <v>2</v>
      </c>
      <c r="BR761">
        <v>5</v>
      </c>
    </row>
    <row r="762" spans="1:70" x14ac:dyDescent="0.25">
      <c r="A762">
        <f t="shared" si="28"/>
        <v>714</v>
      </c>
      <c r="B762" t="s">
        <v>1732</v>
      </c>
      <c r="D762" s="1" t="s">
        <v>11</v>
      </c>
      <c r="E762" s="1" t="s">
        <v>10</v>
      </c>
      <c r="F762" s="1" t="s">
        <v>50</v>
      </c>
      <c r="G762" s="1" t="s">
        <v>50</v>
      </c>
      <c r="H762" s="1" t="s">
        <v>50</v>
      </c>
      <c r="I762" s="1" t="s">
        <v>50</v>
      </c>
      <c r="J762" s="1" t="s">
        <v>50</v>
      </c>
      <c r="K762" s="1" t="s">
        <v>50</v>
      </c>
      <c r="L762" s="1"/>
      <c r="M762" s="1" t="s">
        <v>104</v>
      </c>
      <c r="N762" s="1" t="s">
        <v>50</v>
      </c>
      <c r="O762" s="1" t="s">
        <v>50</v>
      </c>
      <c r="P762" s="13" t="s">
        <v>1733</v>
      </c>
      <c r="Q762" s="1" t="s">
        <v>104</v>
      </c>
      <c r="R762" s="1" t="s">
        <v>104</v>
      </c>
      <c r="S762" s="1" t="s">
        <v>104</v>
      </c>
      <c r="T762" s="1" t="s">
        <v>104</v>
      </c>
      <c r="U762" s="1" t="s">
        <v>104</v>
      </c>
      <c r="V762" s="1" t="s">
        <v>104</v>
      </c>
      <c r="W762" s="1" t="s">
        <v>104</v>
      </c>
      <c r="X762" s="1" t="s">
        <v>727</v>
      </c>
      <c r="Y762" s="1"/>
      <c r="Z762" s="8"/>
      <c r="AA762" s="8">
        <v>1</v>
      </c>
      <c r="AB762" s="8">
        <v>1</v>
      </c>
      <c r="AC762" s="8">
        <v>1</v>
      </c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>
        <v>1</v>
      </c>
      <c r="BA762" s="8"/>
      <c r="BB762" s="1"/>
      <c r="BJ762">
        <v>6</v>
      </c>
      <c r="BK762">
        <v>1</v>
      </c>
      <c r="BL762" s="58"/>
      <c r="BP762" t="str">
        <f t="shared" si="27"/>
        <v>GrassPoison</v>
      </c>
      <c r="BR762">
        <v>5</v>
      </c>
    </row>
    <row r="763" spans="1:70" x14ac:dyDescent="0.25">
      <c r="A763">
        <f t="shared" si="28"/>
        <v>715</v>
      </c>
      <c r="B763" t="s">
        <v>1734</v>
      </c>
      <c r="D763" s="1" t="s">
        <v>15</v>
      </c>
      <c r="E763" s="1" t="s">
        <v>18</v>
      </c>
      <c r="F763" s="1" t="s">
        <v>50</v>
      </c>
      <c r="G763" s="1" t="s">
        <v>50</v>
      </c>
      <c r="H763" s="1"/>
      <c r="I763" s="1" t="s">
        <v>50</v>
      </c>
      <c r="J763" s="1" t="s">
        <v>50</v>
      </c>
      <c r="K763" s="1" t="s">
        <v>50</v>
      </c>
      <c r="L763" s="1" t="s">
        <v>50</v>
      </c>
      <c r="M763" s="1" t="s">
        <v>50</v>
      </c>
      <c r="N763" s="1" t="s">
        <v>50</v>
      </c>
      <c r="O763" s="1" t="s">
        <v>50</v>
      </c>
      <c r="P763" s="13" t="s">
        <v>1788</v>
      </c>
      <c r="Q763" s="1" t="s">
        <v>104</v>
      </c>
      <c r="R763" s="1" t="s">
        <v>104</v>
      </c>
      <c r="S763" s="1" t="s">
        <v>104</v>
      </c>
      <c r="T763" s="1" t="s">
        <v>104</v>
      </c>
      <c r="U763" s="1" t="s">
        <v>104</v>
      </c>
      <c r="V763" s="1" t="s">
        <v>104</v>
      </c>
      <c r="W763" s="1" t="s">
        <v>104</v>
      </c>
      <c r="X763" s="1" t="s">
        <v>727</v>
      </c>
      <c r="Y763" s="1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>
        <v>1</v>
      </c>
      <c r="AL763" s="8">
        <v>1</v>
      </c>
      <c r="AM763" s="8">
        <v>1</v>
      </c>
      <c r="AN763" s="8">
        <v>1</v>
      </c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1"/>
      <c r="BL763" s="58"/>
      <c r="BP763" t="str">
        <f t="shared" si="27"/>
        <v>WaterFighting</v>
      </c>
      <c r="BQ763" t="s">
        <v>2</v>
      </c>
      <c r="BR763">
        <v>5</v>
      </c>
    </row>
    <row r="764" spans="1:70" x14ac:dyDescent="0.25">
      <c r="A764">
        <f t="shared" si="28"/>
        <v>716</v>
      </c>
      <c r="B764" t="s">
        <v>1735</v>
      </c>
      <c r="D764" s="1" t="s">
        <v>15</v>
      </c>
      <c r="E764" s="1" t="s">
        <v>18</v>
      </c>
      <c r="F764" s="1" t="s">
        <v>50</v>
      </c>
      <c r="G764" s="1" t="s">
        <v>50</v>
      </c>
      <c r="H764" s="1" t="s">
        <v>50</v>
      </c>
      <c r="I764" s="1" t="s">
        <v>50</v>
      </c>
      <c r="J764" s="1" t="s">
        <v>50</v>
      </c>
      <c r="K764" s="1" t="s">
        <v>50</v>
      </c>
      <c r="L764" s="1" t="s">
        <v>50</v>
      </c>
      <c r="M764" s="1" t="s">
        <v>104</v>
      </c>
      <c r="N764" s="1" t="s">
        <v>50</v>
      </c>
      <c r="O764" s="1" t="s">
        <v>50</v>
      </c>
      <c r="P764" s="13" t="s">
        <v>1788</v>
      </c>
      <c r="Q764" s="1" t="s">
        <v>50</v>
      </c>
      <c r="R764" s="1" t="s">
        <v>50</v>
      </c>
      <c r="S764" s="1" t="s">
        <v>50</v>
      </c>
      <c r="T764" s="1" t="s">
        <v>50</v>
      </c>
      <c r="U764" s="1" t="s">
        <v>50</v>
      </c>
      <c r="V764" s="1" t="s">
        <v>50</v>
      </c>
      <c r="W764" s="1" t="s">
        <v>50</v>
      </c>
      <c r="X764" s="1" t="s">
        <v>727</v>
      </c>
      <c r="Y764" s="1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>
        <v>1</v>
      </c>
      <c r="AL764" s="8">
        <v>1</v>
      </c>
      <c r="AM764" s="8">
        <v>1</v>
      </c>
      <c r="AN764" s="8">
        <v>1</v>
      </c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1"/>
      <c r="BJ764">
        <v>3</v>
      </c>
      <c r="BK764">
        <v>1</v>
      </c>
      <c r="BL764" s="58"/>
      <c r="BP764" t="str">
        <f t="shared" si="27"/>
        <v>WaterFighting</v>
      </c>
      <c r="BR764">
        <v>5</v>
      </c>
    </row>
    <row r="765" spans="1:70" x14ac:dyDescent="0.25">
      <c r="A765">
        <f t="shared" si="28"/>
        <v>717</v>
      </c>
      <c r="B765" t="s">
        <v>1736</v>
      </c>
      <c r="D765" s="1" t="s">
        <v>3</v>
      </c>
      <c r="E765" s="1">
        <v>0</v>
      </c>
      <c r="F765" s="1" t="s">
        <v>50</v>
      </c>
      <c r="G765" s="1" t="s">
        <v>50</v>
      </c>
      <c r="H765" s="1"/>
      <c r="I765" s="1" t="s">
        <v>50</v>
      </c>
      <c r="J765" s="1" t="s">
        <v>50</v>
      </c>
      <c r="K765" s="1" t="s">
        <v>50</v>
      </c>
      <c r="L765" s="1"/>
      <c r="M765" s="1" t="s">
        <v>50</v>
      </c>
      <c r="N765" s="1" t="s">
        <v>50</v>
      </c>
      <c r="O765" s="1" t="s">
        <v>50</v>
      </c>
      <c r="P765" s="13" t="s">
        <v>807</v>
      </c>
      <c r="Q765" s="1" t="s">
        <v>104</v>
      </c>
      <c r="R765" s="1" t="s">
        <v>104</v>
      </c>
      <c r="S765" s="1" t="s">
        <v>104</v>
      </c>
      <c r="T765" s="1" t="s">
        <v>104</v>
      </c>
      <c r="U765" s="1" t="s">
        <v>104</v>
      </c>
      <c r="V765" s="1" t="s">
        <v>104</v>
      </c>
      <c r="W765" s="1" t="s">
        <v>104</v>
      </c>
      <c r="X765" s="1" t="s">
        <v>727</v>
      </c>
      <c r="Y765" s="1"/>
      <c r="Z765" s="8"/>
      <c r="AA765" s="8"/>
      <c r="AB765" s="8"/>
      <c r="AC765" s="8"/>
      <c r="AD765" s="8">
        <v>1</v>
      </c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>
        <v>1</v>
      </c>
      <c r="AT765" s="8"/>
      <c r="AU765" s="8"/>
      <c r="AV765" s="8"/>
      <c r="AW765" s="8"/>
      <c r="AX765" s="8">
        <v>1</v>
      </c>
      <c r="AY765" s="8">
        <v>1</v>
      </c>
      <c r="AZ765" s="8"/>
      <c r="BA765" s="8"/>
      <c r="BB765" s="1"/>
      <c r="BL765" s="58"/>
      <c r="BP765" t="str">
        <f t="shared" si="27"/>
        <v>Electric0</v>
      </c>
      <c r="BQ765" t="s">
        <v>2</v>
      </c>
      <c r="BR765">
        <v>5</v>
      </c>
    </row>
    <row r="766" spans="1:70" x14ac:dyDescent="0.25">
      <c r="A766">
        <f t="shared" si="28"/>
        <v>718</v>
      </c>
      <c r="B766" t="s">
        <v>1737</v>
      </c>
      <c r="D766" s="1" t="s">
        <v>3</v>
      </c>
      <c r="E766" s="1">
        <v>0</v>
      </c>
      <c r="F766" s="1" t="s">
        <v>50</v>
      </c>
      <c r="G766" s="1" t="s">
        <v>50</v>
      </c>
      <c r="H766" s="1" t="s">
        <v>50</v>
      </c>
      <c r="I766" s="1" t="s">
        <v>50</v>
      </c>
      <c r="J766" s="1" t="s">
        <v>50</v>
      </c>
      <c r="K766" s="1" t="s">
        <v>50</v>
      </c>
      <c r="L766" s="1"/>
      <c r="M766" s="1" t="s">
        <v>104</v>
      </c>
      <c r="N766" s="1" t="s">
        <v>50</v>
      </c>
      <c r="O766" s="1" t="s">
        <v>50</v>
      </c>
      <c r="P766" s="13" t="s">
        <v>807</v>
      </c>
      <c r="Q766" s="1" t="s">
        <v>104</v>
      </c>
      <c r="R766" s="1" t="s">
        <v>104</v>
      </c>
      <c r="S766" s="1" t="s">
        <v>104</v>
      </c>
      <c r="T766" s="1" t="s">
        <v>104</v>
      </c>
      <c r="U766" s="1" t="s">
        <v>104</v>
      </c>
      <c r="V766" s="1" t="s">
        <v>104</v>
      </c>
      <c r="W766" s="1" t="s">
        <v>104</v>
      </c>
      <c r="X766" s="1" t="s">
        <v>727</v>
      </c>
      <c r="Y766" s="1"/>
      <c r="Z766" s="8"/>
      <c r="AA766" s="8"/>
      <c r="AB766" s="8"/>
      <c r="AC766" s="8"/>
      <c r="AD766" s="8">
        <v>1</v>
      </c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>
        <v>1</v>
      </c>
      <c r="AT766" s="8"/>
      <c r="AU766" s="8"/>
      <c r="AV766" s="8"/>
      <c r="AW766" s="8"/>
      <c r="AX766" s="8">
        <v>1</v>
      </c>
      <c r="AY766" s="8">
        <v>1</v>
      </c>
      <c r="AZ766" s="8"/>
      <c r="BA766" s="8"/>
      <c r="BB766" s="1"/>
      <c r="BL766" s="58"/>
      <c r="BP766" t="str">
        <f t="shared" si="27"/>
        <v>Electric0</v>
      </c>
      <c r="BR766">
        <v>5</v>
      </c>
    </row>
    <row r="767" spans="1:70" x14ac:dyDescent="0.25">
      <c r="A767">
        <f t="shared" si="28"/>
        <v>719</v>
      </c>
      <c r="B767" t="s">
        <v>1738</v>
      </c>
      <c r="D767" s="1" t="s">
        <v>8</v>
      </c>
      <c r="E767" s="1" t="s">
        <v>4</v>
      </c>
      <c r="F767" s="1" t="s">
        <v>50</v>
      </c>
      <c r="G767" s="1" t="s">
        <v>50</v>
      </c>
      <c r="H767" s="1"/>
      <c r="I767" s="1" t="s">
        <v>50</v>
      </c>
      <c r="J767" s="1" t="s">
        <v>50</v>
      </c>
      <c r="K767" s="1" t="s">
        <v>50</v>
      </c>
      <c r="L767" s="1"/>
      <c r="M767" s="1" t="s">
        <v>50</v>
      </c>
      <c r="N767" s="1" t="s">
        <v>50</v>
      </c>
      <c r="O767" s="1" t="s">
        <v>50</v>
      </c>
      <c r="P767" s="13" t="s">
        <v>832</v>
      </c>
      <c r="Q767" s="1" t="s">
        <v>104</v>
      </c>
      <c r="R767" s="1" t="s">
        <v>104</v>
      </c>
      <c r="S767" s="1" t="s">
        <v>104</v>
      </c>
      <c r="T767" s="1" t="s">
        <v>104</v>
      </c>
      <c r="U767" s="1" t="s">
        <v>104</v>
      </c>
      <c r="V767" s="1" t="s">
        <v>104</v>
      </c>
      <c r="W767" s="1" t="s">
        <v>104</v>
      </c>
      <c r="X767" s="1" t="s">
        <v>1748</v>
      </c>
      <c r="Y767" s="1"/>
      <c r="Z767" s="8"/>
      <c r="AA767" s="8"/>
      <c r="AB767" s="8">
        <v>1</v>
      </c>
      <c r="AC767" s="8">
        <v>1</v>
      </c>
      <c r="AD767" s="8"/>
      <c r="AE767" s="8">
        <v>1</v>
      </c>
      <c r="AF767" s="8"/>
      <c r="AG767" s="8"/>
      <c r="AH767" s="8"/>
      <c r="AI767" s="8">
        <v>1</v>
      </c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>
        <v>1</v>
      </c>
      <c r="AY767" s="8">
        <v>1</v>
      </c>
      <c r="AZ767" s="8">
        <v>1</v>
      </c>
      <c r="BA767" s="8"/>
      <c r="BB767" s="1"/>
      <c r="BL767" s="58"/>
      <c r="BP767" t="str">
        <f t="shared" si="27"/>
        <v>GroundPsychic</v>
      </c>
      <c r="BQ767" t="s">
        <v>2</v>
      </c>
      <c r="BR767">
        <v>5</v>
      </c>
    </row>
    <row r="768" spans="1:70" x14ac:dyDescent="0.25">
      <c r="A768">
        <f t="shared" si="28"/>
        <v>720</v>
      </c>
      <c r="B768" t="s">
        <v>1739</v>
      </c>
      <c r="D768" s="1" t="s">
        <v>8</v>
      </c>
      <c r="E768" s="1" t="s">
        <v>4</v>
      </c>
      <c r="F768" s="1" t="s">
        <v>50</v>
      </c>
      <c r="G768" s="1" t="s">
        <v>50</v>
      </c>
      <c r="H768" s="1" t="s">
        <v>50</v>
      </c>
      <c r="I768" s="1" t="s">
        <v>50</v>
      </c>
      <c r="J768" s="1" t="s">
        <v>50</v>
      </c>
      <c r="K768" s="1" t="s">
        <v>50</v>
      </c>
      <c r="L768" s="1"/>
      <c r="M768" s="1" t="s">
        <v>104</v>
      </c>
      <c r="N768" s="1" t="s">
        <v>50</v>
      </c>
      <c r="O768" s="1" t="s">
        <v>50</v>
      </c>
      <c r="P768" s="13" t="s">
        <v>832</v>
      </c>
      <c r="Q768" s="1" t="s">
        <v>104</v>
      </c>
      <c r="R768" s="1" t="s">
        <v>104</v>
      </c>
      <c r="S768" s="1" t="s">
        <v>104</v>
      </c>
      <c r="T768" s="1" t="s">
        <v>104</v>
      </c>
      <c r="U768" s="1" t="s">
        <v>104</v>
      </c>
      <c r="V768" s="1" t="s">
        <v>104</v>
      </c>
      <c r="W768" s="1" t="s">
        <v>104</v>
      </c>
      <c r="X768" s="1" t="s">
        <v>1748</v>
      </c>
      <c r="Y768" s="1"/>
      <c r="Z768" s="8"/>
      <c r="AA768" s="8"/>
      <c r="AB768" s="8">
        <v>1</v>
      </c>
      <c r="AC768" s="8">
        <v>1</v>
      </c>
      <c r="AD768" s="8"/>
      <c r="AE768" s="8">
        <v>1</v>
      </c>
      <c r="AF768" s="8"/>
      <c r="AG768" s="8"/>
      <c r="AH768" s="8"/>
      <c r="AI768" s="8">
        <v>1</v>
      </c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>
        <v>1</v>
      </c>
      <c r="AY768" s="8">
        <v>1</v>
      </c>
      <c r="AZ768" s="8">
        <v>1</v>
      </c>
      <c r="BA768" s="8"/>
      <c r="BB768" s="1"/>
      <c r="BJ768">
        <v>4</v>
      </c>
      <c r="BL768" s="58">
        <v>1</v>
      </c>
      <c r="BP768" t="str">
        <f t="shared" si="27"/>
        <v>GroundPsychic</v>
      </c>
      <c r="BR768">
        <v>5</v>
      </c>
    </row>
    <row r="769" spans="1:70" x14ac:dyDescent="0.25">
      <c r="A769">
        <f t="shared" si="28"/>
        <v>721</v>
      </c>
      <c r="B769" t="s">
        <v>1740</v>
      </c>
      <c r="D769" s="1" t="s">
        <v>7</v>
      </c>
      <c r="E769" s="1" t="s">
        <v>44</v>
      </c>
      <c r="F769" s="1" t="s">
        <v>50</v>
      </c>
      <c r="G769" s="1" t="s">
        <v>50</v>
      </c>
      <c r="H769" s="1"/>
      <c r="I769" s="1" t="s">
        <v>50</v>
      </c>
      <c r="J769" s="1" t="s">
        <v>50</v>
      </c>
      <c r="K769" s="1" t="s">
        <v>50</v>
      </c>
      <c r="L769" s="1"/>
      <c r="M769" s="1" t="s">
        <v>50</v>
      </c>
      <c r="N769" s="1" t="s">
        <v>50</v>
      </c>
      <c r="O769" s="1" t="s">
        <v>50</v>
      </c>
      <c r="P769" s="13" t="s">
        <v>832</v>
      </c>
      <c r="Q769" s="1" t="s">
        <v>104</v>
      </c>
      <c r="R769" s="1" t="s">
        <v>104</v>
      </c>
      <c r="S769" s="1" t="s">
        <v>104</v>
      </c>
      <c r="T769" s="1" t="s">
        <v>104</v>
      </c>
      <c r="U769" s="1" t="s">
        <v>104</v>
      </c>
      <c r="V769" s="1" t="s">
        <v>104</v>
      </c>
      <c r="W769" s="1" t="s">
        <v>104</v>
      </c>
      <c r="X769" s="1" t="s">
        <v>727</v>
      </c>
      <c r="Y769" s="1"/>
      <c r="Z769" s="8">
        <v>1</v>
      </c>
      <c r="AA769" s="8">
        <v>1</v>
      </c>
      <c r="AB769" s="8"/>
      <c r="AC769" s="8"/>
      <c r="AD769" s="8"/>
      <c r="AE769" s="8"/>
      <c r="AF769" s="8"/>
      <c r="AG769" s="8"/>
      <c r="AH769" s="8"/>
      <c r="AI769" s="8">
        <v>1</v>
      </c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1"/>
      <c r="BL769" s="58"/>
      <c r="BP769" t="str">
        <f t="shared" si="27"/>
        <v>FairyLight</v>
      </c>
      <c r="BQ769" t="s">
        <v>2</v>
      </c>
      <c r="BR769">
        <v>5</v>
      </c>
    </row>
    <row r="770" spans="1:70" x14ac:dyDescent="0.25">
      <c r="A770">
        <f t="shared" si="28"/>
        <v>722</v>
      </c>
      <c r="B770" t="s">
        <v>1741</v>
      </c>
      <c r="D770" s="1" t="s">
        <v>7</v>
      </c>
      <c r="E770" s="1" t="s">
        <v>44</v>
      </c>
      <c r="F770" s="1" t="s">
        <v>50</v>
      </c>
      <c r="G770" s="1" t="s">
        <v>50</v>
      </c>
      <c r="H770" s="1" t="s">
        <v>50</v>
      </c>
      <c r="I770" s="1" t="s">
        <v>50</v>
      </c>
      <c r="J770" s="1" t="s">
        <v>50</v>
      </c>
      <c r="K770" s="1" t="s">
        <v>50</v>
      </c>
      <c r="L770" s="1"/>
      <c r="M770" s="1" t="s">
        <v>104</v>
      </c>
      <c r="N770" s="1" t="s">
        <v>50</v>
      </c>
      <c r="O770" s="1" t="s">
        <v>50</v>
      </c>
      <c r="P770" s="13" t="s">
        <v>832</v>
      </c>
      <c r="Q770" s="1" t="s">
        <v>104</v>
      </c>
      <c r="R770" s="1" t="s">
        <v>104</v>
      </c>
      <c r="S770" s="1" t="s">
        <v>104</v>
      </c>
      <c r="T770" s="1" t="s">
        <v>104</v>
      </c>
      <c r="U770" s="1" t="s">
        <v>104</v>
      </c>
      <c r="V770" s="1" t="s">
        <v>104</v>
      </c>
      <c r="W770" s="1" t="s">
        <v>104</v>
      </c>
      <c r="X770" s="1" t="s">
        <v>727</v>
      </c>
      <c r="Y770" s="1"/>
      <c r="Z770" s="8">
        <v>1</v>
      </c>
      <c r="AA770" s="8">
        <v>1</v>
      </c>
      <c r="AB770" s="8"/>
      <c r="AC770" s="8"/>
      <c r="AD770" s="8"/>
      <c r="AE770" s="8"/>
      <c r="AF770" s="8"/>
      <c r="AG770" s="8"/>
      <c r="AH770" s="8"/>
      <c r="AI770" s="8">
        <v>1</v>
      </c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1"/>
      <c r="BJ770">
        <v>2</v>
      </c>
      <c r="BK770">
        <v>2</v>
      </c>
      <c r="BL770" s="58"/>
      <c r="BP770" t="str">
        <f t="shared" ref="BP770:BP833" si="29">D770&amp;E770</f>
        <v>FairyLight</v>
      </c>
      <c r="BR770">
        <v>5</v>
      </c>
    </row>
    <row r="771" spans="1:70" x14ac:dyDescent="0.25">
      <c r="A771">
        <f t="shared" si="28"/>
        <v>723</v>
      </c>
      <c r="B771" t="s">
        <v>1742</v>
      </c>
      <c r="D771" s="1" t="s">
        <v>5</v>
      </c>
      <c r="E771" s="1" t="s">
        <v>1</v>
      </c>
      <c r="F771" s="1" t="s">
        <v>50</v>
      </c>
      <c r="G771" s="1" t="s">
        <v>50</v>
      </c>
      <c r="H771" s="1"/>
      <c r="I771" s="1" t="s">
        <v>50</v>
      </c>
      <c r="J771" s="1" t="s">
        <v>50</v>
      </c>
      <c r="K771" s="1" t="s">
        <v>50</v>
      </c>
      <c r="L771" s="1" t="s">
        <v>1767</v>
      </c>
      <c r="M771" s="1" t="s">
        <v>50</v>
      </c>
      <c r="N771" s="1" t="s">
        <v>50</v>
      </c>
      <c r="O771" s="1" t="s">
        <v>50</v>
      </c>
      <c r="P771" s="13" t="s">
        <v>810</v>
      </c>
      <c r="Q771" s="1" t="s">
        <v>104</v>
      </c>
      <c r="R771" s="1" t="s">
        <v>104</v>
      </c>
      <c r="S771" s="1" t="s">
        <v>104</v>
      </c>
      <c r="T771" s="1" t="s">
        <v>104</v>
      </c>
      <c r="U771" s="1" t="s">
        <v>104</v>
      </c>
      <c r="V771" s="1" t="s">
        <v>104</v>
      </c>
      <c r="W771" s="1" t="s">
        <v>104</v>
      </c>
      <c r="X771" s="1" t="s">
        <v>727</v>
      </c>
      <c r="Y771" s="1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>
        <v>1</v>
      </c>
      <c r="AP771" s="8">
        <v>1</v>
      </c>
      <c r="AQ771" s="8">
        <v>1</v>
      </c>
      <c r="AR771" s="8">
        <v>1</v>
      </c>
      <c r="AS771" s="8"/>
      <c r="AT771" s="8"/>
      <c r="AU771" s="8"/>
      <c r="AV771" s="8"/>
      <c r="AW771" s="8"/>
      <c r="AX771" s="8"/>
      <c r="AY771" s="8"/>
      <c r="AZ771" s="8"/>
      <c r="BA771" s="8"/>
      <c r="BB771" s="1"/>
      <c r="BL771" s="58"/>
      <c r="BP771" t="str">
        <f t="shared" si="29"/>
        <v>IceNormal</v>
      </c>
      <c r="BQ771" t="s">
        <v>2</v>
      </c>
      <c r="BR771">
        <v>5</v>
      </c>
    </row>
    <row r="772" spans="1:70" x14ac:dyDescent="0.25">
      <c r="A772">
        <f t="shared" si="28"/>
        <v>724</v>
      </c>
      <c r="B772" t="s">
        <v>1743</v>
      </c>
      <c r="D772" s="1" t="s">
        <v>5</v>
      </c>
      <c r="E772" s="1" t="s">
        <v>18</v>
      </c>
      <c r="F772" s="1" t="s">
        <v>50</v>
      </c>
      <c r="G772" s="1" t="s">
        <v>50</v>
      </c>
      <c r="H772" s="1" t="s">
        <v>50</v>
      </c>
      <c r="I772" s="1" t="s">
        <v>50</v>
      </c>
      <c r="J772" s="1" t="s">
        <v>50</v>
      </c>
      <c r="K772" s="1" t="s">
        <v>50</v>
      </c>
      <c r="L772" s="1"/>
      <c r="M772" s="1" t="s">
        <v>104</v>
      </c>
      <c r="N772" s="1" t="s">
        <v>50</v>
      </c>
      <c r="O772" s="1" t="s">
        <v>50</v>
      </c>
      <c r="P772" s="13" t="s">
        <v>810</v>
      </c>
      <c r="Q772" s="1" t="s">
        <v>104</v>
      </c>
      <c r="R772" s="1" t="s">
        <v>104</v>
      </c>
      <c r="S772" s="1" t="s">
        <v>104</v>
      </c>
      <c r="T772" s="1" t="s">
        <v>104</v>
      </c>
      <c r="U772" s="1" t="s">
        <v>104</v>
      </c>
      <c r="V772" s="1" t="s">
        <v>104</v>
      </c>
      <c r="W772" s="1" t="s">
        <v>104</v>
      </c>
      <c r="X772" s="1" t="s">
        <v>727</v>
      </c>
      <c r="Y772" s="1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>
        <v>1</v>
      </c>
      <c r="AP772" s="8">
        <v>1</v>
      </c>
      <c r="AQ772" s="8">
        <v>1</v>
      </c>
      <c r="AR772" s="8">
        <v>1</v>
      </c>
      <c r="AS772" s="8"/>
      <c r="AT772" s="8"/>
      <c r="AU772" s="8"/>
      <c r="AV772" s="8"/>
      <c r="AW772" s="8"/>
      <c r="AX772" s="8"/>
      <c r="AY772" s="8"/>
      <c r="AZ772" s="8"/>
      <c r="BA772" s="8"/>
      <c r="BB772" s="1"/>
      <c r="BJ772">
        <v>3</v>
      </c>
      <c r="BL772" s="58"/>
      <c r="BP772" t="str">
        <f t="shared" si="29"/>
        <v>IceFighting</v>
      </c>
      <c r="BQ772" t="s">
        <v>2</v>
      </c>
      <c r="BR772">
        <v>5</v>
      </c>
    </row>
    <row r="773" spans="1:70" x14ac:dyDescent="0.25">
      <c r="A773">
        <f t="shared" si="28"/>
        <v>725</v>
      </c>
      <c r="B773" t="s">
        <v>1744</v>
      </c>
      <c r="D773" s="1" t="s">
        <v>5</v>
      </c>
      <c r="E773" s="1" t="s">
        <v>1</v>
      </c>
      <c r="F773" s="1" t="s">
        <v>50</v>
      </c>
      <c r="G773" s="1" t="s">
        <v>50</v>
      </c>
      <c r="H773" s="1" t="s">
        <v>50</v>
      </c>
      <c r="I773" s="1" t="s">
        <v>50</v>
      </c>
      <c r="J773" s="1" t="s">
        <v>50</v>
      </c>
      <c r="K773" s="1" t="s">
        <v>50</v>
      </c>
      <c r="L773" s="1"/>
      <c r="M773" s="1" t="s">
        <v>104</v>
      </c>
      <c r="N773" s="1" t="s">
        <v>50</v>
      </c>
      <c r="O773" s="1" t="s">
        <v>50</v>
      </c>
      <c r="P773" s="13" t="s">
        <v>810</v>
      </c>
      <c r="Q773" s="1" t="s">
        <v>104</v>
      </c>
      <c r="R773" s="1" t="s">
        <v>104</v>
      </c>
      <c r="S773" s="1" t="s">
        <v>104</v>
      </c>
      <c r="T773" s="1" t="s">
        <v>104</v>
      </c>
      <c r="U773" s="1" t="s">
        <v>104</v>
      </c>
      <c r="V773" s="1" t="s">
        <v>104</v>
      </c>
      <c r="W773" s="1" t="s">
        <v>104</v>
      </c>
      <c r="X773" s="1" t="s">
        <v>727</v>
      </c>
      <c r="Y773" s="1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>
        <v>1</v>
      </c>
      <c r="AP773" s="8">
        <v>1</v>
      </c>
      <c r="AQ773" s="8">
        <v>1</v>
      </c>
      <c r="AR773" s="8">
        <v>1</v>
      </c>
      <c r="AS773" s="8"/>
      <c r="AT773" s="8"/>
      <c r="AU773" s="8"/>
      <c r="AV773" s="8"/>
      <c r="AW773" s="8"/>
      <c r="AX773" s="8"/>
      <c r="AY773" s="8"/>
      <c r="AZ773" s="8"/>
      <c r="BA773" s="8"/>
      <c r="BB773" s="1"/>
      <c r="BJ773">
        <v>5</v>
      </c>
      <c r="BL773" s="58"/>
      <c r="BP773" t="str">
        <f t="shared" si="29"/>
        <v>IceNormal</v>
      </c>
      <c r="BR773">
        <v>5</v>
      </c>
    </row>
    <row r="774" spans="1:70" x14ac:dyDescent="0.25">
      <c r="A774">
        <f t="shared" si="28"/>
        <v>726</v>
      </c>
      <c r="B774" t="s">
        <v>1745</v>
      </c>
      <c r="D774" s="1" t="s">
        <v>1</v>
      </c>
      <c r="E774" s="1" t="s">
        <v>11</v>
      </c>
      <c r="F774" s="1" t="s">
        <v>50</v>
      </c>
      <c r="G774" s="1" t="s">
        <v>50</v>
      </c>
      <c r="H774" s="1" t="s">
        <v>50</v>
      </c>
      <c r="I774" s="1" t="s">
        <v>50</v>
      </c>
      <c r="J774" s="1" t="s">
        <v>50</v>
      </c>
      <c r="K774" s="1" t="s">
        <v>50</v>
      </c>
      <c r="L774" s="1"/>
      <c r="M774" s="1" t="s">
        <v>50</v>
      </c>
      <c r="N774" s="1" t="s">
        <v>50</v>
      </c>
      <c r="O774" s="1" t="s">
        <v>50</v>
      </c>
      <c r="P774" s="13" t="s">
        <v>781</v>
      </c>
      <c r="Q774" s="1" t="s">
        <v>104</v>
      </c>
      <c r="R774" s="1" t="s">
        <v>104</v>
      </c>
      <c r="S774" s="1" t="s">
        <v>104</v>
      </c>
      <c r="T774" s="1" t="s">
        <v>104</v>
      </c>
      <c r="U774" s="1" t="s">
        <v>104</v>
      </c>
      <c r="V774" s="1" t="s">
        <v>104</v>
      </c>
      <c r="W774" s="1" t="s">
        <v>104</v>
      </c>
      <c r="X774" s="1" t="s">
        <v>727</v>
      </c>
      <c r="Y774" s="1"/>
      <c r="Z774" s="8">
        <v>1</v>
      </c>
      <c r="AA774" s="8"/>
      <c r="AB774" s="8"/>
      <c r="AC774" s="8"/>
      <c r="AD774" s="8"/>
      <c r="AE774" s="8"/>
      <c r="AF774" s="8"/>
      <c r="AG774" s="8"/>
      <c r="AH774" s="8"/>
      <c r="AI774" s="8">
        <v>1</v>
      </c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1"/>
      <c r="BJ774">
        <v>1</v>
      </c>
      <c r="BK774">
        <v>2</v>
      </c>
      <c r="BL774" s="58"/>
      <c r="BP774" t="str">
        <f t="shared" si="29"/>
        <v>NormalGrass</v>
      </c>
      <c r="BR774">
        <v>5</v>
      </c>
    </row>
    <row r="775" spans="1:70" x14ac:dyDescent="0.25">
      <c r="A775">
        <f t="shared" si="28"/>
        <v>727</v>
      </c>
      <c r="B775" t="s">
        <v>1749</v>
      </c>
      <c r="D775" s="1" t="s">
        <v>12</v>
      </c>
      <c r="E775" s="1" t="s">
        <v>9</v>
      </c>
      <c r="F775" s="1" t="s">
        <v>50</v>
      </c>
      <c r="G775" s="1" t="s">
        <v>50</v>
      </c>
      <c r="H775" s="1"/>
      <c r="I775" s="1" t="s">
        <v>50</v>
      </c>
      <c r="J775" s="1" t="s">
        <v>50</v>
      </c>
      <c r="K775" s="1" t="s">
        <v>50</v>
      </c>
      <c r="L775" s="1" t="s">
        <v>104</v>
      </c>
      <c r="M775" s="1" t="s">
        <v>50</v>
      </c>
      <c r="N775" s="1" t="s">
        <v>50</v>
      </c>
      <c r="O775" s="1" t="s">
        <v>50</v>
      </c>
      <c r="P775" s="13" t="s">
        <v>811</v>
      </c>
      <c r="Q775" s="1" t="s">
        <v>104</v>
      </c>
      <c r="R775" s="1" t="s">
        <v>104</v>
      </c>
      <c r="S775" s="1" t="s">
        <v>104</v>
      </c>
      <c r="T775" s="1" t="s">
        <v>104</v>
      </c>
      <c r="U775" s="1" t="s">
        <v>104</v>
      </c>
      <c r="V775" s="1" t="s">
        <v>104</v>
      </c>
      <c r="W775" s="1" t="s">
        <v>104</v>
      </c>
      <c r="X775" s="1" t="s">
        <v>1848</v>
      </c>
      <c r="Y775" s="1"/>
      <c r="Z775" s="8"/>
      <c r="AA775" s="8"/>
      <c r="AB775" s="8">
        <v>1</v>
      </c>
      <c r="AC775" s="8">
        <v>1</v>
      </c>
      <c r="AD775" s="8">
        <v>1</v>
      </c>
      <c r="AE775" s="8">
        <v>1</v>
      </c>
      <c r="AF775" s="8">
        <v>1</v>
      </c>
      <c r="AG775" s="8">
        <v>1</v>
      </c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>
        <v>1</v>
      </c>
      <c r="AV775" s="8"/>
      <c r="AW775" s="8"/>
      <c r="AX775" s="8">
        <v>1</v>
      </c>
      <c r="AY775" s="8">
        <v>1</v>
      </c>
      <c r="AZ775" s="8">
        <v>1</v>
      </c>
      <c r="BA775" s="8"/>
      <c r="BB775" s="1"/>
      <c r="BL775" s="58"/>
      <c r="BP775" t="str">
        <f t="shared" si="29"/>
        <v>DragonRock</v>
      </c>
      <c r="BQ775" t="s">
        <v>2</v>
      </c>
      <c r="BR775">
        <v>6</v>
      </c>
    </row>
    <row r="776" spans="1:70" x14ac:dyDescent="0.25">
      <c r="A776">
        <f t="shared" si="28"/>
        <v>728</v>
      </c>
      <c r="B776" t="s">
        <v>1750</v>
      </c>
      <c r="D776" s="1" t="s">
        <v>12</v>
      </c>
      <c r="E776" s="1" t="s">
        <v>9</v>
      </c>
      <c r="F776" s="1" t="s">
        <v>50</v>
      </c>
      <c r="G776" s="1" t="s">
        <v>50</v>
      </c>
      <c r="H776" s="1" t="s">
        <v>50</v>
      </c>
      <c r="I776" s="1" t="s">
        <v>50</v>
      </c>
      <c r="J776" s="1" t="s">
        <v>50</v>
      </c>
      <c r="K776" s="1" t="s">
        <v>50</v>
      </c>
      <c r="L776" s="1" t="s">
        <v>104</v>
      </c>
      <c r="M776" s="1" t="s">
        <v>104</v>
      </c>
      <c r="N776" s="1" t="s">
        <v>50</v>
      </c>
      <c r="O776" s="1" t="s">
        <v>50</v>
      </c>
      <c r="P776" s="13" t="s">
        <v>811</v>
      </c>
      <c r="Q776" s="1" t="s">
        <v>104</v>
      </c>
      <c r="R776" s="1" t="s">
        <v>104</v>
      </c>
      <c r="S776" s="1" t="s">
        <v>104</v>
      </c>
      <c r="T776" s="1" t="s">
        <v>104</v>
      </c>
      <c r="U776" s="1" t="s">
        <v>104</v>
      </c>
      <c r="V776" s="1" t="s">
        <v>104</v>
      </c>
      <c r="W776" s="1" t="s">
        <v>104</v>
      </c>
      <c r="X776" s="1" t="s">
        <v>1848</v>
      </c>
      <c r="Y776" s="1"/>
      <c r="Z776" s="8"/>
      <c r="AA776" s="8"/>
      <c r="AB776" s="8">
        <v>1</v>
      </c>
      <c r="AC776" s="8">
        <v>1</v>
      </c>
      <c r="AD776" s="8">
        <v>1</v>
      </c>
      <c r="AE776" s="8">
        <v>1</v>
      </c>
      <c r="AF776" s="8">
        <v>1</v>
      </c>
      <c r="AG776" s="8">
        <v>1</v>
      </c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>
        <v>1</v>
      </c>
      <c r="AV776" s="8"/>
      <c r="AW776" s="8"/>
      <c r="AX776" s="8">
        <v>1</v>
      </c>
      <c r="AY776" s="8">
        <v>1</v>
      </c>
      <c r="AZ776" s="8">
        <v>1</v>
      </c>
      <c r="BA776" s="8"/>
      <c r="BB776" s="1"/>
      <c r="BJ776">
        <v>3</v>
      </c>
      <c r="BK776">
        <v>1</v>
      </c>
      <c r="BL776" s="58"/>
      <c r="BP776" t="str">
        <f t="shared" si="29"/>
        <v>DragonRock</v>
      </c>
      <c r="BR776">
        <v>6</v>
      </c>
    </row>
    <row r="777" spans="1:70" x14ac:dyDescent="0.25">
      <c r="A777">
        <f t="shared" si="28"/>
        <v>729</v>
      </c>
      <c r="B777" t="s">
        <v>1751</v>
      </c>
      <c r="D777" s="1" t="s">
        <v>4</v>
      </c>
      <c r="E777" s="1" t="s">
        <v>14</v>
      </c>
      <c r="F777" s="1" t="s">
        <v>50</v>
      </c>
      <c r="G777" s="1" t="s">
        <v>50</v>
      </c>
      <c r="H777" s="1"/>
      <c r="I777" s="1" t="s">
        <v>50</v>
      </c>
      <c r="J777" s="1" t="s">
        <v>50</v>
      </c>
      <c r="K777" s="1" t="s">
        <v>50</v>
      </c>
      <c r="L777" s="1"/>
      <c r="M777" s="1" t="s">
        <v>50</v>
      </c>
      <c r="N777" s="1" t="s">
        <v>50</v>
      </c>
      <c r="O777" s="1" t="s">
        <v>50</v>
      </c>
      <c r="P777" s="13" t="s">
        <v>1754</v>
      </c>
      <c r="Q777" s="1" t="s">
        <v>104</v>
      </c>
      <c r="R777" s="1" t="s">
        <v>104</v>
      </c>
      <c r="S777" s="1" t="s">
        <v>104</v>
      </c>
      <c r="T777" s="1" t="s">
        <v>104</v>
      </c>
      <c r="U777" s="1" t="s">
        <v>104</v>
      </c>
      <c r="V777" s="1" t="s">
        <v>104</v>
      </c>
      <c r="W777" s="1" t="s">
        <v>104</v>
      </c>
      <c r="X777" s="1" t="s">
        <v>727</v>
      </c>
      <c r="Y777" s="1"/>
      <c r="Z777" s="8"/>
      <c r="AA777" s="8"/>
      <c r="AB777" s="8">
        <v>1</v>
      </c>
      <c r="AC777" s="8"/>
      <c r="AD777" s="8">
        <v>1</v>
      </c>
      <c r="AE777" s="8"/>
      <c r="AF777" s="8">
        <v>1</v>
      </c>
      <c r="AG777" s="8">
        <v>1</v>
      </c>
      <c r="AH777" s="8">
        <v>1</v>
      </c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>
        <v>1</v>
      </c>
      <c r="AV777" s="8"/>
      <c r="AW777" s="8"/>
      <c r="AX777" s="8"/>
      <c r="AY777" s="8">
        <v>1</v>
      </c>
      <c r="AZ777" s="8">
        <v>1</v>
      </c>
      <c r="BA777" s="8"/>
      <c r="BB777" s="1"/>
      <c r="BL777" s="58"/>
      <c r="BP777" t="str">
        <f t="shared" si="29"/>
        <v>PsychicGhost</v>
      </c>
      <c r="BQ777" t="s">
        <v>2</v>
      </c>
      <c r="BR777">
        <v>5</v>
      </c>
    </row>
    <row r="778" spans="1:70" x14ac:dyDescent="0.25">
      <c r="A778">
        <f t="shared" si="28"/>
        <v>730</v>
      </c>
      <c r="B778" t="s">
        <v>1752</v>
      </c>
      <c r="D778" s="1" t="s">
        <v>4</v>
      </c>
      <c r="E778" s="1" t="s">
        <v>14</v>
      </c>
      <c r="F778" s="1" t="s">
        <v>50</v>
      </c>
      <c r="G778" s="1" t="s">
        <v>50</v>
      </c>
      <c r="H778" s="1"/>
      <c r="I778" s="1" t="s">
        <v>50</v>
      </c>
      <c r="J778" s="1" t="s">
        <v>50</v>
      </c>
      <c r="K778" s="1" t="s">
        <v>50</v>
      </c>
      <c r="L778" s="1"/>
      <c r="M778" s="1" t="s">
        <v>104</v>
      </c>
      <c r="N778" s="1" t="s">
        <v>50</v>
      </c>
      <c r="O778" s="1" t="s">
        <v>50</v>
      </c>
      <c r="P778" s="13" t="s">
        <v>1754</v>
      </c>
      <c r="Q778" s="1" t="s">
        <v>104</v>
      </c>
      <c r="R778" s="1" t="s">
        <v>104</v>
      </c>
      <c r="S778" s="1" t="s">
        <v>104</v>
      </c>
      <c r="T778" s="1" t="s">
        <v>104</v>
      </c>
      <c r="U778" s="1" t="s">
        <v>104</v>
      </c>
      <c r="V778" s="1" t="s">
        <v>104</v>
      </c>
      <c r="W778" s="1" t="s">
        <v>104</v>
      </c>
      <c r="X778" s="1" t="s">
        <v>727</v>
      </c>
      <c r="Y778" s="1"/>
      <c r="Z778" s="8"/>
      <c r="AA778" s="8"/>
      <c r="AB778" s="8">
        <v>1</v>
      </c>
      <c r="AC778" s="8"/>
      <c r="AD778" s="8">
        <v>1</v>
      </c>
      <c r="AE778" s="8"/>
      <c r="AF778" s="8">
        <v>1</v>
      </c>
      <c r="AG778" s="8">
        <v>1</v>
      </c>
      <c r="AH778" s="8">
        <v>1</v>
      </c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>
        <v>1</v>
      </c>
      <c r="AV778" s="8"/>
      <c r="AW778" s="8"/>
      <c r="AX778" s="8"/>
      <c r="AY778" s="8">
        <v>1</v>
      </c>
      <c r="AZ778" s="8">
        <v>1</v>
      </c>
      <c r="BA778" s="8"/>
      <c r="BB778" s="1"/>
      <c r="BL778" s="58"/>
      <c r="BP778" t="str">
        <f t="shared" si="29"/>
        <v>PsychicGhost</v>
      </c>
      <c r="BQ778" t="s">
        <v>2</v>
      </c>
      <c r="BR778">
        <v>5</v>
      </c>
    </row>
    <row r="779" spans="1:70" x14ac:dyDescent="0.25">
      <c r="A779">
        <f t="shared" si="28"/>
        <v>731</v>
      </c>
      <c r="B779" t="s">
        <v>1753</v>
      </c>
      <c r="D779" s="1" t="s">
        <v>4</v>
      </c>
      <c r="E779" s="1" t="s">
        <v>14</v>
      </c>
      <c r="F779" s="1" t="s">
        <v>50</v>
      </c>
      <c r="G779" s="1" t="s">
        <v>50</v>
      </c>
      <c r="H779" s="1" t="s">
        <v>50</v>
      </c>
      <c r="I779" s="1" t="s">
        <v>50</v>
      </c>
      <c r="J779" s="1" t="s">
        <v>50</v>
      </c>
      <c r="K779" s="1" t="s">
        <v>50</v>
      </c>
      <c r="L779" s="1"/>
      <c r="M779" s="1" t="s">
        <v>104</v>
      </c>
      <c r="N779" s="1" t="s">
        <v>50</v>
      </c>
      <c r="O779" s="1" t="s">
        <v>50</v>
      </c>
      <c r="P779" s="13" t="s">
        <v>1754</v>
      </c>
      <c r="Q779" s="1" t="s">
        <v>50</v>
      </c>
      <c r="R779" s="1" t="s">
        <v>50</v>
      </c>
      <c r="S779" s="1" t="s">
        <v>50</v>
      </c>
      <c r="T779" s="1" t="s">
        <v>50</v>
      </c>
      <c r="U779" s="1" t="s">
        <v>50</v>
      </c>
      <c r="V779" s="1" t="s">
        <v>50</v>
      </c>
      <c r="W779" s="1" t="s">
        <v>50</v>
      </c>
      <c r="X779" s="1" t="s">
        <v>727</v>
      </c>
      <c r="Y779" s="1"/>
      <c r="Z779" s="8"/>
      <c r="AA779" s="8"/>
      <c r="AB779" s="8">
        <v>1</v>
      </c>
      <c r="AC779" s="8"/>
      <c r="AD779" s="8">
        <v>1</v>
      </c>
      <c r="AE779" s="8"/>
      <c r="AF779" s="8">
        <v>1</v>
      </c>
      <c r="AG779" s="8">
        <v>1</v>
      </c>
      <c r="AH779" s="8">
        <v>1</v>
      </c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>
        <v>1</v>
      </c>
      <c r="AV779" s="8"/>
      <c r="AW779" s="8"/>
      <c r="AX779" s="8"/>
      <c r="AY779" s="8">
        <v>1</v>
      </c>
      <c r="AZ779" s="8">
        <v>1</v>
      </c>
      <c r="BA779" s="8"/>
      <c r="BB779" s="1"/>
      <c r="BJ779">
        <v>1</v>
      </c>
      <c r="BK779">
        <v>1</v>
      </c>
      <c r="BL779" s="58"/>
      <c r="BP779" t="str">
        <f t="shared" si="29"/>
        <v>PsychicGhost</v>
      </c>
      <c r="BR779">
        <v>5</v>
      </c>
    </row>
    <row r="780" spans="1:70" x14ac:dyDescent="0.25">
      <c r="A780">
        <f t="shared" si="28"/>
        <v>732</v>
      </c>
      <c r="B780" t="s">
        <v>1757</v>
      </c>
      <c r="D780" s="1" t="s">
        <v>11</v>
      </c>
      <c r="E780" s="1" t="s">
        <v>8</v>
      </c>
      <c r="F780" s="1" t="s">
        <v>50</v>
      </c>
      <c r="G780" s="1" t="s">
        <v>50</v>
      </c>
      <c r="H780" s="1"/>
      <c r="I780" s="1" t="s">
        <v>50</v>
      </c>
      <c r="J780" s="1" t="s">
        <v>50</v>
      </c>
      <c r="K780" s="1" t="s">
        <v>50</v>
      </c>
      <c r="L780" s="1"/>
      <c r="M780" s="1" t="s">
        <v>50</v>
      </c>
      <c r="N780" s="1" t="s">
        <v>50</v>
      </c>
      <c r="O780" s="1" t="s">
        <v>50</v>
      </c>
      <c r="P780" s="13" t="s">
        <v>514</v>
      </c>
      <c r="Q780" s="1" t="s">
        <v>104</v>
      </c>
      <c r="R780" s="1" t="s">
        <v>104</v>
      </c>
      <c r="S780" s="1" t="s">
        <v>104</v>
      </c>
      <c r="T780" s="1" t="s">
        <v>104</v>
      </c>
      <c r="U780" s="1" t="s">
        <v>104</v>
      </c>
      <c r="V780" s="1" t="s">
        <v>104</v>
      </c>
      <c r="W780" s="1" t="s">
        <v>104</v>
      </c>
      <c r="X780" s="1" t="s">
        <v>1762</v>
      </c>
      <c r="Y780" s="1"/>
      <c r="Z780" s="8"/>
      <c r="AA780" s="8"/>
      <c r="AB780" s="8">
        <v>1</v>
      </c>
      <c r="AC780" s="8">
        <v>1</v>
      </c>
      <c r="AD780" s="8">
        <v>1</v>
      </c>
      <c r="AE780" s="8"/>
      <c r="AF780" s="8"/>
      <c r="AG780" s="8"/>
      <c r="AH780" s="8"/>
      <c r="AI780" s="8"/>
      <c r="AJ780" s="8">
        <v>1</v>
      </c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>
        <v>1</v>
      </c>
      <c r="BA780" s="8"/>
      <c r="BB780" s="1"/>
      <c r="BL780" s="58"/>
      <c r="BP780" t="str">
        <f t="shared" si="29"/>
        <v>GrassGround</v>
      </c>
      <c r="BQ780" t="s">
        <v>2</v>
      </c>
      <c r="BR780">
        <v>5</v>
      </c>
    </row>
    <row r="781" spans="1:70" x14ac:dyDescent="0.25">
      <c r="A781">
        <f t="shared" si="28"/>
        <v>733</v>
      </c>
      <c r="B781" t="s">
        <v>1758</v>
      </c>
      <c r="D781" s="1" t="s">
        <v>11</v>
      </c>
      <c r="E781" s="1" t="s">
        <v>8</v>
      </c>
      <c r="F781" s="1" t="s">
        <v>50</v>
      </c>
      <c r="G781" s="1" t="s">
        <v>50</v>
      </c>
      <c r="H781" s="1"/>
      <c r="I781" s="1" t="s">
        <v>50</v>
      </c>
      <c r="J781" s="1" t="s">
        <v>50</v>
      </c>
      <c r="K781" s="1" t="s">
        <v>50</v>
      </c>
      <c r="L781" s="1"/>
      <c r="M781" s="1" t="s">
        <v>104</v>
      </c>
      <c r="N781" s="1" t="s">
        <v>50</v>
      </c>
      <c r="O781" s="1" t="s">
        <v>50</v>
      </c>
      <c r="P781" s="13" t="s">
        <v>514</v>
      </c>
      <c r="Q781" s="1" t="s">
        <v>104</v>
      </c>
      <c r="R781" s="1" t="s">
        <v>104</v>
      </c>
      <c r="S781" s="1" t="s">
        <v>104</v>
      </c>
      <c r="T781" s="1" t="s">
        <v>104</v>
      </c>
      <c r="U781" s="1" t="s">
        <v>104</v>
      </c>
      <c r="V781" s="1" t="s">
        <v>104</v>
      </c>
      <c r="W781" s="1" t="s">
        <v>104</v>
      </c>
      <c r="X781" s="1" t="s">
        <v>1762</v>
      </c>
      <c r="Y781" s="1"/>
      <c r="Z781" s="8"/>
      <c r="AA781" s="8"/>
      <c r="AB781" s="8">
        <v>1</v>
      </c>
      <c r="AC781" s="8">
        <v>1</v>
      </c>
      <c r="AD781" s="8">
        <v>1</v>
      </c>
      <c r="AE781" s="8"/>
      <c r="AF781" s="8"/>
      <c r="AG781" s="8"/>
      <c r="AH781" s="8"/>
      <c r="AI781" s="8"/>
      <c r="AJ781" s="8">
        <v>1</v>
      </c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>
        <v>1</v>
      </c>
      <c r="BA781" s="8"/>
      <c r="BB781" s="1"/>
      <c r="BL781" s="58"/>
      <c r="BP781" t="str">
        <f t="shared" si="29"/>
        <v>GrassGround</v>
      </c>
      <c r="BQ781" t="s">
        <v>2</v>
      </c>
      <c r="BR781">
        <v>5</v>
      </c>
    </row>
    <row r="782" spans="1:70" x14ac:dyDescent="0.25">
      <c r="A782">
        <f t="shared" si="28"/>
        <v>734</v>
      </c>
      <c r="B782" t="s">
        <v>1759</v>
      </c>
      <c r="D782" s="1" t="s">
        <v>11</v>
      </c>
      <c r="E782" s="1" t="s">
        <v>8</v>
      </c>
      <c r="F782" s="1" t="s">
        <v>50</v>
      </c>
      <c r="G782" s="1" t="s">
        <v>50</v>
      </c>
      <c r="H782" s="1" t="s">
        <v>50</v>
      </c>
      <c r="I782" s="1" t="s">
        <v>50</v>
      </c>
      <c r="J782" s="1" t="s">
        <v>50</v>
      </c>
      <c r="K782" s="1" t="s">
        <v>50</v>
      </c>
      <c r="L782" s="1"/>
      <c r="M782" s="1" t="s">
        <v>50</v>
      </c>
      <c r="N782" s="1" t="s">
        <v>50</v>
      </c>
      <c r="O782" s="1" t="s">
        <v>50</v>
      </c>
      <c r="P782" s="13" t="s">
        <v>514</v>
      </c>
      <c r="Q782" s="1" t="s">
        <v>104</v>
      </c>
      <c r="R782" s="1" t="s">
        <v>104</v>
      </c>
      <c r="S782" s="1" t="s">
        <v>104</v>
      </c>
      <c r="T782" s="1" t="s">
        <v>104</v>
      </c>
      <c r="U782" s="1" t="s">
        <v>104</v>
      </c>
      <c r="V782" s="1" t="s">
        <v>104</v>
      </c>
      <c r="W782" s="1" t="s">
        <v>104</v>
      </c>
      <c r="X782" s="1" t="s">
        <v>1762</v>
      </c>
      <c r="Y782" s="1"/>
      <c r="Z782" s="8"/>
      <c r="AA782" s="8"/>
      <c r="AB782" s="8">
        <v>1</v>
      </c>
      <c r="AC782" s="8">
        <v>1</v>
      </c>
      <c r="AD782" s="8">
        <v>1</v>
      </c>
      <c r="AE782" s="8"/>
      <c r="AF782" s="8"/>
      <c r="AG782" s="8"/>
      <c r="AH782" s="8"/>
      <c r="AI782" s="8"/>
      <c r="AJ782" s="8">
        <v>1</v>
      </c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>
        <v>1</v>
      </c>
      <c r="BA782" s="8"/>
      <c r="BB782" s="1"/>
      <c r="BJ782">
        <v>4</v>
      </c>
      <c r="BK782">
        <v>2</v>
      </c>
      <c r="BL782" s="58"/>
      <c r="BP782" t="str">
        <f t="shared" si="29"/>
        <v>GrassGround</v>
      </c>
      <c r="BR782">
        <v>5</v>
      </c>
    </row>
    <row r="783" spans="1:70" x14ac:dyDescent="0.25">
      <c r="A783">
        <f t="shared" si="28"/>
        <v>735</v>
      </c>
      <c r="B783" t="s">
        <v>1760</v>
      </c>
      <c r="D783" s="1" t="s">
        <v>3</v>
      </c>
      <c r="E783" s="1" t="s">
        <v>6</v>
      </c>
      <c r="F783" s="1" t="s">
        <v>50</v>
      </c>
      <c r="G783" s="1" t="s">
        <v>50</v>
      </c>
      <c r="H783" s="1"/>
      <c r="I783" s="1" t="s">
        <v>50</v>
      </c>
      <c r="J783" s="1" t="s">
        <v>50</v>
      </c>
      <c r="K783" s="1" t="s">
        <v>50</v>
      </c>
      <c r="L783" s="1"/>
      <c r="M783" s="1" t="s">
        <v>50</v>
      </c>
      <c r="N783" s="1" t="s">
        <v>50</v>
      </c>
      <c r="O783" s="1" t="s">
        <v>50</v>
      </c>
      <c r="P783" s="13" t="s">
        <v>1763</v>
      </c>
      <c r="Q783" s="1" t="s">
        <v>104</v>
      </c>
      <c r="R783" s="1" t="s">
        <v>104</v>
      </c>
      <c r="S783" s="1" t="s">
        <v>104</v>
      </c>
      <c r="T783" s="1" t="s">
        <v>104</v>
      </c>
      <c r="U783" s="1" t="s">
        <v>104</v>
      </c>
      <c r="V783" s="1" t="s">
        <v>104</v>
      </c>
      <c r="W783" s="1" t="s">
        <v>104</v>
      </c>
      <c r="X783" s="1" t="s">
        <v>727</v>
      </c>
      <c r="Y783" s="1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>
        <v>1</v>
      </c>
      <c r="AT783" s="8">
        <v>1</v>
      </c>
      <c r="AU783" s="8"/>
      <c r="AV783" s="8"/>
      <c r="AW783" s="8"/>
      <c r="AX783" s="8"/>
      <c r="AY783" s="8"/>
      <c r="AZ783" s="8"/>
      <c r="BA783" s="8"/>
      <c r="BB783" s="1"/>
      <c r="BL783" s="58"/>
      <c r="BP783" t="str">
        <f t="shared" si="29"/>
        <v>ElectricSteel</v>
      </c>
      <c r="BQ783" t="s">
        <v>2</v>
      </c>
      <c r="BR783">
        <v>5</v>
      </c>
    </row>
    <row r="784" spans="1:70" x14ac:dyDescent="0.25">
      <c r="A784">
        <f t="shared" si="28"/>
        <v>736</v>
      </c>
      <c r="B784" t="s">
        <v>1761</v>
      </c>
      <c r="D784" s="1" t="s">
        <v>3</v>
      </c>
      <c r="E784" s="1" t="s">
        <v>6</v>
      </c>
      <c r="F784" s="1" t="s">
        <v>50</v>
      </c>
      <c r="G784" s="1" t="s">
        <v>50</v>
      </c>
      <c r="H784" s="1" t="s">
        <v>50</v>
      </c>
      <c r="I784" s="1" t="s">
        <v>50</v>
      </c>
      <c r="J784" s="1" t="s">
        <v>50</v>
      </c>
      <c r="K784" s="1" t="s">
        <v>50</v>
      </c>
      <c r="L784" s="1" t="s">
        <v>1767</v>
      </c>
      <c r="M784" s="1" t="s">
        <v>104</v>
      </c>
      <c r="N784" s="1" t="s">
        <v>50</v>
      </c>
      <c r="O784" s="1" t="s">
        <v>50</v>
      </c>
      <c r="P784" s="13" t="s">
        <v>1763</v>
      </c>
      <c r="Q784" s="1" t="s">
        <v>50</v>
      </c>
      <c r="R784" s="1" t="s">
        <v>50</v>
      </c>
      <c r="S784" s="1" t="s">
        <v>50</v>
      </c>
      <c r="T784" s="1" t="s">
        <v>50</v>
      </c>
      <c r="U784" s="1" t="s">
        <v>50</v>
      </c>
      <c r="V784" s="1" t="s">
        <v>50</v>
      </c>
      <c r="W784" s="1" t="s">
        <v>50</v>
      </c>
      <c r="X784" s="1" t="s">
        <v>727</v>
      </c>
      <c r="Y784" s="1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>
        <v>1</v>
      </c>
      <c r="AT784" s="8">
        <v>1</v>
      </c>
      <c r="AU784" s="8"/>
      <c r="AV784" s="8"/>
      <c r="AW784" s="8"/>
      <c r="AX784" s="8"/>
      <c r="AY784" s="8"/>
      <c r="AZ784" s="8"/>
      <c r="BA784" s="8"/>
      <c r="BB784" s="1"/>
      <c r="BJ784">
        <v>3</v>
      </c>
      <c r="BL784" s="58"/>
      <c r="BP784" t="str">
        <f t="shared" si="29"/>
        <v>ElectricSteel</v>
      </c>
      <c r="BR784">
        <v>5</v>
      </c>
    </row>
    <row r="785" spans="1:70" x14ac:dyDescent="0.25">
      <c r="A785">
        <f t="shared" si="28"/>
        <v>737</v>
      </c>
      <c r="B785" t="s">
        <v>1770</v>
      </c>
      <c r="D785" s="1" t="s">
        <v>9</v>
      </c>
      <c r="E785" s="1" t="s">
        <v>4</v>
      </c>
      <c r="F785" s="1" t="s">
        <v>50</v>
      </c>
      <c r="G785" s="1" t="s">
        <v>50</v>
      </c>
      <c r="H785" s="1"/>
      <c r="I785" s="1" t="s">
        <v>50</v>
      </c>
      <c r="J785" s="1" t="s">
        <v>50</v>
      </c>
      <c r="K785" s="1" t="s">
        <v>50</v>
      </c>
      <c r="L785" s="1"/>
      <c r="M785" s="1" t="s">
        <v>50</v>
      </c>
      <c r="N785" s="1" t="s">
        <v>50</v>
      </c>
      <c r="O785" s="1" t="s">
        <v>50</v>
      </c>
      <c r="P785" s="13" t="s">
        <v>1814</v>
      </c>
      <c r="Q785" s="1" t="s">
        <v>104</v>
      </c>
      <c r="R785" s="1" t="s">
        <v>104</v>
      </c>
      <c r="S785" s="1" t="s">
        <v>104</v>
      </c>
      <c r="T785" s="1" t="s">
        <v>104</v>
      </c>
      <c r="U785" s="1" t="s">
        <v>104</v>
      </c>
      <c r="V785" s="1" t="s">
        <v>104</v>
      </c>
      <c r="W785" s="1" t="s">
        <v>104</v>
      </c>
      <c r="X785" s="1" t="s">
        <v>726</v>
      </c>
      <c r="Y785" s="1"/>
      <c r="Z785" s="8"/>
      <c r="AA785" s="8"/>
      <c r="AB785" s="8"/>
      <c r="AC785" s="8"/>
      <c r="AD785" s="8">
        <v>1</v>
      </c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>
        <v>1</v>
      </c>
      <c r="AS785" s="8"/>
      <c r="AT785" s="8"/>
      <c r="AU785" s="8">
        <v>1</v>
      </c>
      <c r="AV785" s="8">
        <v>1</v>
      </c>
      <c r="AW785" s="8"/>
      <c r="AX785" s="8"/>
      <c r="AY785" s="8"/>
      <c r="AZ785" s="8"/>
      <c r="BA785" s="8"/>
      <c r="BB785" s="1"/>
      <c r="BL785" s="58"/>
      <c r="BP785" t="str">
        <f t="shared" si="29"/>
        <v>RockPsychic</v>
      </c>
      <c r="BQ785" t="s">
        <v>2</v>
      </c>
      <c r="BR785">
        <v>1</v>
      </c>
    </row>
    <row r="786" spans="1:70" x14ac:dyDescent="0.25">
      <c r="A786">
        <f t="shared" si="28"/>
        <v>738</v>
      </c>
      <c r="B786" t="s">
        <v>1771</v>
      </c>
      <c r="D786" s="1" t="s">
        <v>9</v>
      </c>
      <c r="E786" s="1" t="s">
        <v>4</v>
      </c>
      <c r="F786" s="1" t="s">
        <v>50</v>
      </c>
      <c r="G786" s="1" t="s">
        <v>50</v>
      </c>
      <c r="H786" s="1"/>
      <c r="I786" s="1" t="s">
        <v>50</v>
      </c>
      <c r="J786" s="1" t="s">
        <v>50</v>
      </c>
      <c r="K786" s="1" t="s">
        <v>50</v>
      </c>
      <c r="L786" s="1" t="s">
        <v>50</v>
      </c>
      <c r="M786" s="1" t="s">
        <v>104</v>
      </c>
      <c r="N786" s="1" t="s">
        <v>50</v>
      </c>
      <c r="O786" s="1" t="s">
        <v>50</v>
      </c>
      <c r="P786" s="13" t="s">
        <v>1814</v>
      </c>
      <c r="Q786" s="1" t="s">
        <v>104</v>
      </c>
      <c r="R786" s="1" t="s">
        <v>104</v>
      </c>
      <c r="S786" s="1" t="s">
        <v>104</v>
      </c>
      <c r="T786" s="1" t="s">
        <v>104</v>
      </c>
      <c r="U786" s="1" t="s">
        <v>104</v>
      </c>
      <c r="V786" s="1" t="s">
        <v>104</v>
      </c>
      <c r="W786" s="1" t="s">
        <v>104</v>
      </c>
      <c r="X786" s="1" t="s">
        <v>726</v>
      </c>
      <c r="Y786" s="1"/>
      <c r="Z786" s="8"/>
      <c r="AA786" s="8"/>
      <c r="AB786" s="8"/>
      <c r="AC786" s="8"/>
      <c r="AD786" s="8">
        <v>1</v>
      </c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>
        <v>1</v>
      </c>
      <c r="AS786" s="8"/>
      <c r="AT786" s="8"/>
      <c r="AU786" s="8">
        <v>1</v>
      </c>
      <c r="AV786" s="8">
        <v>1</v>
      </c>
      <c r="AW786" s="8"/>
      <c r="AX786" s="8"/>
      <c r="AY786" s="8"/>
      <c r="AZ786" s="8"/>
      <c r="BA786" s="8"/>
      <c r="BB786" s="1"/>
      <c r="BL786" s="58"/>
      <c r="BP786" t="str">
        <f t="shared" si="29"/>
        <v>RockPsychic</v>
      </c>
      <c r="BQ786" t="s">
        <v>2</v>
      </c>
      <c r="BR786">
        <v>1</v>
      </c>
    </row>
    <row r="787" spans="1:70" x14ac:dyDescent="0.25">
      <c r="A787">
        <f t="shared" si="28"/>
        <v>739</v>
      </c>
      <c r="B787" t="s">
        <v>1772</v>
      </c>
      <c r="D787" s="1" t="s">
        <v>9</v>
      </c>
      <c r="E787" s="1" t="s">
        <v>4</v>
      </c>
      <c r="F787" s="1" t="s">
        <v>50</v>
      </c>
      <c r="G787" s="1" t="s">
        <v>50</v>
      </c>
      <c r="H787" s="1" t="s">
        <v>50</v>
      </c>
      <c r="I787" s="1" t="s">
        <v>50</v>
      </c>
      <c r="J787" s="1" t="s">
        <v>50</v>
      </c>
      <c r="K787" s="1" t="s">
        <v>50</v>
      </c>
      <c r="L787" s="1"/>
      <c r="M787" s="1" t="s">
        <v>104</v>
      </c>
      <c r="N787" s="1" t="s">
        <v>50</v>
      </c>
      <c r="O787" s="1" t="s">
        <v>50</v>
      </c>
      <c r="P787" s="13" t="s">
        <v>1814</v>
      </c>
      <c r="Q787" s="1" t="s">
        <v>104</v>
      </c>
      <c r="R787" s="1" t="s">
        <v>104</v>
      </c>
      <c r="S787" s="1" t="s">
        <v>104</v>
      </c>
      <c r="T787" s="1" t="s">
        <v>104</v>
      </c>
      <c r="U787" s="1" t="s">
        <v>104</v>
      </c>
      <c r="V787" s="1" t="s">
        <v>104</v>
      </c>
      <c r="W787" s="1" t="s">
        <v>104</v>
      </c>
      <c r="X787" s="1" t="s">
        <v>726</v>
      </c>
      <c r="Y787" s="1"/>
      <c r="Z787" s="8"/>
      <c r="AA787" s="8"/>
      <c r="AB787" s="8"/>
      <c r="AC787" s="8"/>
      <c r="AD787" s="8">
        <v>1</v>
      </c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>
        <v>1</v>
      </c>
      <c r="AS787" s="8"/>
      <c r="AT787" s="8"/>
      <c r="AU787" s="8">
        <v>1</v>
      </c>
      <c r="AV787" s="8">
        <v>1</v>
      </c>
      <c r="AW787" s="8"/>
      <c r="AX787" s="8"/>
      <c r="AY787" s="8"/>
      <c r="AZ787" s="8"/>
      <c r="BA787" s="8"/>
      <c r="BB787" s="1"/>
      <c r="BJ787">
        <v>4</v>
      </c>
      <c r="BK787">
        <v>1</v>
      </c>
      <c r="BL787" s="58">
        <v>1</v>
      </c>
      <c r="BP787" t="str">
        <f t="shared" si="29"/>
        <v>RockPsychic</v>
      </c>
      <c r="BR787">
        <v>1</v>
      </c>
    </row>
    <row r="788" spans="1:70" x14ac:dyDescent="0.25">
      <c r="A788">
        <f t="shared" si="28"/>
        <v>740</v>
      </c>
      <c r="B788" t="s">
        <v>1773</v>
      </c>
      <c r="D788" s="1" t="s">
        <v>13</v>
      </c>
      <c r="E788" s="1" t="s">
        <v>0</v>
      </c>
      <c r="F788" s="1" t="s">
        <v>50</v>
      </c>
      <c r="G788" s="1" t="s">
        <v>50</v>
      </c>
      <c r="H788" s="1"/>
      <c r="I788" s="1" t="s">
        <v>50</v>
      </c>
      <c r="J788" s="1" t="s">
        <v>50</v>
      </c>
      <c r="K788" s="1" t="s">
        <v>50</v>
      </c>
      <c r="L788" s="1" t="s">
        <v>50</v>
      </c>
      <c r="M788" s="1" t="s">
        <v>50</v>
      </c>
      <c r="N788" s="1" t="s">
        <v>50</v>
      </c>
      <c r="O788" s="1" t="s">
        <v>50</v>
      </c>
      <c r="P788" s="13" t="s">
        <v>824</v>
      </c>
      <c r="Q788" s="1" t="s">
        <v>104</v>
      </c>
      <c r="R788" s="1" t="s">
        <v>104</v>
      </c>
      <c r="S788" s="1" t="s">
        <v>104</v>
      </c>
      <c r="T788" s="1" t="s">
        <v>104</v>
      </c>
      <c r="U788" s="1" t="s">
        <v>104</v>
      </c>
      <c r="V788" s="1" t="s">
        <v>104</v>
      </c>
      <c r="W788" s="1" t="s">
        <v>104</v>
      </c>
      <c r="X788" s="1" t="s">
        <v>727</v>
      </c>
      <c r="Y788" s="1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>
        <v>1</v>
      </c>
      <c r="AW788" s="8">
        <v>1</v>
      </c>
      <c r="AX788" s="8">
        <v>1</v>
      </c>
      <c r="AY788" s="8">
        <v>1</v>
      </c>
      <c r="AZ788" s="8"/>
      <c r="BA788" s="8"/>
      <c r="BB788" s="1"/>
      <c r="BL788" s="58"/>
      <c r="BP788" t="str">
        <f t="shared" si="29"/>
        <v>FireDark</v>
      </c>
      <c r="BQ788" t="s">
        <v>2</v>
      </c>
      <c r="BR788">
        <v>1</v>
      </c>
    </row>
    <row r="789" spans="1:70" x14ac:dyDescent="0.25">
      <c r="A789">
        <f t="shared" si="28"/>
        <v>741</v>
      </c>
      <c r="B789" t="s">
        <v>1774</v>
      </c>
      <c r="D789" s="1" t="s">
        <v>13</v>
      </c>
      <c r="E789" s="1" t="s">
        <v>0</v>
      </c>
      <c r="F789" s="1" t="s">
        <v>50</v>
      </c>
      <c r="G789" s="1" t="s">
        <v>50</v>
      </c>
      <c r="H789" s="1"/>
      <c r="I789" s="1" t="s">
        <v>50</v>
      </c>
      <c r="J789" s="1" t="s">
        <v>50</v>
      </c>
      <c r="K789" s="1" t="s">
        <v>50</v>
      </c>
      <c r="L789" s="1" t="s">
        <v>50</v>
      </c>
      <c r="M789" s="1" t="s">
        <v>104</v>
      </c>
      <c r="N789" s="1" t="s">
        <v>50</v>
      </c>
      <c r="O789" s="1" t="s">
        <v>50</v>
      </c>
      <c r="P789" s="13" t="s">
        <v>824</v>
      </c>
      <c r="Q789" s="1" t="s">
        <v>104</v>
      </c>
      <c r="R789" s="1" t="s">
        <v>104</v>
      </c>
      <c r="S789" s="1" t="s">
        <v>104</v>
      </c>
      <c r="T789" s="1" t="s">
        <v>104</v>
      </c>
      <c r="U789" s="1" t="s">
        <v>104</v>
      </c>
      <c r="V789" s="1" t="s">
        <v>104</v>
      </c>
      <c r="W789" s="1" t="s">
        <v>104</v>
      </c>
      <c r="X789" s="1" t="s">
        <v>727</v>
      </c>
      <c r="Y789" s="1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>
        <v>1</v>
      </c>
      <c r="AW789" s="8">
        <v>1</v>
      </c>
      <c r="AX789" s="8">
        <v>1</v>
      </c>
      <c r="AY789" s="8">
        <v>1</v>
      </c>
      <c r="AZ789" s="8"/>
      <c r="BA789" s="8"/>
      <c r="BB789" s="1"/>
      <c r="BL789" s="58"/>
      <c r="BP789" t="str">
        <f t="shared" si="29"/>
        <v>FireDark</v>
      </c>
      <c r="BQ789" t="s">
        <v>2</v>
      </c>
      <c r="BR789">
        <v>1</v>
      </c>
    </row>
    <row r="790" spans="1:70" x14ac:dyDescent="0.25">
      <c r="A790">
        <f t="shared" si="28"/>
        <v>742</v>
      </c>
      <c r="B790" t="s">
        <v>1775</v>
      </c>
      <c r="D790" s="1" t="s">
        <v>13</v>
      </c>
      <c r="E790" s="1" t="s">
        <v>0</v>
      </c>
      <c r="F790" s="1" t="s">
        <v>50</v>
      </c>
      <c r="G790" s="1" t="s">
        <v>50</v>
      </c>
      <c r="H790" s="1" t="s">
        <v>50</v>
      </c>
      <c r="I790" s="1" t="s">
        <v>50</v>
      </c>
      <c r="J790" s="1" t="s">
        <v>50</v>
      </c>
      <c r="K790" s="1" t="s">
        <v>50</v>
      </c>
      <c r="L790" s="1" t="s">
        <v>50</v>
      </c>
      <c r="M790" s="1" t="s">
        <v>104</v>
      </c>
      <c r="N790" s="1" t="s">
        <v>50</v>
      </c>
      <c r="O790" s="1" t="s">
        <v>50</v>
      </c>
      <c r="P790" s="13" t="s">
        <v>824</v>
      </c>
      <c r="Q790" s="1" t="s">
        <v>50</v>
      </c>
      <c r="R790" s="1" t="s">
        <v>50</v>
      </c>
      <c r="S790" s="1" t="s">
        <v>50</v>
      </c>
      <c r="T790" s="1" t="s">
        <v>50</v>
      </c>
      <c r="U790" s="1" t="s">
        <v>50</v>
      </c>
      <c r="V790" s="1" t="s">
        <v>50</v>
      </c>
      <c r="W790" s="1" t="s">
        <v>50</v>
      </c>
      <c r="X790" s="1" t="s">
        <v>727</v>
      </c>
      <c r="Y790" s="1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>
        <v>1</v>
      </c>
      <c r="AW790" s="8">
        <v>1</v>
      </c>
      <c r="AX790" s="8">
        <v>1</v>
      </c>
      <c r="AY790" s="8">
        <v>1</v>
      </c>
      <c r="AZ790" s="8"/>
      <c r="BA790" s="8"/>
      <c r="BB790" s="1"/>
      <c r="BJ790">
        <v>7</v>
      </c>
      <c r="BK790">
        <v>4</v>
      </c>
      <c r="BL790" s="58"/>
      <c r="BP790" t="str">
        <f t="shared" si="29"/>
        <v>FireDark</v>
      </c>
      <c r="BR790">
        <v>1</v>
      </c>
    </row>
    <row r="791" spans="1:70" x14ac:dyDescent="0.25">
      <c r="A791">
        <f t="shared" si="28"/>
        <v>743</v>
      </c>
      <c r="B791" t="s">
        <v>1776</v>
      </c>
      <c r="D791" s="1" t="s">
        <v>41</v>
      </c>
      <c r="E791" s="1" t="s">
        <v>7</v>
      </c>
      <c r="F791" s="1" t="s">
        <v>50</v>
      </c>
      <c r="G791" s="1" t="s">
        <v>50</v>
      </c>
      <c r="H791" s="1" t="s">
        <v>50</v>
      </c>
      <c r="I791" s="1" t="s">
        <v>50</v>
      </c>
      <c r="J791" s="1" t="s">
        <v>50</v>
      </c>
      <c r="K791" s="1" t="s">
        <v>50</v>
      </c>
      <c r="L791" s="1"/>
      <c r="M791" s="1" t="s">
        <v>50</v>
      </c>
      <c r="N791" s="1" t="s">
        <v>50</v>
      </c>
      <c r="O791" s="1" t="s">
        <v>50</v>
      </c>
      <c r="P791" s="13" t="s">
        <v>807</v>
      </c>
      <c r="Q791" s="1" t="s">
        <v>104</v>
      </c>
      <c r="R791" s="1" t="s">
        <v>104</v>
      </c>
      <c r="S791" s="1" t="s">
        <v>104</v>
      </c>
      <c r="T791" s="1" t="s">
        <v>104</v>
      </c>
      <c r="U791" s="1" t="s">
        <v>104</v>
      </c>
      <c r="V791" s="1" t="s">
        <v>104</v>
      </c>
      <c r="W791" s="1" t="s">
        <v>104</v>
      </c>
      <c r="X791" s="1" t="s">
        <v>727</v>
      </c>
      <c r="Y791" s="1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>
        <v>1</v>
      </c>
      <c r="AT791" s="8"/>
      <c r="AU791" s="8"/>
      <c r="AV791" s="8"/>
      <c r="AW791" s="8"/>
      <c r="AX791" s="8"/>
      <c r="AY791" s="8"/>
      <c r="AZ791" s="8"/>
      <c r="BA791" s="8"/>
      <c r="BB791" s="1"/>
      <c r="BJ791">
        <v>1</v>
      </c>
      <c r="BK791">
        <v>1</v>
      </c>
      <c r="BL791" s="58"/>
      <c r="BP791" t="str">
        <f t="shared" si="29"/>
        <v>SoundFairy</v>
      </c>
      <c r="BR791">
        <v>5</v>
      </c>
    </row>
    <row r="792" spans="1:70" x14ac:dyDescent="0.25">
      <c r="A792">
        <f t="shared" si="28"/>
        <v>744</v>
      </c>
      <c r="B792" t="s">
        <v>1777</v>
      </c>
      <c r="D792" s="1" t="s">
        <v>11</v>
      </c>
      <c r="E792" s="1" t="s">
        <v>12</v>
      </c>
      <c r="F792" s="1" t="s">
        <v>50</v>
      </c>
      <c r="G792" s="1" t="s">
        <v>50</v>
      </c>
      <c r="H792" s="1"/>
      <c r="I792" s="1" t="s">
        <v>50</v>
      </c>
      <c r="J792" s="1" t="s">
        <v>50</v>
      </c>
      <c r="K792" s="1" t="s">
        <v>50</v>
      </c>
      <c r="L792" s="1" t="s">
        <v>104</v>
      </c>
      <c r="M792" s="1" t="s">
        <v>50</v>
      </c>
      <c r="N792" s="1" t="s">
        <v>50</v>
      </c>
      <c r="O792" s="1" t="s">
        <v>50</v>
      </c>
      <c r="P792" s="13" t="s">
        <v>807</v>
      </c>
      <c r="Q792" s="1" t="s">
        <v>104</v>
      </c>
      <c r="R792" s="1" t="s">
        <v>104</v>
      </c>
      <c r="S792" s="1" t="s">
        <v>104</v>
      </c>
      <c r="T792" s="1" t="s">
        <v>104</v>
      </c>
      <c r="U792" s="1" t="s">
        <v>104</v>
      </c>
      <c r="V792" s="1" t="s">
        <v>104</v>
      </c>
      <c r="W792" s="1" t="s">
        <v>104</v>
      </c>
      <c r="X792" s="1" t="s">
        <v>1780</v>
      </c>
      <c r="Y792" s="1"/>
      <c r="Z792" s="8">
        <v>1</v>
      </c>
      <c r="AA792" s="8">
        <v>1</v>
      </c>
      <c r="AB792" s="8">
        <v>1</v>
      </c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>
        <v>1</v>
      </c>
      <c r="BA792" s="8"/>
      <c r="BB792" s="1"/>
      <c r="BL792" s="58"/>
      <c r="BP792" t="str">
        <f t="shared" si="29"/>
        <v>GrassDragon</v>
      </c>
      <c r="BQ792" t="s">
        <v>2</v>
      </c>
      <c r="BR792">
        <v>1</v>
      </c>
    </row>
    <row r="793" spans="1:70" x14ac:dyDescent="0.25">
      <c r="A793">
        <f t="shared" si="28"/>
        <v>745</v>
      </c>
      <c r="B793" t="s">
        <v>1778</v>
      </c>
      <c r="D793" s="1" t="s">
        <v>11</v>
      </c>
      <c r="E793" s="1" t="s">
        <v>12</v>
      </c>
      <c r="F793" s="1" t="s">
        <v>50</v>
      </c>
      <c r="G793" s="1" t="s">
        <v>50</v>
      </c>
      <c r="H793" s="1"/>
      <c r="I793" s="1" t="s">
        <v>50</v>
      </c>
      <c r="J793" s="1" t="s">
        <v>50</v>
      </c>
      <c r="K793" s="1" t="s">
        <v>50</v>
      </c>
      <c r="L793" s="1" t="s">
        <v>104</v>
      </c>
      <c r="M793" s="1" t="s">
        <v>50</v>
      </c>
      <c r="N793" s="1" t="s">
        <v>50</v>
      </c>
      <c r="O793" s="1" t="s">
        <v>50</v>
      </c>
      <c r="P793" s="13" t="s">
        <v>807</v>
      </c>
      <c r="Q793" s="1" t="s">
        <v>104</v>
      </c>
      <c r="R793" s="1" t="s">
        <v>104</v>
      </c>
      <c r="S793" s="1" t="s">
        <v>104</v>
      </c>
      <c r="T793" s="1" t="s">
        <v>104</v>
      </c>
      <c r="U793" s="1" t="s">
        <v>104</v>
      </c>
      <c r="V793" s="1" t="s">
        <v>104</v>
      </c>
      <c r="W793" s="1" t="s">
        <v>104</v>
      </c>
      <c r="X793" s="1" t="s">
        <v>1780</v>
      </c>
      <c r="Y793" s="1"/>
      <c r="Z793" s="8">
        <v>1</v>
      </c>
      <c r="AA793" s="8">
        <v>1</v>
      </c>
      <c r="AB793" s="8">
        <v>1</v>
      </c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>
        <v>1</v>
      </c>
      <c r="BA793" s="8"/>
      <c r="BB793" s="1"/>
      <c r="BL793" s="58"/>
      <c r="BP793" t="str">
        <f t="shared" si="29"/>
        <v>GrassDragon</v>
      </c>
      <c r="BQ793" t="s">
        <v>2</v>
      </c>
      <c r="BR793">
        <v>1</v>
      </c>
    </row>
    <row r="794" spans="1:70" x14ac:dyDescent="0.25">
      <c r="A794">
        <f t="shared" si="28"/>
        <v>746</v>
      </c>
      <c r="B794" t="s">
        <v>1779</v>
      </c>
      <c r="D794" s="1" t="s">
        <v>11</v>
      </c>
      <c r="E794" s="1" t="s">
        <v>12</v>
      </c>
      <c r="F794" s="1" t="s">
        <v>50</v>
      </c>
      <c r="G794" s="1" t="s">
        <v>50</v>
      </c>
      <c r="H794" s="1" t="s">
        <v>50</v>
      </c>
      <c r="I794" s="1" t="s">
        <v>50</v>
      </c>
      <c r="J794" s="1" t="s">
        <v>50</v>
      </c>
      <c r="K794" s="1" t="s">
        <v>50</v>
      </c>
      <c r="L794" s="1" t="s">
        <v>104</v>
      </c>
      <c r="M794" s="1" t="s">
        <v>104</v>
      </c>
      <c r="N794" s="1" t="s">
        <v>50</v>
      </c>
      <c r="O794" s="1" t="s">
        <v>50</v>
      </c>
      <c r="P794" s="13" t="s">
        <v>807</v>
      </c>
      <c r="Q794" s="1" t="s">
        <v>104</v>
      </c>
      <c r="R794" s="1" t="s">
        <v>104</v>
      </c>
      <c r="S794" s="1" t="s">
        <v>104</v>
      </c>
      <c r="T794" s="1" t="s">
        <v>104</v>
      </c>
      <c r="U794" s="1" t="s">
        <v>104</v>
      </c>
      <c r="V794" s="1" t="s">
        <v>104</v>
      </c>
      <c r="W794" s="1" t="s">
        <v>104</v>
      </c>
      <c r="X794" s="1" t="s">
        <v>1780</v>
      </c>
      <c r="Y794" s="1"/>
      <c r="Z794" s="8">
        <v>1</v>
      </c>
      <c r="AA794" s="8">
        <v>1</v>
      </c>
      <c r="AB794" s="8">
        <v>1</v>
      </c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>
        <v>1</v>
      </c>
      <c r="BA794" s="8"/>
      <c r="BB794" s="1"/>
      <c r="BJ794">
        <v>2</v>
      </c>
      <c r="BK794">
        <v>1</v>
      </c>
      <c r="BL794" s="58"/>
      <c r="BP794" t="str">
        <f t="shared" si="29"/>
        <v>GrassDragon</v>
      </c>
      <c r="BR794">
        <v>1</v>
      </c>
    </row>
    <row r="795" spans="1:70" x14ac:dyDescent="0.25">
      <c r="A795">
        <f t="shared" si="28"/>
        <v>747</v>
      </c>
      <c r="B795" t="s">
        <v>1781</v>
      </c>
      <c r="D795" s="1" t="s">
        <v>11</v>
      </c>
      <c r="E795" s="1" t="s">
        <v>8</v>
      </c>
      <c r="F795" s="1" t="s">
        <v>50</v>
      </c>
      <c r="G795" s="1" t="s">
        <v>50</v>
      </c>
      <c r="H795" s="1"/>
      <c r="I795" s="1" t="s">
        <v>50</v>
      </c>
      <c r="J795" s="1" t="s">
        <v>50</v>
      </c>
      <c r="K795" s="1" t="s">
        <v>50</v>
      </c>
      <c r="L795" s="1" t="s">
        <v>104</v>
      </c>
      <c r="M795" s="1" t="s">
        <v>50</v>
      </c>
      <c r="N795" s="1" t="s">
        <v>50</v>
      </c>
      <c r="O795" s="1" t="s">
        <v>50</v>
      </c>
      <c r="P795" s="13" t="s">
        <v>1784</v>
      </c>
      <c r="Q795" s="1" t="s">
        <v>104</v>
      </c>
      <c r="R795" s="1" t="s">
        <v>104</v>
      </c>
      <c r="S795" s="1" t="s">
        <v>104</v>
      </c>
      <c r="T795" s="1" t="s">
        <v>104</v>
      </c>
      <c r="U795" s="1" t="s">
        <v>104</v>
      </c>
      <c r="V795" s="1" t="s">
        <v>104</v>
      </c>
      <c r="W795" s="1" t="s">
        <v>104</v>
      </c>
      <c r="X795" s="1" t="s">
        <v>727</v>
      </c>
      <c r="Y795" s="1"/>
      <c r="Z795" s="8"/>
      <c r="AA795" s="8"/>
      <c r="AB795" s="8"/>
      <c r="AC795" s="8"/>
      <c r="AD795" s="8"/>
      <c r="AE795" s="8">
        <v>1</v>
      </c>
      <c r="AF795" s="8">
        <v>1</v>
      </c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>
        <v>1</v>
      </c>
      <c r="AY795" s="8">
        <v>1</v>
      </c>
      <c r="AZ795" s="8"/>
      <c r="BA795" s="8"/>
      <c r="BB795" s="1"/>
      <c r="BL795" s="58"/>
      <c r="BP795" t="str">
        <f t="shared" si="29"/>
        <v>GrassGround</v>
      </c>
      <c r="BQ795" t="s">
        <v>2</v>
      </c>
      <c r="BR795">
        <v>1</v>
      </c>
    </row>
    <row r="796" spans="1:70" x14ac:dyDescent="0.25">
      <c r="A796">
        <f t="shared" si="28"/>
        <v>748</v>
      </c>
      <c r="B796" t="s">
        <v>1782</v>
      </c>
      <c r="D796" s="1" t="s">
        <v>11</v>
      </c>
      <c r="E796" s="1" t="s">
        <v>8</v>
      </c>
      <c r="F796" s="1" t="s">
        <v>50</v>
      </c>
      <c r="G796" s="1" t="s">
        <v>50</v>
      </c>
      <c r="H796" s="1"/>
      <c r="I796" s="1" t="s">
        <v>50</v>
      </c>
      <c r="J796" s="1" t="s">
        <v>50</v>
      </c>
      <c r="K796" s="1" t="s">
        <v>50</v>
      </c>
      <c r="L796" s="1" t="s">
        <v>104</v>
      </c>
      <c r="M796" s="1" t="s">
        <v>50</v>
      </c>
      <c r="N796" s="1" t="s">
        <v>50</v>
      </c>
      <c r="O796" s="1" t="s">
        <v>50</v>
      </c>
      <c r="P796" s="13" t="s">
        <v>1784</v>
      </c>
      <c r="Q796" s="1" t="s">
        <v>104</v>
      </c>
      <c r="R796" s="1" t="s">
        <v>104</v>
      </c>
      <c r="S796" s="1" t="s">
        <v>104</v>
      </c>
      <c r="T796" s="1" t="s">
        <v>104</v>
      </c>
      <c r="U796" s="1" t="s">
        <v>104</v>
      </c>
      <c r="V796" s="1" t="s">
        <v>104</v>
      </c>
      <c r="W796" s="1" t="s">
        <v>104</v>
      </c>
      <c r="X796" s="1" t="s">
        <v>727</v>
      </c>
      <c r="Y796" s="1"/>
      <c r="Z796" s="8"/>
      <c r="AA796" s="8"/>
      <c r="AB796" s="8"/>
      <c r="AC796" s="8"/>
      <c r="AD796" s="8"/>
      <c r="AE796" s="8">
        <v>1</v>
      </c>
      <c r="AF796" s="8">
        <v>1</v>
      </c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>
        <v>1</v>
      </c>
      <c r="AY796" s="8">
        <v>1</v>
      </c>
      <c r="AZ796" s="8"/>
      <c r="BA796" s="8"/>
      <c r="BB796" s="1"/>
      <c r="BL796" s="58"/>
      <c r="BP796" t="str">
        <f t="shared" si="29"/>
        <v>GrassGround</v>
      </c>
      <c r="BQ796" t="s">
        <v>2</v>
      </c>
      <c r="BR796">
        <v>1</v>
      </c>
    </row>
    <row r="797" spans="1:70" x14ac:dyDescent="0.25">
      <c r="A797">
        <f t="shared" si="28"/>
        <v>749</v>
      </c>
      <c r="B797" t="s">
        <v>1783</v>
      </c>
      <c r="D797" s="1" t="s">
        <v>11</v>
      </c>
      <c r="E797" s="1" t="s">
        <v>8</v>
      </c>
      <c r="F797" s="1" t="s">
        <v>50</v>
      </c>
      <c r="G797" s="1" t="s">
        <v>50</v>
      </c>
      <c r="H797" s="1" t="s">
        <v>50</v>
      </c>
      <c r="I797" s="1" t="s">
        <v>50</v>
      </c>
      <c r="J797" s="1" t="s">
        <v>50</v>
      </c>
      <c r="K797" s="1" t="s">
        <v>50</v>
      </c>
      <c r="L797" s="1" t="s">
        <v>104</v>
      </c>
      <c r="M797" s="1" t="s">
        <v>104</v>
      </c>
      <c r="N797" s="1" t="s">
        <v>50</v>
      </c>
      <c r="O797" s="1" t="s">
        <v>50</v>
      </c>
      <c r="P797" s="13" t="s">
        <v>1784</v>
      </c>
      <c r="Q797" s="1" t="s">
        <v>104</v>
      </c>
      <c r="R797" s="1" t="s">
        <v>104</v>
      </c>
      <c r="S797" s="1" t="s">
        <v>104</v>
      </c>
      <c r="T797" s="1" t="s">
        <v>104</v>
      </c>
      <c r="U797" s="1" t="s">
        <v>104</v>
      </c>
      <c r="V797" s="1" t="s">
        <v>104</v>
      </c>
      <c r="W797" s="1" t="s">
        <v>104</v>
      </c>
      <c r="X797" s="1" t="s">
        <v>727</v>
      </c>
      <c r="Y797" s="1"/>
      <c r="Z797" s="8"/>
      <c r="AA797" s="8"/>
      <c r="AB797" s="8"/>
      <c r="AC797" s="8"/>
      <c r="AD797" s="8"/>
      <c r="AE797" s="8">
        <v>1</v>
      </c>
      <c r="AF797" s="8">
        <v>1</v>
      </c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>
        <v>1</v>
      </c>
      <c r="AY797" s="8">
        <v>1</v>
      </c>
      <c r="AZ797" s="8"/>
      <c r="BA797" s="8"/>
      <c r="BB797" s="1"/>
      <c r="BJ797">
        <v>2</v>
      </c>
      <c r="BK797">
        <v>1</v>
      </c>
      <c r="BL797" s="58"/>
      <c r="BP797" t="str">
        <f t="shared" si="29"/>
        <v>GrassGround</v>
      </c>
      <c r="BR797">
        <v>1</v>
      </c>
    </row>
    <row r="798" spans="1:70" x14ac:dyDescent="0.25">
      <c r="A798">
        <f t="shared" si="28"/>
        <v>750</v>
      </c>
      <c r="B798" t="s">
        <v>1785</v>
      </c>
      <c r="D798" s="1" t="s">
        <v>5</v>
      </c>
      <c r="E798" s="1" t="s">
        <v>9</v>
      </c>
      <c r="F798" s="1" t="s">
        <v>50</v>
      </c>
      <c r="G798" s="1" t="s">
        <v>50</v>
      </c>
      <c r="H798" s="1"/>
      <c r="I798" s="1" t="s">
        <v>50</v>
      </c>
      <c r="J798" s="1" t="s">
        <v>50</v>
      </c>
      <c r="K798" s="1" t="s">
        <v>50</v>
      </c>
      <c r="L798" s="1"/>
      <c r="M798" s="1" t="s">
        <v>50</v>
      </c>
      <c r="N798" s="1" t="s">
        <v>50</v>
      </c>
      <c r="O798" s="1" t="s">
        <v>50</v>
      </c>
      <c r="P798" s="13" t="s">
        <v>811</v>
      </c>
      <c r="Q798" s="1" t="s">
        <v>104</v>
      </c>
      <c r="R798" s="1" t="s">
        <v>104</v>
      </c>
      <c r="S798" s="1" t="s">
        <v>104</v>
      </c>
      <c r="T798" s="1" t="s">
        <v>104</v>
      </c>
      <c r="U798" s="1" t="s">
        <v>104</v>
      </c>
      <c r="V798" s="1" t="s">
        <v>104</v>
      </c>
      <c r="W798" s="1" t="s">
        <v>104</v>
      </c>
      <c r="X798" s="1" t="s">
        <v>726</v>
      </c>
      <c r="Y798" s="1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>
        <v>1</v>
      </c>
      <c r="AO798" s="8">
        <v>1</v>
      </c>
      <c r="AP798" s="8">
        <v>1</v>
      </c>
      <c r="AQ798" s="8">
        <v>1</v>
      </c>
      <c r="AR798" s="8"/>
      <c r="AS798" s="8">
        <v>1</v>
      </c>
      <c r="AT798" s="8">
        <v>1</v>
      </c>
      <c r="AU798" s="8"/>
      <c r="AV798" s="8"/>
      <c r="AW798" s="8"/>
      <c r="AX798" s="8">
        <v>1</v>
      </c>
      <c r="AY798" s="8"/>
      <c r="AZ798" s="8"/>
      <c r="BA798" s="8"/>
      <c r="BB798" s="1"/>
      <c r="BL798" s="58"/>
      <c r="BP798" t="str">
        <f t="shared" si="29"/>
        <v>IceRock</v>
      </c>
      <c r="BQ798" t="s">
        <v>2</v>
      </c>
      <c r="BR798">
        <v>5</v>
      </c>
    </row>
    <row r="799" spans="1:70" x14ac:dyDescent="0.25">
      <c r="A799">
        <f t="shared" si="28"/>
        <v>751</v>
      </c>
      <c r="B799" t="s">
        <v>1786</v>
      </c>
      <c r="D799" s="1" t="s">
        <v>5</v>
      </c>
      <c r="E799" s="1" t="s">
        <v>9</v>
      </c>
      <c r="F799" s="1" t="s">
        <v>50</v>
      </c>
      <c r="G799" s="1" t="s">
        <v>50</v>
      </c>
      <c r="H799" s="1" t="s">
        <v>50</v>
      </c>
      <c r="I799" s="1" t="s">
        <v>50</v>
      </c>
      <c r="J799" s="1" t="s">
        <v>50</v>
      </c>
      <c r="K799" s="1" t="s">
        <v>50</v>
      </c>
      <c r="L799" s="1"/>
      <c r="M799" s="1" t="s">
        <v>104</v>
      </c>
      <c r="N799" s="1" t="s">
        <v>50</v>
      </c>
      <c r="O799" s="1" t="s">
        <v>50</v>
      </c>
      <c r="P799" s="13" t="s">
        <v>811</v>
      </c>
      <c r="Q799" s="1" t="s">
        <v>104</v>
      </c>
      <c r="R799" s="1" t="s">
        <v>104</v>
      </c>
      <c r="S799" s="1" t="s">
        <v>104</v>
      </c>
      <c r="T799" s="1" t="s">
        <v>104</v>
      </c>
      <c r="U799" s="1" t="s">
        <v>104</v>
      </c>
      <c r="V799" s="1" t="s">
        <v>104</v>
      </c>
      <c r="W799" s="1" t="s">
        <v>104</v>
      </c>
      <c r="X799" s="1" t="s">
        <v>726</v>
      </c>
      <c r="Y799" s="1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>
        <v>1</v>
      </c>
      <c r="AO799" s="8">
        <v>1</v>
      </c>
      <c r="AP799" s="8">
        <v>1</v>
      </c>
      <c r="AQ799" s="8">
        <v>1</v>
      </c>
      <c r="AR799" s="8"/>
      <c r="AS799" s="8">
        <v>1</v>
      </c>
      <c r="AT799" s="8">
        <v>1</v>
      </c>
      <c r="AU799" s="8"/>
      <c r="AV799" s="8"/>
      <c r="AW799" s="8"/>
      <c r="AX799" s="8">
        <v>1</v>
      </c>
      <c r="AY799" s="8"/>
      <c r="AZ799" s="8"/>
      <c r="BA799" s="8"/>
      <c r="BB799" s="1"/>
      <c r="BJ799">
        <v>6</v>
      </c>
      <c r="BK799">
        <v>1</v>
      </c>
      <c r="BL799" s="58">
        <v>1</v>
      </c>
      <c r="BP799" t="str">
        <f t="shared" si="29"/>
        <v>IceRock</v>
      </c>
      <c r="BR799">
        <v>5</v>
      </c>
    </row>
    <row r="800" spans="1:70" x14ac:dyDescent="0.25">
      <c r="A800">
        <f t="shared" si="28"/>
        <v>752</v>
      </c>
      <c r="B800" t="s">
        <v>1798</v>
      </c>
      <c r="D800" s="1" t="s">
        <v>5</v>
      </c>
      <c r="E800" s="1" t="s">
        <v>11</v>
      </c>
      <c r="F800" s="1" t="s">
        <v>50</v>
      </c>
      <c r="G800" s="1" t="s">
        <v>50</v>
      </c>
      <c r="H800" s="1" t="s">
        <v>50</v>
      </c>
      <c r="I800" s="1" t="s">
        <v>50</v>
      </c>
      <c r="J800" s="1" t="s">
        <v>50</v>
      </c>
      <c r="K800" s="1" t="s">
        <v>50</v>
      </c>
      <c r="L800" s="1" t="s">
        <v>104</v>
      </c>
      <c r="M800" s="1" t="s">
        <v>104</v>
      </c>
      <c r="N800" s="1" t="s">
        <v>50</v>
      </c>
      <c r="O800" s="1" t="s">
        <v>50</v>
      </c>
      <c r="P800" s="13" t="s">
        <v>807</v>
      </c>
      <c r="Q800" s="1" t="s">
        <v>104</v>
      </c>
      <c r="R800" s="1" t="s">
        <v>104</v>
      </c>
      <c r="S800" s="1" t="s">
        <v>104</v>
      </c>
      <c r="T800" s="1" t="s">
        <v>104</v>
      </c>
      <c r="U800" s="1" t="s">
        <v>104</v>
      </c>
      <c r="V800" s="1" t="s">
        <v>104</v>
      </c>
      <c r="W800" s="1" t="s">
        <v>104</v>
      </c>
      <c r="X800" s="1" t="s">
        <v>2436</v>
      </c>
      <c r="Y800" s="1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>
        <v>1</v>
      </c>
      <c r="AP800" s="8">
        <v>1</v>
      </c>
      <c r="AQ800" s="8">
        <v>1</v>
      </c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1"/>
      <c r="BK800">
        <v>1</v>
      </c>
      <c r="BL800" s="58"/>
      <c r="BP800" t="str">
        <f t="shared" si="29"/>
        <v>IceGrass</v>
      </c>
      <c r="BR800">
        <v>5</v>
      </c>
    </row>
    <row r="801" spans="1:70" x14ac:dyDescent="0.25">
      <c r="A801">
        <f t="shared" si="28"/>
        <v>753</v>
      </c>
      <c r="B801" t="s">
        <v>1799</v>
      </c>
      <c r="D801" s="1" t="s">
        <v>3</v>
      </c>
      <c r="E801" s="1">
        <v>0</v>
      </c>
      <c r="F801" s="1" t="s">
        <v>50</v>
      </c>
      <c r="G801" s="1" t="s">
        <v>50</v>
      </c>
      <c r="H801" s="1" t="s">
        <v>50</v>
      </c>
      <c r="I801" s="1" t="s">
        <v>50</v>
      </c>
      <c r="J801" s="1" t="s">
        <v>50</v>
      </c>
      <c r="K801" s="1" t="s">
        <v>50</v>
      </c>
      <c r="L801" s="1" t="s">
        <v>104</v>
      </c>
      <c r="M801" s="1" t="s">
        <v>104</v>
      </c>
      <c r="N801" s="1" t="s">
        <v>50</v>
      </c>
      <c r="O801" s="1" t="s">
        <v>50</v>
      </c>
      <c r="P801" s="13" t="s">
        <v>811</v>
      </c>
      <c r="Q801" s="1" t="s">
        <v>50</v>
      </c>
      <c r="R801" s="1" t="s">
        <v>50</v>
      </c>
      <c r="S801" s="1" t="s">
        <v>50</v>
      </c>
      <c r="T801" s="1" t="s">
        <v>50</v>
      </c>
      <c r="U801" s="1" t="s">
        <v>50</v>
      </c>
      <c r="V801" s="1" t="s">
        <v>50</v>
      </c>
      <c r="W801" s="1" t="s">
        <v>50</v>
      </c>
      <c r="X801" s="1" t="s">
        <v>2260</v>
      </c>
      <c r="Y801" s="1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>
        <v>1</v>
      </c>
      <c r="AY801" s="8">
        <v>1</v>
      </c>
      <c r="AZ801" s="8"/>
      <c r="BA801" s="8"/>
      <c r="BB801" s="1"/>
      <c r="BJ801">
        <v>2</v>
      </c>
      <c r="BK801">
        <v>1</v>
      </c>
      <c r="BL801" s="58"/>
      <c r="BP801" t="str">
        <f t="shared" si="29"/>
        <v>Electric0</v>
      </c>
      <c r="BR801">
        <v>5</v>
      </c>
    </row>
    <row r="802" spans="1:70" x14ac:dyDescent="0.25">
      <c r="A802">
        <f t="shared" si="28"/>
        <v>754</v>
      </c>
      <c r="B802" t="s">
        <v>1800</v>
      </c>
      <c r="D802" s="1" t="s">
        <v>41</v>
      </c>
      <c r="E802" s="1" t="s">
        <v>18</v>
      </c>
      <c r="F802" s="1" t="s">
        <v>50</v>
      </c>
      <c r="G802" s="1" t="s">
        <v>50</v>
      </c>
      <c r="H802" s="1" t="s">
        <v>50</v>
      </c>
      <c r="I802" s="1" t="s">
        <v>50</v>
      </c>
      <c r="J802" s="1" t="s">
        <v>50</v>
      </c>
      <c r="K802" s="1" t="s">
        <v>50</v>
      </c>
      <c r="L802" s="1" t="s">
        <v>104</v>
      </c>
      <c r="M802" s="1" t="s">
        <v>104</v>
      </c>
      <c r="N802" s="1" t="s">
        <v>50</v>
      </c>
      <c r="O802" s="1" t="s">
        <v>50</v>
      </c>
      <c r="P802" s="1" t="s">
        <v>808</v>
      </c>
      <c r="Q802" s="1" t="s">
        <v>104</v>
      </c>
      <c r="R802" s="1" t="s">
        <v>104</v>
      </c>
      <c r="S802" s="1" t="s">
        <v>104</v>
      </c>
      <c r="T802" s="1" t="s">
        <v>104</v>
      </c>
      <c r="U802" s="1" t="s">
        <v>104</v>
      </c>
      <c r="V802" s="1" t="s">
        <v>104</v>
      </c>
      <c r="W802" s="1" t="s">
        <v>104</v>
      </c>
      <c r="X802" s="1" t="s">
        <v>727</v>
      </c>
      <c r="Y802" s="1"/>
      <c r="Z802" s="8"/>
      <c r="AA802" s="8">
        <v>1</v>
      </c>
      <c r="AB802" s="8">
        <v>1</v>
      </c>
      <c r="AC802" s="8">
        <v>1</v>
      </c>
      <c r="AD802" s="8">
        <v>1</v>
      </c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>
        <v>1</v>
      </c>
      <c r="BA802" s="8"/>
      <c r="BB802" s="1"/>
      <c r="BJ802">
        <v>13</v>
      </c>
      <c r="BL802" s="58"/>
      <c r="BP802" t="str">
        <f t="shared" si="29"/>
        <v>SoundFighting</v>
      </c>
      <c r="BR802">
        <v>5</v>
      </c>
    </row>
    <row r="803" spans="1:70" x14ac:dyDescent="0.25">
      <c r="A803">
        <f t="shared" si="28"/>
        <v>755</v>
      </c>
      <c r="B803" t="s">
        <v>1801</v>
      </c>
      <c r="D803" s="1" t="s">
        <v>5</v>
      </c>
      <c r="E803" s="1" t="s">
        <v>15</v>
      </c>
      <c r="F803" s="1" t="s">
        <v>50</v>
      </c>
      <c r="G803" s="1" t="s">
        <v>50</v>
      </c>
      <c r="H803" s="1"/>
      <c r="I803" s="1" t="s">
        <v>50</v>
      </c>
      <c r="J803" s="1" t="s">
        <v>50</v>
      </c>
      <c r="K803" s="1" t="s">
        <v>50</v>
      </c>
      <c r="L803" s="1" t="s">
        <v>104</v>
      </c>
      <c r="M803" s="1" t="s">
        <v>50</v>
      </c>
      <c r="N803" s="1" t="s">
        <v>50</v>
      </c>
      <c r="O803" s="1" t="s">
        <v>50</v>
      </c>
      <c r="P803" s="14" t="s">
        <v>820</v>
      </c>
      <c r="Q803" s="1" t="s">
        <v>104</v>
      </c>
      <c r="R803" s="1" t="s">
        <v>104</v>
      </c>
      <c r="S803" s="1" t="s">
        <v>104</v>
      </c>
      <c r="T803" s="1" t="s">
        <v>104</v>
      </c>
      <c r="U803" s="1" t="s">
        <v>104</v>
      </c>
      <c r="V803" s="1" t="s">
        <v>104</v>
      </c>
      <c r="W803" s="1" t="s">
        <v>104</v>
      </c>
      <c r="X803" s="1" t="s">
        <v>2336</v>
      </c>
      <c r="Y803" s="1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>
        <v>1</v>
      </c>
      <c r="AK803" s="8">
        <v>1</v>
      </c>
      <c r="AL803" s="8">
        <v>1</v>
      </c>
      <c r="AM803" s="8">
        <v>1</v>
      </c>
      <c r="AN803" s="8">
        <v>1</v>
      </c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1"/>
      <c r="BL803" s="58"/>
      <c r="BP803" t="str">
        <f t="shared" si="29"/>
        <v>IceWater</v>
      </c>
      <c r="BQ803" t="s">
        <v>2</v>
      </c>
      <c r="BR803">
        <v>5</v>
      </c>
    </row>
    <row r="804" spans="1:70" x14ac:dyDescent="0.25">
      <c r="A804">
        <f t="shared" si="28"/>
        <v>756</v>
      </c>
      <c r="B804" t="s">
        <v>1802</v>
      </c>
      <c r="D804" s="1" t="s">
        <v>5</v>
      </c>
      <c r="E804" s="1" t="s">
        <v>15</v>
      </c>
      <c r="F804" s="1" t="s">
        <v>50</v>
      </c>
      <c r="G804" s="1" t="s">
        <v>50</v>
      </c>
      <c r="H804" s="1" t="s">
        <v>50</v>
      </c>
      <c r="I804" s="1" t="s">
        <v>50</v>
      </c>
      <c r="J804" s="1" t="s">
        <v>50</v>
      </c>
      <c r="K804" s="1" t="s">
        <v>50</v>
      </c>
      <c r="L804" s="1" t="s">
        <v>104</v>
      </c>
      <c r="M804" s="1" t="s">
        <v>104</v>
      </c>
      <c r="N804" s="1" t="s">
        <v>50</v>
      </c>
      <c r="O804" s="1" t="s">
        <v>50</v>
      </c>
      <c r="P804" s="14" t="s">
        <v>820</v>
      </c>
      <c r="Q804" s="1" t="s">
        <v>104</v>
      </c>
      <c r="R804" s="1" t="s">
        <v>104</v>
      </c>
      <c r="S804" s="1" t="s">
        <v>104</v>
      </c>
      <c r="T804" s="1" t="s">
        <v>104</v>
      </c>
      <c r="U804" s="1" t="s">
        <v>104</v>
      </c>
      <c r="V804" s="1" t="s">
        <v>104</v>
      </c>
      <c r="W804" s="1" t="s">
        <v>104</v>
      </c>
      <c r="X804" s="1" t="s">
        <v>2336</v>
      </c>
      <c r="Y804" s="1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>
        <v>1</v>
      </c>
      <c r="AK804" s="8">
        <v>1</v>
      </c>
      <c r="AL804" s="8">
        <v>1</v>
      </c>
      <c r="AM804" s="8">
        <v>1</v>
      </c>
      <c r="AN804" s="8">
        <v>1</v>
      </c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1"/>
      <c r="BJ804">
        <v>8</v>
      </c>
      <c r="BK804">
        <v>4</v>
      </c>
      <c r="BL804" s="58"/>
      <c r="BP804" t="str">
        <f t="shared" si="29"/>
        <v>IceWater</v>
      </c>
      <c r="BR804">
        <v>5</v>
      </c>
    </row>
    <row r="805" spans="1:70" x14ac:dyDescent="0.25">
      <c r="A805">
        <f t="shared" si="28"/>
        <v>757</v>
      </c>
      <c r="B805" t="s">
        <v>1803</v>
      </c>
      <c r="D805" s="1" t="s">
        <v>17</v>
      </c>
      <c r="E805" s="1" t="s">
        <v>0</v>
      </c>
      <c r="F805" s="1" t="s">
        <v>50</v>
      </c>
      <c r="G805" s="1" t="s">
        <v>50</v>
      </c>
      <c r="H805" s="1"/>
      <c r="I805" s="1" t="s">
        <v>50</v>
      </c>
      <c r="J805" s="1" t="s">
        <v>50</v>
      </c>
      <c r="K805" s="1" t="s">
        <v>50</v>
      </c>
      <c r="L805" s="1" t="s">
        <v>104</v>
      </c>
      <c r="M805" s="1" t="s">
        <v>50</v>
      </c>
      <c r="N805" s="1" t="s">
        <v>50</v>
      </c>
      <c r="O805" s="1" t="s">
        <v>50</v>
      </c>
      <c r="P805" s="13" t="s">
        <v>811</v>
      </c>
      <c r="Q805" s="1" t="s">
        <v>104</v>
      </c>
      <c r="R805" s="1" t="s">
        <v>104</v>
      </c>
      <c r="S805" s="1" t="s">
        <v>104</v>
      </c>
      <c r="T805" s="1" t="s">
        <v>104</v>
      </c>
      <c r="U805" s="1" t="s">
        <v>104</v>
      </c>
      <c r="V805" s="1" t="s">
        <v>104</v>
      </c>
      <c r="W805" s="1" t="s">
        <v>104</v>
      </c>
      <c r="X805" s="1" t="s">
        <v>729</v>
      </c>
      <c r="Y805" s="1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>
        <v>1</v>
      </c>
      <c r="AT805" s="8"/>
      <c r="AU805" s="8"/>
      <c r="AV805" s="8"/>
      <c r="AW805" s="8"/>
      <c r="AX805" s="8"/>
      <c r="AY805" s="8"/>
      <c r="AZ805" s="8"/>
      <c r="BA805" s="8"/>
      <c r="BB805" s="1"/>
      <c r="BL805" s="58"/>
      <c r="BP805" t="str">
        <f t="shared" si="29"/>
        <v>BugDark</v>
      </c>
      <c r="BQ805" t="s">
        <v>2</v>
      </c>
      <c r="BR805">
        <v>5</v>
      </c>
    </row>
    <row r="806" spans="1:70" x14ac:dyDescent="0.25">
      <c r="A806">
        <f t="shared" si="28"/>
        <v>758</v>
      </c>
      <c r="B806" t="s">
        <v>1804</v>
      </c>
      <c r="D806" s="1" t="s">
        <v>17</v>
      </c>
      <c r="E806" s="1" t="s">
        <v>0</v>
      </c>
      <c r="F806" s="1" t="s">
        <v>50</v>
      </c>
      <c r="G806" s="1" t="s">
        <v>50</v>
      </c>
      <c r="H806" s="1" t="s">
        <v>50</v>
      </c>
      <c r="I806" s="1" t="s">
        <v>50</v>
      </c>
      <c r="J806" s="1" t="s">
        <v>50</v>
      </c>
      <c r="K806" s="1" t="s">
        <v>50</v>
      </c>
      <c r="L806" s="1" t="s">
        <v>104</v>
      </c>
      <c r="M806" s="1" t="s">
        <v>104</v>
      </c>
      <c r="N806" s="1" t="s">
        <v>50</v>
      </c>
      <c r="O806" s="1" t="s">
        <v>50</v>
      </c>
      <c r="P806" s="13" t="s">
        <v>811</v>
      </c>
      <c r="Q806" s="1" t="s">
        <v>104</v>
      </c>
      <c r="R806" s="1" t="s">
        <v>104</v>
      </c>
      <c r="S806" s="1" t="s">
        <v>104</v>
      </c>
      <c r="T806" s="1" t="s">
        <v>104</v>
      </c>
      <c r="U806" s="1" t="s">
        <v>104</v>
      </c>
      <c r="V806" s="1" t="s">
        <v>104</v>
      </c>
      <c r="W806" s="1" t="s">
        <v>104</v>
      </c>
      <c r="X806" s="1" t="s">
        <v>729</v>
      </c>
      <c r="Y806" s="1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>
        <v>1</v>
      </c>
      <c r="AT806" s="8"/>
      <c r="AU806" s="8"/>
      <c r="AV806" s="8"/>
      <c r="AW806" s="8"/>
      <c r="AX806" s="8"/>
      <c r="AY806" s="8"/>
      <c r="AZ806" s="8"/>
      <c r="BA806" s="8"/>
      <c r="BB806" s="1"/>
      <c r="BJ806">
        <v>10</v>
      </c>
      <c r="BK806">
        <v>3</v>
      </c>
      <c r="BL806" s="58">
        <v>1</v>
      </c>
      <c r="BP806" t="str">
        <f t="shared" si="29"/>
        <v>BugDark</v>
      </c>
      <c r="BQ806" t="s">
        <v>2</v>
      </c>
      <c r="BR806">
        <v>5</v>
      </c>
    </row>
    <row r="807" spans="1:70" x14ac:dyDescent="0.25">
      <c r="A807">
        <f t="shared" si="28"/>
        <v>759</v>
      </c>
      <c r="B807" t="s">
        <v>1805</v>
      </c>
      <c r="D807" s="1" t="s">
        <v>17</v>
      </c>
      <c r="E807" s="1" t="s">
        <v>0</v>
      </c>
      <c r="F807" s="1" t="s">
        <v>50</v>
      </c>
      <c r="G807" s="1" t="s">
        <v>50</v>
      </c>
      <c r="H807" s="1" t="s">
        <v>50</v>
      </c>
      <c r="I807" s="1" t="s">
        <v>50</v>
      </c>
      <c r="J807" s="1" t="s">
        <v>50</v>
      </c>
      <c r="K807" s="1" t="s">
        <v>50</v>
      </c>
      <c r="L807" s="1" t="s">
        <v>104</v>
      </c>
      <c r="M807" s="1" t="s">
        <v>104</v>
      </c>
      <c r="N807" s="1" t="s">
        <v>50</v>
      </c>
      <c r="O807" s="1" t="s">
        <v>50</v>
      </c>
      <c r="P807" s="13" t="s">
        <v>811</v>
      </c>
      <c r="Q807" s="1" t="s">
        <v>104</v>
      </c>
      <c r="R807" s="1" t="s">
        <v>104</v>
      </c>
      <c r="S807" s="1" t="s">
        <v>104</v>
      </c>
      <c r="T807" s="1" t="s">
        <v>104</v>
      </c>
      <c r="U807" s="1" t="s">
        <v>104</v>
      </c>
      <c r="V807" s="1" t="s">
        <v>104</v>
      </c>
      <c r="W807" s="1" t="s">
        <v>104</v>
      </c>
      <c r="X807" s="1" t="s">
        <v>729</v>
      </c>
      <c r="Y807" s="1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>
        <v>1</v>
      </c>
      <c r="AT807" s="8"/>
      <c r="AU807" s="8"/>
      <c r="AV807" s="8"/>
      <c r="AW807" s="8"/>
      <c r="AX807" s="8"/>
      <c r="AY807" s="8"/>
      <c r="AZ807" s="8"/>
      <c r="BA807" s="8"/>
      <c r="BB807" s="1"/>
      <c r="BJ807">
        <v>19</v>
      </c>
      <c r="BK807">
        <v>2</v>
      </c>
      <c r="BL807" s="58"/>
      <c r="BP807" t="str">
        <f t="shared" si="29"/>
        <v>BugDark</v>
      </c>
      <c r="BR807">
        <v>5</v>
      </c>
    </row>
    <row r="808" spans="1:70" x14ac:dyDescent="0.25">
      <c r="A808">
        <f t="shared" si="28"/>
        <v>760</v>
      </c>
      <c r="B808" t="s">
        <v>1808</v>
      </c>
      <c r="D808" s="1" t="s">
        <v>14</v>
      </c>
      <c r="E808" s="1" t="s">
        <v>42</v>
      </c>
      <c r="F808" s="1" t="s">
        <v>50</v>
      </c>
      <c r="G808" s="1" t="s">
        <v>50</v>
      </c>
      <c r="H808" s="1" t="s">
        <v>50</v>
      </c>
      <c r="I808" s="1" t="s">
        <v>50</v>
      </c>
      <c r="J808" s="1" t="s">
        <v>50</v>
      </c>
      <c r="K808" s="1" t="s">
        <v>50</v>
      </c>
      <c r="L808" s="1" t="s">
        <v>104</v>
      </c>
      <c r="M808" s="1" t="s">
        <v>104</v>
      </c>
      <c r="N808" s="1" t="s">
        <v>50</v>
      </c>
      <c r="O808" s="1" t="s">
        <v>50</v>
      </c>
      <c r="P808" s="13" t="s">
        <v>811</v>
      </c>
      <c r="Q808" s="1" t="s">
        <v>104</v>
      </c>
      <c r="R808" s="1" t="s">
        <v>104</v>
      </c>
      <c r="S808" s="1" t="s">
        <v>104</v>
      </c>
      <c r="T808" s="1" t="s">
        <v>104</v>
      </c>
      <c r="U808" s="1" t="s">
        <v>104</v>
      </c>
      <c r="V808" s="1" t="s">
        <v>104</v>
      </c>
      <c r="W808" s="1" t="s">
        <v>104</v>
      </c>
      <c r="X808" s="1" t="s">
        <v>1807</v>
      </c>
      <c r="Y808" s="1"/>
      <c r="Z808" s="8">
        <v>1</v>
      </c>
      <c r="AA808" s="8"/>
      <c r="AB808" s="8"/>
      <c r="AC808" s="8"/>
      <c r="AD808" s="8">
        <v>1</v>
      </c>
      <c r="AE808" s="8"/>
      <c r="AF808" s="8"/>
      <c r="AG808" s="8">
        <v>1</v>
      </c>
      <c r="AH808" s="8"/>
      <c r="AI808" s="8"/>
      <c r="AJ808" s="8"/>
      <c r="AK808" s="8"/>
      <c r="AL808" s="8"/>
      <c r="AM808" s="8"/>
      <c r="AN808" s="8"/>
      <c r="AO808" s="8">
        <v>1</v>
      </c>
      <c r="AP808" s="8"/>
      <c r="AQ808" s="8"/>
      <c r="AR808" s="8">
        <v>1</v>
      </c>
      <c r="AS808" s="8"/>
      <c r="AT808" s="8"/>
      <c r="AU808" s="8">
        <v>1</v>
      </c>
      <c r="AV808" s="8"/>
      <c r="AW808" s="8"/>
      <c r="AX808" s="8">
        <v>1</v>
      </c>
      <c r="AY808" s="8">
        <v>1</v>
      </c>
      <c r="AZ808" s="8"/>
      <c r="BA808" s="8"/>
      <c r="BB808" s="1"/>
      <c r="BJ808">
        <v>3</v>
      </c>
      <c r="BL808" s="58"/>
      <c r="BP808" t="str">
        <f t="shared" si="29"/>
        <v>GhostCosmic</v>
      </c>
      <c r="BR808">
        <v>8</v>
      </c>
    </row>
    <row r="809" spans="1:70" x14ac:dyDescent="0.25">
      <c r="A809">
        <f t="shared" ref="A809:A831" si="30">A808+1</f>
        <v>761</v>
      </c>
      <c r="B809" t="s">
        <v>1810</v>
      </c>
      <c r="D809" s="1" t="s">
        <v>1</v>
      </c>
      <c r="E809" s="1">
        <v>0</v>
      </c>
      <c r="F809" s="1" t="s">
        <v>50</v>
      </c>
      <c r="G809" s="1" t="s">
        <v>50</v>
      </c>
      <c r="H809" s="1"/>
      <c r="I809" s="1" t="s">
        <v>50</v>
      </c>
      <c r="J809" s="1" t="s">
        <v>50</v>
      </c>
      <c r="K809" s="1" t="s">
        <v>50</v>
      </c>
      <c r="L809" s="1" t="s">
        <v>1767</v>
      </c>
      <c r="M809" s="1" t="s">
        <v>50</v>
      </c>
      <c r="N809" s="1" t="s">
        <v>50</v>
      </c>
      <c r="O809" s="1" t="s">
        <v>50</v>
      </c>
      <c r="P809" s="13" t="s">
        <v>1813</v>
      </c>
      <c r="Q809" s="1" t="s">
        <v>104</v>
      </c>
      <c r="R809" s="1" t="s">
        <v>104</v>
      </c>
      <c r="S809" s="1" t="s">
        <v>104</v>
      </c>
      <c r="T809" s="1" t="s">
        <v>104</v>
      </c>
      <c r="U809" s="1" t="s">
        <v>104</v>
      </c>
      <c r="V809" s="1" t="s">
        <v>104</v>
      </c>
      <c r="W809" s="1" t="s">
        <v>104</v>
      </c>
      <c r="X809" s="1" t="s">
        <v>727</v>
      </c>
      <c r="Y809" s="1"/>
      <c r="Z809" s="8">
        <v>1</v>
      </c>
      <c r="AA809" s="8">
        <v>1</v>
      </c>
      <c r="AB809" s="8"/>
      <c r="AC809" s="8"/>
      <c r="AD809" s="8"/>
      <c r="AE809" s="8"/>
      <c r="AF809" s="8"/>
      <c r="AG809" s="8"/>
      <c r="AH809" s="8"/>
      <c r="AI809" s="8">
        <v>1</v>
      </c>
      <c r="AJ809" s="8">
        <v>1</v>
      </c>
      <c r="AK809" s="8"/>
      <c r="AL809" s="8"/>
      <c r="AM809" s="8"/>
      <c r="AN809" s="8"/>
      <c r="AO809" s="8">
        <v>1</v>
      </c>
      <c r="AP809" s="8"/>
      <c r="AQ809" s="8"/>
      <c r="AR809" s="8">
        <v>1</v>
      </c>
      <c r="AS809" s="8"/>
      <c r="AT809" s="8"/>
      <c r="AU809" s="8"/>
      <c r="AV809" s="8"/>
      <c r="AW809" s="8"/>
      <c r="AX809" s="8"/>
      <c r="AY809" s="8"/>
      <c r="AZ809" s="8"/>
      <c r="BA809" s="8"/>
      <c r="BB809" s="1"/>
      <c r="BL809" s="58"/>
      <c r="BP809" t="str">
        <f t="shared" si="29"/>
        <v>Normal0</v>
      </c>
      <c r="BQ809" t="s">
        <v>2</v>
      </c>
      <c r="BR809">
        <v>8</v>
      </c>
    </row>
    <row r="810" spans="1:70" x14ac:dyDescent="0.25">
      <c r="A810">
        <f t="shared" si="30"/>
        <v>762</v>
      </c>
      <c r="B810" t="s">
        <v>1811</v>
      </c>
      <c r="D810" s="1" t="s">
        <v>1</v>
      </c>
      <c r="E810" s="1">
        <v>0</v>
      </c>
      <c r="F810" s="1" t="s">
        <v>50</v>
      </c>
      <c r="G810" s="1" t="s">
        <v>50</v>
      </c>
      <c r="H810" s="1"/>
      <c r="I810" s="1" t="s">
        <v>50</v>
      </c>
      <c r="J810" s="1" t="s">
        <v>50</v>
      </c>
      <c r="K810" s="1" t="s">
        <v>50</v>
      </c>
      <c r="L810" s="1" t="s">
        <v>104</v>
      </c>
      <c r="M810" s="1" t="s">
        <v>104</v>
      </c>
      <c r="N810" s="1" t="s">
        <v>50</v>
      </c>
      <c r="O810" s="1" t="s">
        <v>50</v>
      </c>
      <c r="P810" s="13" t="s">
        <v>1813</v>
      </c>
      <c r="Q810" s="1" t="s">
        <v>104</v>
      </c>
      <c r="R810" s="1" t="s">
        <v>104</v>
      </c>
      <c r="S810" s="1" t="s">
        <v>104</v>
      </c>
      <c r="T810" s="1" t="s">
        <v>104</v>
      </c>
      <c r="U810" s="1" t="s">
        <v>104</v>
      </c>
      <c r="V810" s="1" t="s">
        <v>104</v>
      </c>
      <c r="W810" s="1" t="s">
        <v>104</v>
      </c>
      <c r="X810" s="1" t="s">
        <v>727</v>
      </c>
      <c r="Y810" s="1"/>
      <c r="Z810" s="8">
        <v>1</v>
      </c>
      <c r="AA810" s="8">
        <v>1</v>
      </c>
      <c r="AB810" s="8"/>
      <c r="AC810" s="8"/>
      <c r="AD810" s="8"/>
      <c r="AE810" s="8"/>
      <c r="AF810" s="8"/>
      <c r="AG810" s="8"/>
      <c r="AH810" s="8"/>
      <c r="AI810" s="8">
        <v>1</v>
      </c>
      <c r="AJ810" s="8">
        <v>1</v>
      </c>
      <c r="AK810" s="8"/>
      <c r="AL810" s="8"/>
      <c r="AM810" s="8"/>
      <c r="AN810" s="8"/>
      <c r="AO810" s="8">
        <v>1</v>
      </c>
      <c r="AP810" s="8"/>
      <c r="AQ810" s="8"/>
      <c r="AR810" s="8">
        <v>1</v>
      </c>
      <c r="AS810" s="8"/>
      <c r="AT810" s="8"/>
      <c r="AU810" s="8"/>
      <c r="AV810" s="8"/>
      <c r="AW810" s="8"/>
      <c r="AX810" s="8"/>
      <c r="AY810" s="8"/>
      <c r="AZ810" s="8"/>
      <c r="BA810" s="8"/>
      <c r="BB810" s="1"/>
      <c r="BL810" s="58"/>
      <c r="BP810" t="str">
        <f t="shared" si="29"/>
        <v>Normal0</v>
      </c>
      <c r="BQ810" t="s">
        <v>2</v>
      </c>
      <c r="BR810">
        <v>8</v>
      </c>
    </row>
    <row r="811" spans="1:70" x14ac:dyDescent="0.25">
      <c r="A811">
        <f t="shared" si="30"/>
        <v>763</v>
      </c>
      <c r="B811" t="s">
        <v>1812</v>
      </c>
      <c r="D811" s="1" t="s">
        <v>1</v>
      </c>
      <c r="E811" s="1">
        <v>0</v>
      </c>
      <c r="F811" s="1" t="s">
        <v>50</v>
      </c>
      <c r="G811" s="1" t="s">
        <v>50</v>
      </c>
      <c r="H811" s="1" t="s">
        <v>50</v>
      </c>
      <c r="I811" s="1" t="s">
        <v>50</v>
      </c>
      <c r="J811" s="1" t="s">
        <v>50</v>
      </c>
      <c r="K811" s="1" t="s">
        <v>50</v>
      </c>
      <c r="L811" s="1" t="s">
        <v>104</v>
      </c>
      <c r="M811" s="1" t="s">
        <v>104</v>
      </c>
      <c r="N811" s="1" t="s">
        <v>50</v>
      </c>
      <c r="O811" s="1" t="s">
        <v>50</v>
      </c>
      <c r="P811" s="13" t="s">
        <v>1813</v>
      </c>
      <c r="Q811" s="1" t="s">
        <v>104</v>
      </c>
      <c r="R811" s="1" t="s">
        <v>104</v>
      </c>
      <c r="S811" s="1" t="s">
        <v>104</v>
      </c>
      <c r="T811" s="1" t="s">
        <v>104</v>
      </c>
      <c r="U811" s="1" t="s">
        <v>104</v>
      </c>
      <c r="V811" s="1" t="s">
        <v>104</v>
      </c>
      <c r="W811" s="1" t="s">
        <v>104</v>
      </c>
      <c r="X811" s="1" t="s">
        <v>727</v>
      </c>
      <c r="Y811" s="1"/>
      <c r="Z811" s="8">
        <v>1</v>
      </c>
      <c r="AA811" s="8">
        <v>1</v>
      </c>
      <c r="AB811" s="8"/>
      <c r="AC811" s="8"/>
      <c r="AD811" s="8"/>
      <c r="AE811" s="8"/>
      <c r="AF811" s="8"/>
      <c r="AG811" s="8"/>
      <c r="AH811" s="8"/>
      <c r="AI811" s="8">
        <v>1</v>
      </c>
      <c r="AJ811" s="8">
        <v>1</v>
      </c>
      <c r="AK811" s="8"/>
      <c r="AL811" s="8"/>
      <c r="AM811" s="8"/>
      <c r="AN811" s="8"/>
      <c r="AO811" s="8">
        <v>1</v>
      </c>
      <c r="AP811" s="8"/>
      <c r="AQ811" s="8"/>
      <c r="AR811" s="8">
        <v>1</v>
      </c>
      <c r="AS811" s="8"/>
      <c r="AT811" s="8"/>
      <c r="AU811" s="8"/>
      <c r="AV811" s="8"/>
      <c r="AW811" s="8"/>
      <c r="AX811" s="8"/>
      <c r="AY811" s="8"/>
      <c r="AZ811" s="8"/>
      <c r="BA811" s="8"/>
      <c r="BB811" s="1"/>
      <c r="BJ811">
        <v>5</v>
      </c>
      <c r="BK811">
        <v>2</v>
      </c>
      <c r="BL811" s="58"/>
      <c r="BP811" t="str">
        <f t="shared" si="29"/>
        <v>Normal0</v>
      </c>
      <c r="BR811">
        <v>8</v>
      </c>
    </row>
    <row r="812" spans="1:70" x14ac:dyDescent="0.25">
      <c r="A812">
        <f t="shared" si="30"/>
        <v>764</v>
      </c>
      <c r="B812" t="s">
        <v>1815</v>
      </c>
      <c r="D812" s="1" t="s">
        <v>11</v>
      </c>
      <c r="E812" s="1" t="s">
        <v>9</v>
      </c>
      <c r="F812" s="1" t="s">
        <v>50</v>
      </c>
      <c r="G812" s="1" t="s">
        <v>50</v>
      </c>
      <c r="H812" s="1"/>
      <c r="I812" s="1" t="s">
        <v>50</v>
      </c>
      <c r="J812" s="1" t="s">
        <v>50</v>
      </c>
      <c r="K812" s="1" t="s">
        <v>50</v>
      </c>
      <c r="L812" s="1" t="s">
        <v>104</v>
      </c>
      <c r="M812" s="1" t="s">
        <v>50</v>
      </c>
      <c r="N812" s="1" t="s">
        <v>50</v>
      </c>
      <c r="O812" s="1" t="s">
        <v>50</v>
      </c>
      <c r="P812" s="13" t="s">
        <v>1814</v>
      </c>
      <c r="Q812" s="1" t="s">
        <v>104</v>
      </c>
      <c r="R812" s="1" t="s">
        <v>104</v>
      </c>
      <c r="S812" s="1" t="s">
        <v>104</v>
      </c>
      <c r="T812" s="1" t="s">
        <v>104</v>
      </c>
      <c r="U812" s="1" t="s">
        <v>104</v>
      </c>
      <c r="V812" s="1" t="s">
        <v>104</v>
      </c>
      <c r="W812" s="1" t="s">
        <v>104</v>
      </c>
      <c r="X812" s="1" t="s">
        <v>726</v>
      </c>
      <c r="Y812" s="1"/>
      <c r="Z812" s="8"/>
      <c r="AA812" s="8"/>
      <c r="AB812" s="8">
        <v>1</v>
      </c>
      <c r="AC812" s="8">
        <v>1</v>
      </c>
      <c r="AD812" s="8"/>
      <c r="AE812" s="8">
        <v>1</v>
      </c>
      <c r="AF812" s="8"/>
      <c r="AG812" s="8"/>
      <c r="AH812" s="8"/>
      <c r="AI812" s="8">
        <v>1</v>
      </c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>
        <v>1</v>
      </c>
      <c r="AU812" s="8"/>
      <c r="AV812" s="8"/>
      <c r="AW812" s="8"/>
      <c r="AX812" s="8"/>
      <c r="AY812" s="8"/>
      <c r="AZ812" s="8">
        <v>1</v>
      </c>
      <c r="BA812" s="8"/>
      <c r="BB812" s="1"/>
      <c r="BL812" s="58"/>
      <c r="BP812" t="str">
        <f t="shared" si="29"/>
        <v>GrassRock</v>
      </c>
      <c r="BQ812" t="s">
        <v>2</v>
      </c>
      <c r="BR812">
        <v>9</v>
      </c>
    </row>
    <row r="813" spans="1:70" x14ac:dyDescent="0.25">
      <c r="A813">
        <f t="shared" si="30"/>
        <v>765</v>
      </c>
      <c r="B813" t="s">
        <v>1816</v>
      </c>
      <c r="D813" s="1" t="s">
        <v>11</v>
      </c>
      <c r="E813" s="1" t="s">
        <v>9</v>
      </c>
      <c r="F813" s="1" t="s">
        <v>50</v>
      </c>
      <c r="G813" s="1" t="s">
        <v>50</v>
      </c>
      <c r="H813" s="1"/>
      <c r="I813" s="1" t="s">
        <v>50</v>
      </c>
      <c r="J813" s="1" t="s">
        <v>50</v>
      </c>
      <c r="K813" s="1" t="s">
        <v>50</v>
      </c>
      <c r="L813" s="1" t="s">
        <v>104</v>
      </c>
      <c r="M813" s="1" t="s">
        <v>104</v>
      </c>
      <c r="N813" s="1" t="s">
        <v>50</v>
      </c>
      <c r="O813" s="1" t="s">
        <v>50</v>
      </c>
      <c r="P813" s="13" t="s">
        <v>1814</v>
      </c>
      <c r="Q813" s="1" t="s">
        <v>104</v>
      </c>
      <c r="R813" s="1" t="s">
        <v>104</v>
      </c>
      <c r="S813" s="1" t="s">
        <v>104</v>
      </c>
      <c r="T813" s="1" t="s">
        <v>104</v>
      </c>
      <c r="U813" s="1" t="s">
        <v>104</v>
      </c>
      <c r="V813" s="1" t="s">
        <v>104</v>
      </c>
      <c r="W813" s="1" t="s">
        <v>104</v>
      </c>
      <c r="X813" s="1" t="s">
        <v>726</v>
      </c>
      <c r="Y813" s="1"/>
      <c r="Z813" s="8"/>
      <c r="AA813" s="8"/>
      <c r="AB813" s="8">
        <v>1</v>
      </c>
      <c r="AC813" s="8">
        <v>1</v>
      </c>
      <c r="AD813" s="8"/>
      <c r="AE813" s="8">
        <v>1</v>
      </c>
      <c r="AF813" s="8"/>
      <c r="AG813" s="8"/>
      <c r="AH813" s="8"/>
      <c r="AI813" s="8">
        <v>1</v>
      </c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>
        <v>1</v>
      </c>
      <c r="AU813" s="8"/>
      <c r="AV813" s="8"/>
      <c r="AW813" s="8"/>
      <c r="AX813" s="8"/>
      <c r="AY813" s="8"/>
      <c r="AZ813" s="8">
        <v>1</v>
      </c>
      <c r="BA813" s="8"/>
      <c r="BB813" s="1"/>
      <c r="BL813" s="58"/>
      <c r="BP813" t="str">
        <f t="shared" si="29"/>
        <v>GrassRock</v>
      </c>
      <c r="BQ813" t="s">
        <v>2</v>
      </c>
      <c r="BR813">
        <v>9</v>
      </c>
    </row>
    <row r="814" spans="1:70" x14ac:dyDescent="0.25">
      <c r="A814">
        <f t="shared" si="30"/>
        <v>766</v>
      </c>
      <c r="B814" t="s">
        <v>1817</v>
      </c>
      <c r="D814" s="1" t="s">
        <v>11</v>
      </c>
      <c r="E814" s="1" t="s">
        <v>9</v>
      </c>
      <c r="F814" s="1" t="s">
        <v>50</v>
      </c>
      <c r="G814" s="1" t="s">
        <v>50</v>
      </c>
      <c r="H814" s="1" t="s">
        <v>50</v>
      </c>
      <c r="I814" s="1" t="s">
        <v>50</v>
      </c>
      <c r="J814" s="1" t="s">
        <v>50</v>
      </c>
      <c r="K814" s="1" t="s">
        <v>50</v>
      </c>
      <c r="L814" s="1" t="s">
        <v>104</v>
      </c>
      <c r="M814" s="1" t="s">
        <v>104</v>
      </c>
      <c r="N814" s="1" t="s">
        <v>50</v>
      </c>
      <c r="O814" s="1" t="s">
        <v>50</v>
      </c>
      <c r="P814" s="13" t="s">
        <v>1814</v>
      </c>
      <c r="Q814" s="1" t="s">
        <v>104</v>
      </c>
      <c r="R814" s="1" t="s">
        <v>104</v>
      </c>
      <c r="S814" s="1" t="s">
        <v>104</v>
      </c>
      <c r="T814" s="1" t="s">
        <v>104</v>
      </c>
      <c r="U814" s="1" t="s">
        <v>104</v>
      </c>
      <c r="V814" s="1" t="s">
        <v>104</v>
      </c>
      <c r="W814" s="1" t="s">
        <v>104</v>
      </c>
      <c r="X814" s="1" t="s">
        <v>726</v>
      </c>
      <c r="Y814" s="1"/>
      <c r="Z814" s="8"/>
      <c r="AA814" s="8"/>
      <c r="AB814" s="8">
        <v>1</v>
      </c>
      <c r="AC814" s="8">
        <v>1</v>
      </c>
      <c r="AD814" s="8"/>
      <c r="AE814" s="8">
        <v>1</v>
      </c>
      <c r="AF814" s="8"/>
      <c r="AG814" s="8"/>
      <c r="AH814" s="8"/>
      <c r="AI814" s="8">
        <v>1</v>
      </c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>
        <v>1</v>
      </c>
      <c r="AU814" s="8"/>
      <c r="AV814" s="8"/>
      <c r="AW814" s="8"/>
      <c r="AX814" s="8"/>
      <c r="AY814" s="8"/>
      <c r="AZ814" s="8">
        <v>1</v>
      </c>
      <c r="BA814" s="8"/>
      <c r="BB814" s="1"/>
      <c r="BJ814">
        <v>5</v>
      </c>
      <c r="BK814">
        <v>3</v>
      </c>
      <c r="BL814" s="58"/>
      <c r="BP814" t="str">
        <f t="shared" si="29"/>
        <v>GrassRock</v>
      </c>
      <c r="BR814">
        <v>9</v>
      </c>
    </row>
    <row r="815" spans="1:70" x14ac:dyDescent="0.25">
      <c r="A815">
        <f t="shared" si="30"/>
        <v>767</v>
      </c>
      <c r="B815" t="s">
        <v>1818</v>
      </c>
      <c r="D815" s="1" t="s">
        <v>14</v>
      </c>
      <c r="E815" s="1" t="s">
        <v>12</v>
      </c>
      <c r="F815" s="1" t="s">
        <v>50</v>
      </c>
      <c r="G815" s="1" t="s">
        <v>50</v>
      </c>
      <c r="H815" s="1"/>
      <c r="I815" s="1" t="s">
        <v>50</v>
      </c>
      <c r="J815" s="1" t="s">
        <v>50</v>
      </c>
      <c r="K815" s="1" t="s">
        <v>50</v>
      </c>
      <c r="L815" s="1" t="s">
        <v>104</v>
      </c>
      <c r="M815" s="1" t="s">
        <v>50</v>
      </c>
      <c r="N815" s="1" t="s">
        <v>50</v>
      </c>
      <c r="O815" s="1" t="s">
        <v>50</v>
      </c>
      <c r="P815" s="13" t="s">
        <v>2423</v>
      </c>
      <c r="Q815" s="1" t="s">
        <v>104</v>
      </c>
      <c r="R815" s="1" t="s">
        <v>104</v>
      </c>
      <c r="S815" s="1" t="s">
        <v>104</v>
      </c>
      <c r="T815" s="1" t="s">
        <v>104</v>
      </c>
      <c r="U815" s="1" t="s">
        <v>104</v>
      </c>
      <c r="V815" s="1" t="s">
        <v>104</v>
      </c>
      <c r="W815" s="1" t="s">
        <v>104</v>
      </c>
      <c r="X815" s="1" t="s">
        <v>1848</v>
      </c>
      <c r="Y815" s="1"/>
      <c r="Z815" s="8"/>
      <c r="AA815" s="8"/>
      <c r="AB815" s="8"/>
      <c r="AC815" s="8"/>
      <c r="AD815" s="8"/>
      <c r="AE815" s="8"/>
      <c r="AF815" s="8"/>
      <c r="AG815" s="8"/>
      <c r="AH815" s="8">
        <v>1</v>
      </c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>
        <v>1</v>
      </c>
      <c r="AV815" s="8"/>
      <c r="AW815" s="8"/>
      <c r="AX815" s="8">
        <v>1</v>
      </c>
      <c r="AY815" s="8">
        <v>1</v>
      </c>
      <c r="AZ815" s="8"/>
      <c r="BA815" s="8"/>
      <c r="BB815" s="1"/>
      <c r="BL815" s="58"/>
      <c r="BP815" t="str">
        <f t="shared" si="29"/>
        <v>GhostDragon</v>
      </c>
      <c r="BQ815" t="s">
        <v>2</v>
      </c>
      <c r="BR815">
        <v>9</v>
      </c>
    </row>
    <row r="816" spans="1:70" x14ac:dyDescent="0.25">
      <c r="A816">
        <f t="shared" si="30"/>
        <v>768</v>
      </c>
      <c r="B816" t="s">
        <v>1819</v>
      </c>
      <c r="D816" s="1" t="s">
        <v>14</v>
      </c>
      <c r="E816" s="1" t="s">
        <v>12</v>
      </c>
      <c r="F816" s="1" t="s">
        <v>50</v>
      </c>
      <c r="G816" s="1" t="s">
        <v>50</v>
      </c>
      <c r="H816" s="1"/>
      <c r="I816" s="1" t="s">
        <v>50</v>
      </c>
      <c r="J816" s="1" t="s">
        <v>50</v>
      </c>
      <c r="K816" s="1" t="s">
        <v>50</v>
      </c>
      <c r="L816" s="1" t="s">
        <v>104</v>
      </c>
      <c r="M816" s="1" t="s">
        <v>104</v>
      </c>
      <c r="N816" s="1" t="s">
        <v>50</v>
      </c>
      <c r="O816" s="1" t="s">
        <v>50</v>
      </c>
      <c r="P816" s="13" t="s">
        <v>2423</v>
      </c>
      <c r="Q816" s="1" t="s">
        <v>104</v>
      </c>
      <c r="R816" s="1" t="s">
        <v>104</v>
      </c>
      <c r="S816" s="1" t="s">
        <v>104</v>
      </c>
      <c r="T816" s="1" t="s">
        <v>104</v>
      </c>
      <c r="U816" s="1" t="s">
        <v>104</v>
      </c>
      <c r="V816" s="1" t="s">
        <v>104</v>
      </c>
      <c r="W816" s="1" t="s">
        <v>104</v>
      </c>
      <c r="X816" s="1" t="s">
        <v>1848</v>
      </c>
      <c r="Y816" s="1"/>
      <c r="Z816" s="8"/>
      <c r="AA816" s="8"/>
      <c r="AB816" s="8"/>
      <c r="AC816" s="8"/>
      <c r="AD816" s="8"/>
      <c r="AE816" s="8"/>
      <c r="AF816" s="8"/>
      <c r="AG816" s="8"/>
      <c r="AH816" s="8">
        <v>1</v>
      </c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>
        <v>1</v>
      </c>
      <c r="AV816" s="8"/>
      <c r="AW816" s="8"/>
      <c r="AX816" s="8">
        <v>1</v>
      </c>
      <c r="AY816" s="8">
        <v>1</v>
      </c>
      <c r="AZ816" s="8"/>
      <c r="BA816" s="8"/>
      <c r="BB816" s="1"/>
      <c r="BL816" s="58"/>
      <c r="BP816" t="str">
        <f t="shared" si="29"/>
        <v>GhostDragon</v>
      </c>
      <c r="BQ816" t="s">
        <v>2</v>
      </c>
      <c r="BR816">
        <v>9</v>
      </c>
    </row>
    <row r="817" spans="1:70" x14ac:dyDescent="0.25">
      <c r="A817">
        <f t="shared" si="30"/>
        <v>769</v>
      </c>
      <c r="B817" t="s">
        <v>1820</v>
      </c>
      <c r="D817" s="1" t="s">
        <v>14</v>
      </c>
      <c r="E817" s="1" t="s">
        <v>12</v>
      </c>
      <c r="F817" s="1" t="s">
        <v>50</v>
      </c>
      <c r="G817" s="1" t="s">
        <v>50</v>
      </c>
      <c r="H817" s="1" t="s">
        <v>50</v>
      </c>
      <c r="I817" s="1" t="s">
        <v>50</v>
      </c>
      <c r="J817" s="1" t="s">
        <v>50</v>
      </c>
      <c r="K817" s="1" t="s">
        <v>50</v>
      </c>
      <c r="L817" s="1" t="s">
        <v>104</v>
      </c>
      <c r="M817" s="1" t="s">
        <v>104</v>
      </c>
      <c r="N817" s="1" t="s">
        <v>50</v>
      </c>
      <c r="O817" s="1" t="s">
        <v>50</v>
      </c>
      <c r="P817" s="13" t="s">
        <v>2423</v>
      </c>
      <c r="Q817" s="1" t="s">
        <v>104</v>
      </c>
      <c r="R817" s="1" t="s">
        <v>104</v>
      </c>
      <c r="S817" s="1" t="s">
        <v>104</v>
      </c>
      <c r="T817" s="1" t="s">
        <v>104</v>
      </c>
      <c r="U817" s="1" t="s">
        <v>104</v>
      </c>
      <c r="V817" s="1" t="s">
        <v>104</v>
      </c>
      <c r="W817" s="1" t="s">
        <v>104</v>
      </c>
      <c r="X817" s="1" t="s">
        <v>1848</v>
      </c>
      <c r="Y817" s="1"/>
      <c r="Z817" s="8"/>
      <c r="AA817" s="8"/>
      <c r="AB817" s="8"/>
      <c r="AC817" s="8"/>
      <c r="AD817" s="8"/>
      <c r="AE817" s="8"/>
      <c r="AF817" s="8"/>
      <c r="AG817" s="8"/>
      <c r="AH817" s="8">
        <v>1</v>
      </c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>
        <v>1</v>
      </c>
      <c r="AV817" s="8"/>
      <c r="AW817" s="8"/>
      <c r="AX817" s="8">
        <v>1</v>
      </c>
      <c r="AY817" s="8">
        <v>1</v>
      </c>
      <c r="AZ817" s="8"/>
      <c r="BA817" s="8"/>
      <c r="BB817" s="1"/>
      <c r="BJ817">
        <v>14</v>
      </c>
      <c r="BK817">
        <v>1</v>
      </c>
      <c r="BL817" s="58"/>
      <c r="BP817" t="str">
        <f t="shared" si="29"/>
        <v>GhostDragon</v>
      </c>
      <c r="BR817">
        <v>9</v>
      </c>
    </row>
    <row r="818" spans="1:70" x14ac:dyDescent="0.25">
      <c r="A818">
        <f t="shared" si="30"/>
        <v>770</v>
      </c>
      <c r="B818" t="s">
        <v>1821</v>
      </c>
      <c r="D818" s="1" t="s">
        <v>13</v>
      </c>
      <c r="E818" s="1">
        <v>0</v>
      </c>
      <c r="F818" s="1" t="s">
        <v>50</v>
      </c>
      <c r="G818" s="1" t="s">
        <v>50</v>
      </c>
      <c r="H818" s="1"/>
      <c r="I818" s="1" t="s">
        <v>50</v>
      </c>
      <c r="J818" s="1" t="s">
        <v>50</v>
      </c>
      <c r="K818" s="1" t="s">
        <v>50</v>
      </c>
      <c r="L818" s="1" t="s">
        <v>50</v>
      </c>
      <c r="M818" s="1" t="s">
        <v>50</v>
      </c>
      <c r="N818" s="1" t="s">
        <v>50</v>
      </c>
      <c r="O818" s="1" t="s">
        <v>50</v>
      </c>
      <c r="P818" s="13" t="s">
        <v>1727</v>
      </c>
      <c r="Q818" s="1" t="s">
        <v>104</v>
      </c>
      <c r="R818" s="1" t="s">
        <v>104</v>
      </c>
      <c r="S818" s="1" t="s">
        <v>104</v>
      </c>
      <c r="T818" s="1" t="s">
        <v>104</v>
      </c>
      <c r="U818" s="1" t="s">
        <v>104</v>
      </c>
      <c r="V818" s="1" t="s">
        <v>104</v>
      </c>
      <c r="W818" s="1" t="s">
        <v>104</v>
      </c>
      <c r="X818" s="1" t="s">
        <v>726</v>
      </c>
      <c r="Y818" s="1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>
        <v>1</v>
      </c>
      <c r="AW818" s="8">
        <v>1</v>
      </c>
      <c r="AX818" s="8"/>
      <c r="AY818" s="8"/>
      <c r="AZ818" s="8"/>
      <c r="BA818" s="8"/>
      <c r="BB818" s="1"/>
      <c r="BL818" s="58"/>
      <c r="BP818" t="str">
        <f t="shared" si="29"/>
        <v>Fire0</v>
      </c>
      <c r="BQ818" t="s">
        <v>2</v>
      </c>
      <c r="BR818">
        <v>3</v>
      </c>
    </row>
    <row r="819" spans="1:70" x14ac:dyDescent="0.25">
      <c r="A819">
        <f t="shared" si="30"/>
        <v>771</v>
      </c>
      <c r="B819" t="s">
        <v>1822</v>
      </c>
      <c r="D819" s="1" t="s">
        <v>13</v>
      </c>
      <c r="E819" s="1" t="s">
        <v>12</v>
      </c>
      <c r="F819" s="1" t="s">
        <v>50</v>
      </c>
      <c r="G819" s="1" t="s">
        <v>50</v>
      </c>
      <c r="H819" s="1" t="s">
        <v>50</v>
      </c>
      <c r="I819" s="1" t="s">
        <v>50</v>
      </c>
      <c r="J819" s="1" t="s">
        <v>50</v>
      </c>
      <c r="K819" s="1" t="s">
        <v>50</v>
      </c>
      <c r="L819" s="1" t="s">
        <v>104</v>
      </c>
      <c r="M819" s="1" t="s">
        <v>104</v>
      </c>
      <c r="N819" s="1" t="s">
        <v>50</v>
      </c>
      <c r="O819" s="1" t="s">
        <v>50</v>
      </c>
      <c r="P819" s="13" t="s">
        <v>1727</v>
      </c>
      <c r="Q819" s="1" t="s">
        <v>104</v>
      </c>
      <c r="R819" s="1" t="s">
        <v>104</v>
      </c>
      <c r="S819" s="1" t="s">
        <v>104</v>
      </c>
      <c r="T819" s="1" t="s">
        <v>104</v>
      </c>
      <c r="U819" s="1" t="s">
        <v>104</v>
      </c>
      <c r="V819" s="1" t="s">
        <v>104</v>
      </c>
      <c r="W819" s="1" t="s">
        <v>104</v>
      </c>
      <c r="X819" s="1" t="s">
        <v>726</v>
      </c>
      <c r="Y819" s="1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>
        <v>1</v>
      </c>
      <c r="AW819" s="8">
        <v>1</v>
      </c>
      <c r="AX819" s="8"/>
      <c r="AY819" s="8"/>
      <c r="AZ819" s="8"/>
      <c r="BA819" s="8"/>
      <c r="BB819" s="1"/>
      <c r="BJ819">
        <v>21</v>
      </c>
      <c r="BK819">
        <v>4</v>
      </c>
      <c r="BL819" s="58"/>
      <c r="BP819" t="str">
        <f t="shared" si="29"/>
        <v>FireDragon</v>
      </c>
      <c r="BR819">
        <v>3</v>
      </c>
    </row>
    <row r="820" spans="1:70" x14ac:dyDescent="0.25">
      <c r="A820">
        <f t="shared" si="30"/>
        <v>772</v>
      </c>
      <c r="B820" t="s">
        <v>1823</v>
      </c>
      <c r="D820" s="1" t="s">
        <v>18</v>
      </c>
      <c r="E820" s="1" t="s">
        <v>11</v>
      </c>
      <c r="F820" s="1" t="s">
        <v>50</v>
      </c>
      <c r="G820" s="1" t="s">
        <v>50</v>
      </c>
      <c r="H820" s="1" t="s">
        <v>50</v>
      </c>
      <c r="I820" s="1" t="s">
        <v>50</v>
      </c>
      <c r="J820" s="1" t="s">
        <v>50</v>
      </c>
      <c r="K820" s="1" t="s">
        <v>50</v>
      </c>
      <c r="L820" s="1" t="s">
        <v>104</v>
      </c>
      <c r="M820" s="1" t="s">
        <v>104</v>
      </c>
      <c r="N820" s="1" t="s">
        <v>50</v>
      </c>
      <c r="O820" s="1" t="s">
        <v>50</v>
      </c>
      <c r="P820" s="13" t="s">
        <v>1714</v>
      </c>
      <c r="Q820" s="1" t="s">
        <v>104</v>
      </c>
      <c r="R820" s="1" t="s">
        <v>104</v>
      </c>
      <c r="S820" s="1" t="s">
        <v>104</v>
      </c>
      <c r="T820" s="1" t="s">
        <v>104</v>
      </c>
      <c r="U820" s="1" t="s">
        <v>104</v>
      </c>
      <c r="V820" s="1" t="s">
        <v>104</v>
      </c>
      <c r="W820" s="1" t="s">
        <v>104</v>
      </c>
      <c r="X820" s="1" t="s">
        <v>1715</v>
      </c>
      <c r="Y820" s="1"/>
      <c r="Z820" s="8"/>
      <c r="AA820" s="8">
        <v>1</v>
      </c>
      <c r="AB820" s="8">
        <v>1</v>
      </c>
      <c r="AC820" s="8">
        <v>1</v>
      </c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>
        <v>1</v>
      </c>
      <c r="BA820" s="8"/>
      <c r="BB820" s="1"/>
      <c r="BJ820">
        <v>3</v>
      </c>
      <c r="BL820" s="58"/>
      <c r="BP820" t="str">
        <f t="shared" si="29"/>
        <v>FightingGrass</v>
      </c>
      <c r="BR820">
        <v>3</v>
      </c>
    </row>
    <row r="821" spans="1:70" x14ac:dyDescent="0.25">
      <c r="A821">
        <f t="shared" si="30"/>
        <v>773</v>
      </c>
      <c r="B821" t="s">
        <v>1824</v>
      </c>
      <c r="D821" s="1" t="s">
        <v>9</v>
      </c>
      <c r="E821" s="1" t="s">
        <v>18</v>
      </c>
      <c r="F821" s="1" t="s">
        <v>50</v>
      </c>
      <c r="G821" s="1" t="s">
        <v>50</v>
      </c>
      <c r="H821" s="1" t="s">
        <v>50</v>
      </c>
      <c r="I821" s="1" t="s">
        <v>50</v>
      </c>
      <c r="J821" s="1" t="s">
        <v>50</v>
      </c>
      <c r="K821" s="1" t="s">
        <v>50</v>
      </c>
      <c r="L821" s="1" t="s">
        <v>104</v>
      </c>
      <c r="M821" s="1" t="s">
        <v>50</v>
      </c>
      <c r="N821" s="1" t="s">
        <v>50</v>
      </c>
      <c r="O821" s="1" t="s">
        <v>50</v>
      </c>
      <c r="P821" s="13" t="s">
        <v>1814</v>
      </c>
      <c r="Q821" s="1" t="s">
        <v>104</v>
      </c>
      <c r="R821" s="1" t="s">
        <v>104</v>
      </c>
      <c r="S821" s="1" t="s">
        <v>104</v>
      </c>
      <c r="T821" s="1" t="s">
        <v>104</v>
      </c>
      <c r="U821" s="1" t="s">
        <v>104</v>
      </c>
      <c r="V821" s="1" t="s">
        <v>104</v>
      </c>
      <c r="W821" s="1" t="s">
        <v>104</v>
      </c>
      <c r="X821" s="1" t="s">
        <v>726</v>
      </c>
      <c r="Y821" s="1"/>
      <c r="Z821" s="8"/>
      <c r="AA821" s="8"/>
      <c r="AB821" s="8"/>
      <c r="AC821" s="8"/>
      <c r="AD821" s="8">
        <v>1</v>
      </c>
      <c r="AE821" s="8"/>
      <c r="AF821" s="8">
        <v>1</v>
      </c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>
        <v>1</v>
      </c>
      <c r="AY821" s="8">
        <v>1</v>
      </c>
      <c r="AZ821" s="8"/>
      <c r="BA821" s="8"/>
      <c r="BB821" s="1"/>
      <c r="BJ821">
        <v>8</v>
      </c>
      <c r="BK821">
        <v>2</v>
      </c>
      <c r="BL821" s="58">
        <v>1</v>
      </c>
      <c r="BP821" t="str">
        <f t="shared" si="29"/>
        <v>RockFighting</v>
      </c>
      <c r="BR821">
        <v>2</v>
      </c>
    </row>
    <row r="822" spans="1:70" x14ac:dyDescent="0.25">
      <c r="A822">
        <f t="shared" si="30"/>
        <v>774</v>
      </c>
      <c r="B822" t="s">
        <v>1825</v>
      </c>
      <c r="D822" s="1" t="s">
        <v>7</v>
      </c>
      <c r="E822" s="1" t="s">
        <v>13</v>
      </c>
      <c r="F822" s="1" t="s">
        <v>50</v>
      </c>
      <c r="G822" s="1" t="s">
        <v>50</v>
      </c>
      <c r="H822" s="1"/>
      <c r="I822" s="1" t="s">
        <v>50</v>
      </c>
      <c r="J822" s="1" t="s">
        <v>50</v>
      </c>
      <c r="K822" s="1" t="s">
        <v>50</v>
      </c>
      <c r="L822" s="1" t="s">
        <v>1767</v>
      </c>
      <c r="M822" s="1" t="s">
        <v>50</v>
      </c>
      <c r="N822" s="1" t="s">
        <v>50</v>
      </c>
      <c r="O822" s="1" t="s">
        <v>50</v>
      </c>
      <c r="P822" s="13" t="s">
        <v>1814</v>
      </c>
      <c r="Q822" s="1" t="s">
        <v>104</v>
      </c>
      <c r="R822" s="1" t="s">
        <v>104</v>
      </c>
      <c r="S822" s="1" t="s">
        <v>104</v>
      </c>
      <c r="T822" s="1" t="s">
        <v>104</v>
      </c>
      <c r="U822" s="1" t="s">
        <v>104</v>
      </c>
      <c r="V822" s="1" t="s">
        <v>104</v>
      </c>
      <c r="W822" s="1" t="s">
        <v>104</v>
      </c>
      <c r="X822" s="1" t="s">
        <v>726</v>
      </c>
      <c r="Y822" s="1"/>
      <c r="Z822" s="8"/>
      <c r="AA822" s="8"/>
      <c r="AB822" s="8"/>
      <c r="AC822" s="8"/>
      <c r="AD822" s="8"/>
      <c r="AE822" s="8"/>
      <c r="AF822" s="8"/>
      <c r="AG822" s="8"/>
      <c r="AH822" s="8"/>
      <c r="AI822" s="8">
        <v>1</v>
      </c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>
        <v>1</v>
      </c>
      <c r="AY822" s="8">
        <v>1</v>
      </c>
      <c r="AZ822" s="8"/>
      <c r="BA822" s="8"/>
      <c r="BB822" s="1"/>
      <c r="BL822" s="58"/>
      <c r="BP822" t="str">
        <f t="shared" si="29"/>
        <v>FairyFire</v>
      </c>
      <c r="BQ822" t="s">
        <v>2</v>
      </c>
      <c r="BR822">
        <v>2</v>
      </c>
    </row>
    <row r="823" spans="1:70" x14ac:dyDescent="0.25">
      <c r="A823">
        <f t="shared" si="30"/>
        <v>775</v>
      </c>
      <c r="B823" t="s">
        <v>1826</v>
      </c>
      <c r="D823" s="1" t="s">
        <v>7</v>
      </c>
      <c r="E823" s="1" t="s">
        <v>13</v>
      </c>
      <c r="F823" s="1" t="s">
        <v>50</v>
      </c>
      <c r="G823" s="1" t="s">
        <v>50</v>
      </c>
      <c r="H823" s="1" t="s">
        <v>50</v>
      </c>
      <c r="I823" s="1" t="s">
        <v>50</v>
      </c>
      <c r="J823" s="1" t="s">
        <v>50</v>
      </c>
      <c r="K823" s="1" t="s">
        <v>50</v>
      </c>
      <c r="L823" s="1" t="s">
        <v>104</v>
      </c>
      <c r="M823" s="1" t="s">
        <v>104</v>
      </c>
      <c r="N823" s="1" t="s">
        <v>50</v>
      </c>
      <c r="O823" s="1" t="s">
        <v>50</v>
      </c>
      <c r="P823" s="13" t="s">
        <v>1814</v>
      </c>
      <c r="Q823" s="1" t="s">
        <v>104</v>
      </c>
      <c r="R823" s="1" t="s">
        <v>104</v>
      </c>
      <c r="S823" s="1" t="s">
        <v>104</v>
      </c>
      <c r="T823" s="1" t="s">
        <v>104</v>
      </c>
      <c r="U823" s="1" t="s">
        <v>104</v>
      </c>
      <c r="V823" s="1" t="s">
        <v>104</v>
      </c>
      <c r="W823" s="1" t="s">
        <v>104</v>
      </c>
      <c r="X823" s="1" t="s">
        <v>726</v>
      </c>
      <c r="Y823" s="1"/>
      <c r="Z823" s="8"/>
      <c r="AA823" s="8"/>
      <c r="AB823" s="8"/>
      <c r="AC823" s="8"/>
      <c r="AD823" s="8"/>
      <c r="AE823" s="8"/>
      <c r="AF823" s="8"/>
      <c r="AG823" s="8"/>
      <c r="AH823" s="8"/>
      <c r="AI823" s="8">
        <v>1</v>
      </c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>
        <v>1</v>
      </c>
      <c r="AY823" s="8">
        <v>1</v>
      </c>
      <c r="AZ823" s="8"/>
      <c r="BA823" s="8"/>
      <c r="BB823" s="1"/>
      <c r="BJ823">
        <v>4</v>
      </c>
      <c r="BK823">
        <v>1</v>
      </c>
      <c r="BL823" s="58"/>
      <c r="BP823" t="str">
        <f t="shared" si="29"/>
        <v>FairyFire</v>
      </c>
      <c r="BR823">
        <v>2</v>
      </c>
    </row>
    <row r="824" spans="1:70" x14ac:dyDescent="0.25">
      <c r="A824">
        <f t="shared" si="30"/>
        <v>776</v>
      </c>
      <c r="B824" t="s">
        <v>1828</v>
      </c>
      <c r="D824" s="1" t="s">
        <v>7</v>
      </c>
      <c r="E824" s="1" t="s">
        <v>15</v>
      </c>
      <c r="F824" s="1" t="s">
        <v>50</v>
      </c>
      <c r="G824" s="1" t="s">
        <v>50</v>
      </c>
      <c r="H824" s="1"/>
      <c r="I824" s="1" t="s">
        <v>50</v>
      </c>
      <c r="J824" s="1" t="s">
        <v>50</v>
      </c>
      <c r="K824" s="1" t="s">
        <v>50</v>
      </c>
      <c r="L824" s="1" t="s">
        <v>104</v>
      </c>
      <c r="M824" s="1" t="s">
        <v>50</v>
      </c>
      <c r="N824" s="1" t="s">
        <v>50</v>
      </c>
      <c r="O824" s="1" t="s">
        <v>50</v>
      </c>
      <c r="P824" s="13" t="s">
        <v>1727</v>
      </c>
      <c r="Q824" s="1" t="s">
        <v>104</v>
      </c>
      <c r="R824" s="1" t="s">
        <v>104</v>
      </c>
      <c r="S824" s="1" t="s">
        <v>104</v>
      </c>
      <c r="T824" s="1" t="s">
        <v>104</v>
      </c>
      <c r="U824" s="1" t="s">
        <v>104</v>
      </c>
      <c r="V824" s="1" t="s">
        <v>104</v>
      </c>
      <c r="W824" s="1" t="s">
        <v>104</v>
      </c>
      <c r="X824" s="1" t="s">
        <v>727</v>
      </c>
      <c r="Y824" s="1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>
        <v>1</v>
      </c>
      <c r="AM824" s="8">
        <v>1</v>
      </c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1"/>
      <c r="BL824" s="58"/>
      <c r="BP824" t="str">
        <f t="shared" si="29"/>
        <v>FairyWater</v>
      </c>
      <c r="BQ824" t="s">
        <v>2</v>
      </c>
      <c r="BR824">
        <v>6</v>
      </c>
    </row>
    <row r="825" spans="1:70" x14ac:dyDescent="0.25">
      <c r="A825">
        <f t="shared" si="30"/>
        <v>777</v>
      </c>
      <c r="B825" t="s">
        <v>1829</v>
      </c>
      <c r="D825" s="1" t="s">
        <v>7</v>
      </c>
      <c r="E825" s="1" t="s">
        <v>15</v>
      </c>
      <c r="F825" s="1" t="s">
        <v>50</v>
      </c>
      <c r="G825" s="1" t="s">
        <v>50</v>
      </c>
      <c r="H825" s="1"/>
      <c r="I825" s="1" t="s">
        <v>50</v>
      </c>
      <c r="J825" s="1" t="s">
        <v>50</v>
      </c>
      <c r="K825" s="1" t="s">
        <v>50</v>
      </c>
      <c r="L825" s="1" t="s">
        <v>104</v>
      </c>
      <c r="M825" s="1" t="s">
        <v>104</v>
      </c>
      <c r="N825" s="1" t="s">
        <v>50</v>
      </c>
      <c r="O825" s="1" t="s">
        <v>50</v>
      </c>
      <c r="P825" s="13" t="s">
        <v>1727</v>
      </c>
      <c r="Q825" s="1" t="s">
        <v>104</v>
      </c>
      <c r="R825" s="1" t="s">
        <v>104</v>
      </c>
      <c r="S825" s="1" t="s">
        <v>104</v>
      </c>
      <c r="T825" s="1" t="s">
        <v>104</v>
      </c>
      <c r="U825" s="1" t="s">
        <v>104</v>
      </c>
      <c r="V825" s="1" t="s">
        <v>104</v>
      </c>
      <c r="W825" s="1" t="s">
        <v>104</v>
      </c>
      <c r="X825" s="1" t="s">
        <v>727</v>
      </c>
      <c r="Y825" s="1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>
        <v>1</v>
      </c>
      <c r="AM825" s="8">
        <v>1</v>
      </c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1"/>
      <c r="BL825" s="58"/>
      <c r="BP825" t="str">
        <f t="shared" si="29"/>
        <v>FairyWater</v>
      </c>
      <c r="BQ825" t="s">
        <v>2</v>
      </c>
      <c r="BR825">
        <v>6</v>
      </c>
    </row>
    <row r="826" spans="1:70" x14ac:dyDescent="0.25">
      <c r="A826">
        <f t="shared" si="30"/>
        <v>778</v>
      </c>
      <c r="B826" t="s">
        <v>1830</v>
      </c>
      <c r="D826" s="1" t="s">
        <v>7</v>
      </c>
      <c r="E826" s="1" t="s">
        <v>15</v>
      </c>
      <c r="F826" s="1" t="s">
        <v>50</v>
      </c>
      <c r="G826" s="1" t="s">
        <v>50</v>
      </c>
      <c r="H826" s="1" t="s">
        <v>50</v>
      </c>
      <c r="I826" s="1" t="s">
        <v>50</v>
      </c>
      <c r="J826" s="1" t="s">
        <v>50</v>
      </c>
      <c r="K826" s="1" t="s">
        <v>50</v>
      </c>
      <c r="L826" s="1" t="s">
        <v>104</v>
      </c>
      <c r="M826" s="1" t="s">
        <v>104</v>
      </c>
      <c r="N826" s="1" t="s">
        <v>50</v>
      </c>
      <c r="O826" s="1" t="s">
        <v>50</v>
      </c>
      <c r="P826" s="13" t="s">
        <v>1727</v>
      </c>
      <c r="Q826" s="1" t="s">
        <v>104</v>
      </c>
      <c r="R826" s="1" t="s">
        <v>104</v>
      </c>
      <c r="S826" s="1" t="s">
        <v>104</v>
      </c>
      <c r="T826" s="1" t="s">
        <v>104</v>
      </c>
      <c r="U826" s="1" t="s">
        <v>104</v>
      </c>
      <c r="V826" s="1" t="s">
        <v>104</v>
      </c>
      <c r="W826" s="1" t="s">
        <v>104</v>
      </c>
      <c r="X826" s="1" t="s">
        <v>727</v>
      </c>
      <c r="Y826" s="1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>
        <v>1</v>
      </c>
      <c r="AM826" s="8">
        <v>1</v>
      </c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1"/>
      <c r="BJ826">
        <v>11</v>
      </c>
      <c r="BK826">
        <v>2</v>
      </c>
      <c r="BL826" s="58"/>
      <c r="BP826" t="str">
        <f t="shared" si="29"/>
        <v>FairyWater</v>
      </c>
      <c r="BR826">
        <v>6</v>
      </c>
    </row>
    <row r="827" spans="1:70" x14ac:dyDescent="0.25">
      <c r="A827">
        <f t="shared" si="30"/>
        <v>779</v>
      </c>
      <c r="B827" t="s">
        <v>1831</v>
      </c>
      <c r="D827" s="1" t="s">
        <v>10</v>
      </c>
      <c r="E827" s="1" t="s">
        <v>16</v>
      </c>
      <c r="F827" s="1" t="s">
        <v>50</v>
      </c>
      <c r="G827" s="1" t="s">
        <v>50</v>
      </c>
      <c r="H827" s="1" t="s">
        <v>50</v>
      </c>
      <c r="I827" s="1" t="s">
        <v>50</v>
      </c>
      <c r="J827" s="1" t="s">
        <v>50</v>
      </c>
      <c r="K827" s="1" t="s">
        <v>50</v>
      </c>
      <c r="L827" s="1" t="s">
        <v>104</v>
      </c>
      <c r="M827" s="1" t="s">
        <v>50</v>
      </c>
      <c r="N827" s="1" t="s">
        <v>50</v>
      </c>
      <c r="O827" s="1" t="s">
        <v>50</v>
      </c>
      <c r="P827" s="13" t="s">
        <v>1814</v>
      </c>
      <c r="Q827" s="1" t="s">
        <v>50</v>
      </c>
      <c r="R827" s="1" t="s">
        <v>50</v>
      </c>
      <c r="S827" s="1" t="s">
        <v>50</v>
      </c>
      <c r="T827" s="1" t="s">
        <v>50</v>
      </c>
      <c r="U827" s="1" t="s">
        <v>50</v>
      </c>
      <c r="V827" s="1" t="s">
        <v>50</v>
      </c>
      <c r="W827" s="1" t="s">
        <v>50</v>
      </c>
      <c r="X827" s="1" t="s">
        <v>726</v>
      </c>
      <c r="Y827" s="1"/>
      <c r="Z827" s="8"/>
      <c r="AA827" s="8"/>
      <c r="AB827" s="8"/>
      <c r="AC827" s="8"/>
      <c r="AD827" s="8">
        <v>1</v>
      </c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>
        <v>1</v>
      </c>
      <c r="AS827" s="8"/>
      <c r="AT827" s="8">
        <v>1</v>
      </c>
      <c r="AU827" s="8"/>
      <c r="AV827" s="8"/>
      <c r="AW827" s="8"/>
      <c r="AX827" s="8"/>
      <c r="AY827" s="8"/>
      <c r="AZ827" s="8"/>
      <c r="BA827" s="8"/>
      <c r="BB827" s="1"/>
      <c r="BJ827">
        <v>2</v>
      </c>
      <c r="BK827">
        <v>3</v>
      </c>
      <c r="BL827" s="58"/>
      <c r="BP827" t="str">
        <f t="shared" si="29"/>
        <v>PoisonFlying</v>
      </c>
      <c r="BR827">
        <v>5</v>
      </c>
    </row>
    <row r="828" spans="1:70" x14ac:dyDescent="0.25">
      <c r="A828">
        <f t="shared" si="30"/>
        <v>780</v>
      </c>
      <c r="B828" t="s">
        <v>1832</v>
      </c>
      <c r="D828" s="1" t="s">
        <v>3</v>
      </c>
      <c r="E828" s="1" t="s">
        <v>15</v>
      </c>
      <c r="F828" s="1" t="s">
        <v>50</v>
      </c>
      <c r="G828" s="1" t="s">
        <v>50</v>
      </c>
      <c r="H828" s="1"/>
      <c r="I828" s="1" t="s">
        <v>50</v>
      </c>
      <c r="J828" s="1" t="s">
        <v>50</v>
      </c>
      <c r="K828" s="1" t="s">
        <v>50</v>
      </c>
      <c r="L828" s="1" t="s">
        <v>104</v>
      </c>
      <c r="M828" s="1" t="s">
        <v>50</v>
      </c>
      <c r="N828" s="1" t="s">
        <v>50</v>
      </c>
      <c r="O828" s="1" t="s">
        <v>50</v>
      </c>
      <c r="P828" s="13" t="s">
        <v>1814</v>
      </c>
      <c r="Q828" s="1" t="s">
        <v>104</v>
      </c>
      <c r="R828" s="1" t="s">
        <v>104</v>
      </c>
      <c r="S828" s="1" t="s">
        <v>104</v>
      </c>
      <c r="T828" s="1" t="s">
        <v>104</v>
      </c>
      <c r="U828" s="1" t="s">
        <v>104</v>
      </c>
      <c r="V828" s="1" t="s">
        <v>104</v>
      </c>
      <c r="W828" s="1" t="s">
        <v>104</v>
      </c>
      <c r="X828" s="1" t="s">
        <v>726</v>
      </c>
      <c r="Y828" s="1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>
        <v>1</v>
      </c>
      <c r="AM828" s="8">
        <v>1</v>
      </c>
      <c r="AN828" s="8">
        <v>1</v>
      </c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1"/>
      <c r="BL828" s="58"/>
      <c r="BP828" t="str">
        <f t="shared" si="29"/>
        <v>ElectricWater</v>
      </c>
      <c r="BQ828" t="s">
        <v>2</v>
      </c>
      <c r="BR828">
        <v>7</v>
      </c>
    </row>
    <row r="829" spans="1:70" x14ac:dyDescent="0.25">
      <c r="A829">
        <f t="shared" si="30"/>
        <v>781</v>
      </c>
      <c r="B829" t="s">
        <v>1833</v>
      </c>
      <c r="D829" s="1" t="s">
        <v>3</v>
      </c>
      <c r="E829" s="1" t="s">
        <v>15</v>
      </c>
      <c r="F829" s="1" t="s">
        <v>50</v>
      </c>
      <c r="G829" s="1" t="s">
        <v>50</v>
      </c>
      <c r="H829" s="1" t="s">
        <v>50</v>
      </c>
      <c r="I829" s="1" t="s">
        <v>50</v>
      </c>
      <c r="J829" s="1" t="s">
        <v>50</v>
      </c>
      <c r="K829" s="1" t="s">
        <v>50</v>
      </c>
      <c r="L829" s="1" t="s">
        <v>104</v>
      </c>
      <c r="M829" s="1" t="s">
        <v>104</v>
      </c>
      <c r="N829" s="1" t="s">
        <v>50</v>
      </c>
      <c r="O829" s="1" t="s">
        <v>50</v>
      </c>
      <c r="P829" s="13" t="s">
        <v>1814</v>
      </c>
      <c r="Q829" s="1" t="s">
        <v>104</v>
      </c>
      <c r="R829" s="1" t="s">
        <v>104</v>
      </c>
      <c r="S829" s="1" t="s">
        <v>104</v>
      </c>
      <c r="T829" s="1" t="s">
        <v>104</v>
      </c>
      <c r="U829" s="1" t="s">
        <v>104</v>
      </c>
      <c r="V829" s="1" t="s">
        <v>104</v>
      </c>
      <c r="W829" s="1" t="s">
        <v>104</v>
      </c>
      <c r="X829" s="1" t="s">
        <v>726</v>
      </c>
      <c r="Y829" s="1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>
        <v>1</v>
      </c>
      <c r="AM829" s="8">
        <v>1</v>
      </c>
      <c r="AN829" s="8">
        <v>1</v>
      </c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1"/>
      <c r="BJ829">
        <v>10</v>
      </c>
      <c r="BK829">
        <v>2</v>
      </c>
      <c r="BL829" s="58"/>
      <c r="BP829" t="str">
        <f t="shared" si="29"/>
        <v>ElectricWater</v>
      </c>
      <c r="BR829">
        <v>7</v>
      </c>
    </row>
    <row r="830" spans="1:70" x14ac:dyDescent="0.25">
      <c r="A830">
        <f t="shared" si="30"/>
        <v>782</v>
      </c>
      <c r="B830" t="s">
        <v>1834</v>
      </c>
      <c r="D830" s="1" t="s">
        <v>17</v>
      </c>
      <c r="E830" s="1" t="s">
        <v>10</v>
      </c>
      <c r="F830" s="1" t="s">
        <v>50</v>
      </c>
      <c r="G830" s="1" t="s">
        <v>50</v>
      </c>
      <c r="H830" s="1" t="s">
        <v>50</v>
      </c>
      <c r="I830" s="1" t="s">
        <v>50</v>
      </c>
      <c r="J830" s="1" t="s">
        <v>50</v>
      </c>
      <c r="K830" s="1" t="s">
        <v>50</v>
      </c>
      <c r="L830" s="1" t="s">
        <v>104</v>
      </c>
      <c r="M830" s="1" t="s">
        <v>104</v>
      </c>
      <c r="N830" s="1" t="s">
        <v>50</v>
      </c>
      <c r="O830" s="1" t="s">
        <v>50</v>
      </c>
      <c r="P830" s="13" t="s">
        <v>2071</v>
      </c>
      <c r="Q830" s="1" t="s">
        <v>104</v>
      </c>
      <c r="R830" s="1" t="s">
        <v>104</v>
      </c>
      <c r="S830" s="1" t="s">
        <v>104</v>
      </c>
      <c r="T830" s="1" t="s">
        <v>104</v>
      </c>
      <c r="U830" s="1" t="s">
        <v>104</v>
      </c>
      <c r="V830" s="1" t="s">
        <v>104</v>
      </c>
      <c r="W830" s="1" t="s">
        <v>104</v>
      </c>
      <c r="X830" s="1" t="s">
        <v>726</v>
      </c>
      <c r="Y830" s="1"/>
      <c r="Z830" s="8"/>
      <c r="AA830" s="8">
        <v>1</v>
      </c>
      <c r="AB830" s="8">
        <v>1</v>
      </c>
      <c r="AC830" s="8">
        <v>1</v>
      </c>
      <c r="AD830" s="8">
        <v>1</v>
      </c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>
        <v>1</v>
      </c>
      <c r="BA830" s="8"/>
      <c r="BB830" s="1"/>
      <c r="BJ830">
        <v>2</v>
      </c>
      <c r="BK830">
        <v>1</v>
      </c>
      <c r="BL830" s="58"/>
      <c r="BP830" t="str">
        <f t="shared" si="29"/>
        <v>BugPoison</v>
      </c>
      <c r="BR830">
        <v>9</v>
      </c>
    </row>
    <row r="831" spans="1:70" x14ac:dyDescent="0.25">
      <c r="A831">
        <f t="shared" si="30"/>
        <v>783</v>
      </c>
      <c r="B831" t="s">
        <v>1835</v>
      </c>
      <c r="D831" s="1" t="s">
        <v>18</v>
      </c>
      <c r="E831" s="1" t="s">
        <v>0</v>
      </c>
      <c r="F831" s="1" t="s">
        <v>50</v>
      </c>
      <c r="G831" s="1" t="s">
        <v>50</v>
      </c>
      <c r="H831" s="1" t="s">
        <v>50</v>
      </c>
      <c r="I831" s="1" t="s">
        <v>50</v>
      </c>
      <c r="J831" s="1" t="s">
        <v>50</v>
      </c>
      <c r="K831" s="1" t="s">
        <v>50</v>
      </c>
      <c r="L831" s="1"/>
      <c r="M831" s="1" t="s">
        <v>104</v>
      </c>
      <c r="N831" s="1" t="s">
        <v>50</v>
      </c>
      <c r="O831" s="1" t="s">
        <v>50</v>
      </c>
      <c r="P831" s="13" t="s">
        <v>1814</v>
      </c>
      <c r="Q831" s="1" t="s">
        <v>104</v>
      </c>
      <c r="R831" s="1" t="s">
        <v>104</v>
      </c>
      <c r="S831" s="1" t="s">
        <v>104</v>
      </c>
      <c r="T831" s="1" t="s">
        <v>104</v>
      </c>
      <c r="U831" s="1" t="s">
        <v>104</v>
      </c>
      <c r="V831" s="1" t="s">
        <v>104</v>
      </c>
      <c r="W831" s="1" t="s">
        <v>104</v>
      </c>
      <c r="X831" s="1" t="s">
        <v>1848</v>
      </c>
      <c r="Y831" s="1"/>
      <c r="Z831" s="8"/>
      <c r="AA831" s="8">
        <v>1</v>
      </c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1"/>
      <c r="BL831" s="58">
        <v>1</v>
      </c>
      <c r="BP831" t="str">
        <f t="shared" si="29"/>
        <v>FightingDark</v>
      </c>
      <c r="BR831">
        <v>6</v>
      </c>
    </row>
    <row r="832" spans="1:70" x14ac:dyDescent="0.25">
      <c r="A832" s="1" t="s">
        <v>50</v>
      </c>
      <c r="B832" t="s">
        <v>1835</v>
      </c>
      <c r="C832" t="s">
        <v>2062</v>
      </c>
      <c r="D832" s="1" t="s">
        <v>18</v>
      </c>
      <c r="E832" s="1" t="s">
        <v>7</v>
      </c>
      <c r="F832" s="1" t="s">
        <v>50</v>
      </c>
      <c r="G832" s="1" t="s">
        <v>50</v>
      </c>
      <c r="H832" s="1" t="s">
        <v>50</v>
      </c>
      <c r="I832" s="1" t="s">
        <v>50</v>
      </c>
      <c r="J832" s="1" t="s">
        <v>50</v>
      </c>
      <c r="K832" s="1" t="s">
        <v>50</v>
      </c>
      <c r="L832" s="1"/>
      <c r="M832" s="1" t="s">
        <v>104</v>
      </c>
      <c r="N832" s="1" t="s">
        <v>50</v>
      </c>
      <c r="O832" s="1" t="s">
        <v>50</v>
      </c>
      <c r="P832" s="13" t="s">
        <v>1814</v>
      </c>
      <c r="Q832" s="1" t="s">
        <v>104</v>
      </c>
      <c r="R832" s="1" t="s">
        <v>104</v>
      </c>
      <c r="S832" s="1" t="s">
        <v>104</v>
      </c>
      <c r="T832" s="1" t="s">
        <v>104</v>
      </c>
      <c r="U832" s="1" t="s">
        <v>104</v>
      </c>
      <c r="V832" s="1" t="s">
        <v>104</v>
      </c>
      <c r="W832" s="1" t="s">
        <v>104</v>
      </c>
      <c r="X832" s="1" t="s">
        <v>1848</v>
      </c>
      <c r="Y832" s="1"/>
      <c r="Z832" s="8"/>
      <c r="AA832" s="8">
        <v>1</v>
      </c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1"/>
      <c r="BL832" s="58"/>
      <c r="BP832" t="str">
        <f t="shared" si="29"/>
        <v>FightingFairy</v>
      </c>
      <c r="BR832">
        <v>6</v>
      </c>
    </row>
    <row r="833" spans="1:70" x14ac:dyDescent="0.25">
      <c r="A833">
        <f>A831+1</f>
        <v>784</v>
      </c>
      <c r="B833" t="s">
        <v>1836</v>
      </c>
      <c r="D833" s="1" t="s">
        <v>17</v>
      </c>
      <c r="E833" s="1">
        <v>0</v>
      </c>
      <c r="F833" s="1" t="s">
        <v>50</v>
      </c>
      <c r="G833" s="1" t="s">
        <v>50</v>
      </c>
      <c r="H833" s="1"/>
      <c r="I833" s="1" t="s">
        <v>50</v>
      </c>
      <c r="J833" s="1" t="s">
        <v>50</v>
      </c>
      <c r="K833" s="1" t="s">
        <v>50</v>
      </c>
      <c r="L833" s="1" t="s">
        <v>104</v>
      </c>
      <c r="M833" s="1" t="s">
        <v>50</v>
      </c>
      <c r="N833" s="1" t="s">
        <v>50</v>
      </c>
      <c r="O833" s="1" t="s">
        <v>50</v>
      </c>
      <c r="P833" s="13" t="s">
        <v>1814</v>
      </c>
      <c r="Q833" s="1" t="s">
        <v>104</v>
      </c>
      <c r="R833" s="1" t="s">
        <v>104</v>
      </c>
      <c r="S833" s="1" t="s">
        <v>104</v>
      </c>
      <c r="T833" s="1" t="s">
        <v>104</v>
      </c>
      <c r="U833" s="1" t="s">
        <v>104</v>
      </c>
      <c r="V833" s="1" t="s">
        <v>104</v>
      </c>
      <c r="W833" s="1" t="s">
        <v>104</v>
      </c>
      <c r="X833" s="1" t="s">
        <v>1848</v>
      </c>
      <c r="Y833" s="1"/>
      <c r="Z833" s="8"/>
      <c r="AA833" s="8">
        <v>1</v>
      </c>
      <c r="AB833" s="8">
        <v>1</v>
      </c>
      <c r="AC833" s="8">
        <v>1</v>
      </c>
      <c r="AD833" s="8">
        <v>1</v>
      </c>
      <c r="AE833" s="8">
        <v>1</v>
      </c>
      <c r="AF833" s="8">
        <v>1</v>
      </c>
      <c r="AG833" s="8"/>
      <c r="AH833" s="8">
        <v>1</v>
      </c>
      <c r="AI833" s="8"/>
      <c r="AJ833" s="8">
        <v>1</v>
      </c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>
        <v>1</v>
      </c>
      <c r="AW833" s="8"/>
      <c r="AX833" s="8">
        <v>1</v>
      </c>
      <c r="AY833" s="8">
        <v>1</v>
      </c>
      <c r="AZ833" s="8"/>
      <c r="BA833" s="8"/>
      <c r="BB833" s="1"/>
      <c r="BL833" s="58"/>
      <c r="BP833" t="str">
        <f t="shared" si="29"/>
        <v>Bug0</v>
      </c>
      <c r="BQ833" t="s">
        <v>2</v>
      </c>
      <c r="BR833">
        <v>9</v>
      </c>
    </row>
    <row r="834" spans="1:70" x14ac:dyDescent="0.25">
      <c r="A834">
        <f>A833+1</f>
        <v>785</v>
      </c>
      <c r="B834" t="s">
        <v>1837</v>
      </c>
      <c r="D834" s="1" t="s">
        <v>17</v>
      </c>
      <c r="E834" s="1" t="s">
        <v>8</v>
      </c>
      <c r="F834" s="1" t="s">
        <v>50</v>
      </c>
      <c r="G834" s="1" t="s">
        <v>50</v>
      </c>
      <c r="H834" s="1" t="s">
        <v>50</v>
      </c>
      <c r="I834" s="1" t="s">
        <v>50</v>
      </c>
      <c r="J834" s="1" t="s">
        <v>50</v>
      </c>
      <c r="K834" s="1" t="s">
        <v>50</v>
      </c>
      <c r="L834" s="1" t="s">
        <v>104</v>
      </c>
      <c r="M834" s="1" t="s">
        <v>104</v>
      </c>
      <c r="N834" s="1" t="s">
        <v>50</v>
      </c>
      <c r="O834" s="1" t="s">
        <v>50</v>
      </c>
      <c r="P834" s="13" t="s">
        <v>1814</v>
      </c>
      <c r="Q834" s="1" t="s">
        <v>104</v>
      </c>
      <c r="R834" s="1" t="s">
        <v>104</v>
      </c>
      <c r="S834" s="1" t="s">
        <v>104</v>
      </c>
      <c r="T834" s="1" t="s">
        <v>104</v>
      </c>
      <c r="U834" s="1" t="s">
        <v>104</v>
      </c>
      <c r="V834" s="1" t="s">
        <v>104</v>
      </c>
      <c r="W834" s="1" t="s">
        <v>104</v>
      </c>
      <c r="X834" s="1" t="s">
        <v>1848</v>
      </c>
      <c r="Y834" s="1"/>
      <c r="Z834" s="8"/>
      <c r="AA834" s="8">
        <v>1</v>
      </c>
      <c r="AB834" s="8">
        <v>1</v>
      </c>
      <c r="AC834" s="8">
        <v>1</v>
      </c>
      <c r="AD834" s="8">
        <v>1</v>
      </c>
      <c r="AE834" s="8">
        <v>1</v>
      </c>
      <c r="AF834" s="8">
        <v>1</v>
      </c>
      <c r="AG834" s="8"/>
      <c r="AH834" s="8">
        <v>1</v>
      </c>
      <c r="AI834" s="8"/>
      <c r="AJ834" s="8">
        <v>1</v>
      </c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>
        <v>1</v>
      </c>
      <c r="AW834" s="8"/>
      <c r="AX834" s="8">
        <v>1</v>
      </c>
      <c r="AY834" s="8">
        <v>1</v>
      </c>
      <c r="AZ834" s="8"/>
      <c r="BA834" s="8"/>
      <c r="BB834" s="1"/>
      <c r="BJ834">
        <v>7</v>
      </c>
      <c r="BK834">
        <v>3</v>
      </c>
      <c r="BL834" s="58"/>
      <c r="BP834" t="str">
        <f t="shared" ref="BP834:BP897" si="31">D834&amp;E834</f>
        <v>BugGround</v>
      </c>
      <c r="BR834">
        <v>9</v>
      </c>
    </row>
    <row r="835" spans="1:70" x14ac:dyDescent="0.25">
      <c r="A835">
        <f>A834+1</f>
        <v>786</v>
      </c>
      <c r="B835" t="s">
        <v>1841</v>
      </c>
      <c r="D835" s="1" t="s">
        <v>11</v>
      </c>
      <c r="E835" s="1" t="s">
        <v>0</v>
      </c>
      <c r="F835" s="1" t="s">
        <v>50</v>
      </c>
      <c r="G835" s="1" t="s">
        <v>50</v>
      </c>
      <c r="H835" s="1"/>
      <c r="I835" s="1" t="s">
        <v>50</v>
      </c>
      <c r="J835" s="1" t="s">
        <v>50</v>
      </c>
      <c r="K835" s="1" t="s">
        <v>50</v>
      </c>
      <c r="L835" s="1" t="s">
        <v>104</v>
      </c>
      <c r="M835" s="1" t="s">
        <v>50</v>
      </c>
      <c r="N835" s="1" t="s">
        <v>50</v>
      </c>
      <c r="O835" s="1" t="s">
        <v>50</v>
      </c>
      <c r="P835" s="13" t="s">
        <v>1814</v>
      </c>
      <c r="Q835" s="1" t="s">
        <v>104</v>
      </c>
      <c r="R835" s="1" t="s">
        <v>104</v>
      </c>
      <c r="S835" s="1" t="s">
        <v>104</v>
      </c>
      <c r="T835" s="1" t="s">
        <v>104</v>
      </c>
      <c r="U835" s="1" t="s">
        <v>104</v>
      </c>
      <c r="V835" s="1" t="s">
        <v>104</v>
      </c>
      <c r="W835" s="1" t="s">
        <v>104</v>
      </c>
      <c r="X835" s="1" t="s">
        <v>1848</v>
      </c>
      <c r="Y835" s="1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1"/>
      <c r="BJ835">
        <v>1</v>
      </c>
      <c r="BL835" s="58">
        <v>4</v>
      </c>
      <c r="BP835" t="str">
        <f t="shared" si="31"/>
        <v>GrassDark</v>
      </c>
      <c r="BR835">
        <v>2</v>
      </c>
    </row>
    <row r="836" spans="1:70" x14ac:dyDescent="0.25">
      <c r="A836">
        <f>A835+1</f>
        <v>787</v>
      </c>
      <c r="B836" t="s">
        <v>1849</v>
      </c>
      <c r="D836" s="1" t="s">
        <v>6</v>
      </c>
      <c r="E836" s="1" t="s">
        <v>10</v>
      </c>
      <c r="F836" s="1" t="s">
        <v>50</v>
      </c>
      <c r="G836" s="1" t="s">
        <v>50</v>
      </c>
      <c r="H836" s="1"/>
      <c r="I836" s="1" t="s">
        <v>50</v>
      </c>
      <c r="J836" s="1" t="s">
        <v>50</v>
      </c>
      <c r="K836" s="1" t="s">
        <v>50</v>
      </c>
      <c r="L836" s="1" t="s">
        <v>104</v>
      </c>
      <c r="M836" s="1" t="s">
        <v>104</v>
      </c>
      <c r="N836" s="1" t="s">
        <v>50</v>
      </c>
      <c r="O836" s="1" t="s">
        <v>50</v>
      </c>
      <c r="P836" s="13" t="s">
        <v>733</v>
      </c>
      <c r="Q836" s="1" t="s">
        <v>104</v>
      </c>
      <c r="R836" s="1" t="s">
        <v>104</v>
      </c>
      <c r="S836" s="1" t="s">
        <v>104</v>
      </c>
      <c r="T836" s="1" t="s">
        <v>104</v>
      </c>
      <c r="U836" s="1" t="s">
        <v>104</v>
      </c>
      <c r="V836" s="1" t="s">
        <v>104</v>
      </c>
      <c r="W836" s="1" t="s">
        <v>104</v>
      </c>
      <c r="X836" s="1" t="s">
        <v>733</v>
      </c>
      <c r="Y836" s="1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>
        <v>1</v>
      </c>
      <c r="AT836" s="8">
        <v>1</v>
      </c>
      <c r="AU836" s="8"/>
      <c r="AV836" s="8"/>
      <c r="AW836" s="8"/>
      <c r="AX836" s="8"/>
      <c r="AY836" s="8"/>
      <c r="AZ836" s="8"/>
      <c r="BA836" s="8"/>
      <c r="BB836" s="1"/>
      <c r="BJ836">
        <v>1</v>
      </c>
      <c r="BL836" s="58"/>
      <c r="BP836" t="str">
        <f t="shared" si="31"/>
        <v>SteelPoison</v>
      </c>
      <c r="BR836">
        <v>9</v>
      </c>
    </row>
    <row r="837" spans="1:70" x14ac:dyDescent="0.25">
      <c r="A837" s="1" t="s">
        <v>50</v>
      </c>
      <c r="B837" t="s">
        <v>2061</v>
      </c>
      <c r="C837" t="s">
        <v>100</v>
      </c>
      <c r="D837" s="1" t="s">
        <v>12</v>
      </c>
      <c r="E837" s="1" t="s">
        <v>14</v>
      </c>
      <c r="F837" s="1" t="s">
        <v>50</v>
      </c>
      <c r="G837" s="1" t="s">
        <v>50</v>
      </c>
      <c r="H837" s="1" t="s">
        <v>50</v>
      </c>
      <c r="I837" s="1" t="s">
        <v>50</v>
      </c>
      <c r="J837" s="1" t="s">
        <v>50</v>
      </c>
      <c r="K837" s="1" t="s">
        <v>50</v>
      </c>
      <c r="L837" s="1" t="s">
        <v>104</v>
      </c>
      <c r="M837" s="1" t="s">
        <v>104</v>
      </c>
      <c r="N837" s="1" t="s">
        <v>50</v>
      </c>
      <c r="O837" s="1" t="s">
        <v>50</v>
      </c>
      <c r="P837" s="13" t="s">
        <v>1727</v>
      </c>
      <c r="Q837" s="1" t="s">
        <v>104</v>
      </c>
      <c r="R837" s="1" t="s">
        <v>104</v>
      </c>
      <c r="S837" s="1" t="s">
        <v>104</v>
      </c>
      <c r="T837" s="1" t="s">
        <v>104</v>
      </c>
      <c r="U837" s="1" t="s">
        <v>104</v>
      </c>
      <c r="V837" s="1" t="s">
        <v>104</v>
      </c>
      <c r="W837" s="1" t="s">
        <v>104</v>
      </c>
      <c r="X837" s="1" t="s">
        <v>726</v>
      </c>
      <c r="Y837" s="1"/>
      <c r="Z837" s="8"/>
      <c r="AA837" s="8"/>
      <c r="AB837" s="8">
        <v>1</v>
      </c>
      <c r="AC837" s="8"/>
      <c r="AD837" s="8"/>
      <c r="AE837" s="8"/>
      <c r="AF837" s="8"/>
      <c r="AG837" s="8"/>
      <c r="AH837" s="8"/>
      <c r="AI837" s="8">
        <v>1</v>
      </c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>
        <v>1</v>
      </c>
      <c r="AU837" s="8"/>
      <c r="AV837" s="8"/>
      <c r="AW837" s="8"/>
      <c r="AX837" s="8"/>
      <c r="AY837" s="8"/>
      <c r="AZ837" s="8">
        <v>1</v>
      </c>
      <c r="BA837" s="8"/>
      <c r="BB837" s="1"/>
      <c r="BJ837">
        <v>13</v>
      </c>
      <c r="BK837">
        <v>2</v>
      </c>
      <c r="BL837" s="58"/>
      <c r="BP837" t="str">
        <f t="shared" si="31"/>
        <v>DragonGhost</v>
      </c>
      <c r="BR837" s="1">
        <v>8</v>
      </c>
    </row>
    <row r="838" spans="1:70" x14ac:dyDescent="0.25">
      <c r="A838">
        <f>A836+1</f>
        <v>788</v>
      </c>
      <c r="B838" t="s">
        <v>2061</v>
      </c>
      <c r="C838" t="s">
        <v>1687</v>
      </c>
      <c r="D838" s="1" t="s">
        <v>12</v>
      </c>
      <c r="E838" s="1" t="s">
        <v>14</v>
      </c>
      <c r="F838" s="1" t="s">
        <v>50</v>
      </c>
      <c r="G838" s="1" t="s">
        <v>50</v>
      </c>
      <c r="H838" s="1" t="s">
        <v>50</v>
      </c>
      <c r="I838" s="1" t="s">
        <v>50</v>
      </c>
      <c r="J838" s="1" t="s">
        <v>50</v>
      </c>
      <c r="K838" s="1" t="s">
        <v>50</v>
      </c>
      <c r="L838" s="1" t="s">
        <v>104</v>
      </c>
      <c r="M838" s="1" t="s">
        <v>104</v>
      </c>
      <c r="N838" s="1" t="s">
        <v>50</v>
      </c>
      <c r="O838" s="1" t="s">
        <v>50</v>
      </c>
      <c r="P838" s="13" t="s">
        <v>1727</v>
      </c>
      <c r="Q838" s="1" t="s">
        <v>104</v>
      </c>
      <c r="R838" s="1" t="s">
        <v>104</v>
      </c>
      <c r="S838" s="1" t="s">
        <v>104</v>
      </c>
      <c r="T838" s="1" t="s">
        <v>104</v>
      </c>
      <c r="U838" s="1" t="s">
        <v>104</v>
      </c>
      <c r="V838" s="1" t="s">
        <v>104</v>
      </c>
      <c r="W838" s="1" t="s">
        <v>104</v>
      </c>
      <c r="X838" s="1" t="s">
        <v>726</v>
      </c>
      <c r="Y838" s="1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>
        <v>1</v>
      </c>
      <c r="AM838" s="8">
        <v>1</v>
      </c>
      <c r="AN838" s="8">
        <v>1</v>
      </c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1"/>
      <c r="BJ838">
        <v>3</v>
      </c>
      <c r="BL838" s="58"/>
      <c r="BP838" t="str">
        <f t="shared" si="31"/>
        <v>DragonGhost</v>
      </c>
      <c r="BR838">
        <v>8</v>
      </c>
    </row>
    <row r="839" spans="1:70" x14ac:dyDescent="0.25">
      <c r="A839">
        <f t="shared" ref="A839:A883" si="32">A838+1</f>
        <v>789</v>
      </c>
      <c r="B839" t="s">
        <v>1842</v>
      </c>
      <c r="D839" s="1" t="s">
        <v>17</v>
      </c>
      <c r="E839" s="1" t="s">
        <v>14</v>
      </c>
      <c r="F839" s="1" t="s">
        <v>50</v>
      </c>
      <c r="G839" s="1" t="s">
        <v>50</v>
      </c>
      <c r="H839" s="1"/>
      <c r="I839" s="1" t="s">
        <v>50</v>
      </c>
      <c r="J839" s="1" t="s">
        <v>50</v>
      </c>
      <c r="K839" s="1" t="s">
        <v>50</v>
      </c>
      <c r="L839" s="1" t="s">
        <v>104</v>
      </c>
      <c r="M839" s="1" t="s">
        <v>104</v>
      </c>
      <c r="N839" s="1" t="s">
        <v>50</v>
      </c>
      <c r="O839" s="1" t="s">
        <v>50</v>
      </c>
      <c r="P839" s="13" t="s">
        <v>1707</v>
      </c>
      <c r="Q839" s="1" t="s">
        <v>104</v>
      </c>
      <c r="R839" s="1" t="s">
        <v>104</v>
      </c>
      <c r="S839" s="1" t="s">
        <v>104</v>
      </c>
      <c r="T839" s="1" t="s">
        <v>104</v>
      </c>
      <c r="U839" s="1" t="s">
        <v>104</v>
      </c>
      <c r="V839" s="1" t="s">
        <v>104</v>
      </c>
      <c r="W839" s="1" t="s">
        <v>104</v>
      </c>
      <c r="X839" s="1" t="s">
        <v>733</v>
      </c>
      <c r="Y839" s="1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1"/>
      <c r="BL839" s="58"/>
      <c r="BP839" t="str">
        <f t="shared" si="31"/>
        <v>BugGhost</v>
      </c>
      <c r="BR839">
        <v>7</v>
      </c>
    </row>
    <row r="840" spans="1:70" x14ac:dyDescent="0.25">
      <c r="A840">
        <f t="shared" si="32"/>
        <v>790</v>
      </c>
      <c r="B840" t="s">
        <v>1844</v>
      </c>
      <c r="D840" s="1" t="s">
        <v>1</v>
      </c>
      <c r="E840" s="1" t="s">
        <v>14</v>
      </c>
      <c r="F840" s="1" t="s">
        <v>50</v>
      </c>
      <c r="G840" s="1" t="s">
        <v>50</v>
      </c>
      <c r="H840" s="1"/>
      <c r="I840" s="1" t="s">
        <v>50</v>
      </c>
      <c r="J840" s="1" t="s">
        <v>50</v>
      </c>
      <c r="K840" s="1" t="s">
        <v>50</v>
      </c>
      <c r="L840" s="1" t="s">
        <v>104</v>
      </c>
      <c r="M840" s="1" t="s">
        <v>104</v>
      </c>
      <c r="N840" s="1" t="s">
        <v>50</v>
      </c>
      <c r="O840" s="1" t="s">
        <v>50</v>
      </c>
      <c r="P840" s="13" t="s">
        <v>1707</v>
      </c>
      <c r="Q840" s="1" t="s">
        <v>104</v>
      </c>
      <c r="R840" s="1" t="s">
        <v>104</v>
      </c>
      <c r="S840" s="1" t="s">
        <v>104</v>
      </c>
      <c r="T840" s="1" t="s">
        <v>104</v>
      </c>
      <c r="U840" s="1" t="s">
        <v>104</v>
      </c>
      <c r="V840" s="1" t="s">
        <v>104</v>
      </c>
      <c r="W840" s="1" t="s">
        <v>104</v>
      </c>
      <c r="X840" s="1" t="s">
        <v>733</v>
      </c>
      <c r="Y840" s="1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1"/>
      <c r="BL840" s="58"/>
      <c r="BP840" t="str">
        <f t="shared" si="31"/>
        <v>NormalGhost</v>
      </c>
      <c r="BR840">
        <v>7</v>
      </c>
    </row>
    <row r="841" spans="1:70" x14ac:dyDescent="0.25">
      <c r="A841">
        <f t="shared" si="32"/>
        <v>791</v>
      </c>
      <c r="B841" t="s">
        <v>1845</v>
      </c>
      <c r="D841" s="1" t="s">
        <v>13</v>
      </c>
      <c r="E841" s="1" t="s">
        <v>14</v>
      </c>
      <c r="F841" s="1" t="s">
        <v>50</v>
      </c>
      <c r="G841" s="1" t="s">
        <v>50</v>
      </c>
      <c r="H841" s="1"/>
      <c r="I841" s="1" t="s">
        <v>50</v>
      </c>
      <c r="J841" s="1" t="s">
        <v>50</v>
      </c>
      <c r="K841" s="1" t="s">
        <v>50</v>
      </c>
      <c r="L841" s="1" t="s">
        <v>104</v>
      </c>
      <c r="M841" s="1" t="s">
        <v>104</v>
      </c>
      <c r="N841" s="1" t="s">
        <v>50</v>
      </c>
      <c r="O841" s="1" t="s">
        <v>50</v>
      </c>
      <c r="P841" s="13" t="s">
        <v>1707</v>
      </c>
      <c r="Q841" s="1" t="s">
        <v>104</v>
      </c>
      <c r="R841" s="1" t="s">
        <v>104</v>
      </c>
      <c r="S841" s="1" t="s">
        <v>104</v>
      </c>
      <c r="T841" s="1" t="s">
        <v>104</v>
      </c>
      <c r="U841" s="1" t="s">
        <v>104</v>
      </c>
      <c r="V841" s="1" t="s">
        <v>104</v>
      </c>
      <c r="W841" s="1" t="s">
        <v>104</v>
      </c>
      <c r="X841" s="1" t="s">
        <v>733</v>
      </c>
      <c r="Y841" s="1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1"/>
      <c r="BL841" s="58"/>
      <c r="BP841" t="str">
        <f t="shared" si="31"/>
        <v>FireGhost</v>
      </c>
      <c r="BR841">
        <v>7</v>
      </c>
    </row>
    <row r="842" spans="1:70" x14ac:dyDescent="0.25">
      <c r="A842">
        <f t="shared" si="32"/>
        <v>792</v>
      </c>
      <c r="B842" t="s">
        <v>1843</v>
      </c>
      <c r="D842" s="1" t="s">
        <v>10</v>
      </c>
      <c r="E842" s="1" t="s">
        <v>14</v>
      </c>
      <c r="F842" s="1" t="s">
        <v>50</v>
      </c>
      <c r="G842" s="1" t="s">
        <v>50</v>
      </c>
      <c r="H842" s="1"/>
      <c r="I842" s="1" t="s">
        <v>50</v>
      </c>
      <c r="J842" s="1" t="s">
        <v>50</v>
      </c>
      <c r="K842" s="1" t="s">
        <v>50</v>
      </c>
      <c r="L842" s="1" t="s">
        <v>104</v>
      </c>
      <c r="M842" s="1" t="s">
        <v>104</v>
      </c>
      <c r="N842" s="1" t="s">
        <v>50</v>
      </c>
      <c r="O842" s="1" t="s">
        <v>50</v>
      </c>
      <c r="P842" s="13" t="s">
        <v>1707</v>
      </c>
      <c r="Q842" s="1" t="s">
        <v>104</v>
      </c>
      <c r="R842" s="1" t="s">
        <v>104</v>
      </c>
      <c r="S842" s="1" t="s">
        <v>104</v>
      </c>
      <c r="T842" s="1" t="s">
        <v>104</v>
      </c>
      <c r="U842" s="1" t="s">
        <v>104</v>
      </c>
      <c r="V842" s="1" t="s">
        <v>104</v>
      </c>
      <c r="W842" s="1" t="s">
        <v>104</v>
      </c>
      <c r="X842" s="1" t="s">
        <v>733</v>
      </c>
      <c r="Y842" s="1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1"/>
      <c r="BL842" s="58"/>
      <c r="BP842" t="str">
        <f t="shared" si="31"/>
        <v>PoisonGhost</v>
      </c>
      <c r="BR842">
        <v>7</v>
      </c>
    </row>
    <row r="843" spans="1:70" x14ac:dyDescent="0.25">
      <c r="A843">
        <f t="shared" si="32"/>
        <v>793</v>
      </c>
      <c r="B843" t="s">
        <v>1684</v>
      </c>
      <c r="D843" s="1" t="s">
        <v>14</v>
      </c>
      <c r="E843" s="1" t="s">
        <v>12</v>
      </c>
      <c r="F843" s="1" t="s">
        <v>50</v>
      </c>
      <c r="G843" s="1" t="s">
        <v>50</v>
      </c>
      <c r="H843" s="1"/>
      <c r="I843" s="1" t="s">
        <v>50</v>
      </c>
      <c r="J843" s="1" t="s">
        <v>50</v>
      </c>
      <c r="K843" s="1" t="s">
        <v>50</v>
      </c>
      <c r="L843" s="1"/>
      <c r="M843" s="1" t="s">
        <v>104</v>
      </c>
      <c r="N843" s="1" t="s">
        <v>50</v>
      </c>
      <c r="O843" s="1" t="s">
        <v>50</v>
      </c>
      <c r="P843" s="1" t="s">
        <v>1721</v>
      </c>
      <c r="Q843" s="1" t="s">
        <v>104</v>
      </c>
      <c r="R843" s="1" t="s">
        <v>104</v>
      </c>
      <c r="S843" s="1" t="s">
        <v>104</v>
      </c>
      <c r="T843" s="1" t="s">
        <v>104</v>
      </c>
      <c r="U843" s="1" t="s">
        <v>104</v>
      </c>
      <c r="V843" s="1" t="s">
        <v>104</v>
      </c>
      <c r="W843" s="1" t="s">
        <v>104</v>
      </c>
      <c r="X843" s="1" t="s">
        <v>2057</v>
      </c>
      <c r="Y843" s="1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1"/>
      <c r="BL843" s="58">
        <v>1</v>
      </c>
      <c r="BP843" t="str">
        <f t="shared" si="31"/>
        <v>GhostDragon</v>
      </c>
      <c r="BR843">
        <v>8</v>
      </c>
    </row>
    <row r="844" spans="1:70" x14ac:dyDescent="0.25">
      <c r="A844">
        <f t="shared" si="32"/>
        <v>794</v>
      </c>
      <c r="B844" t="s">
        <v>2082</v>
      </c>
      <c r="D844" s="1" t="s">
        <v>14</v>
      </c>
      <c r="E844" s="1" t="s">
        <v>6</v>
      </c>
      <c r="F844" s="1" t="s">
        <v>50</v>
      </c>
      <c r="G844" s="1" t="s">
        <v>50</v>
      </c>
      <c r="H844" s="1"/>
      <c r="I844" s="1" t="s">
        <v>50</v>
      </c>
      <c r="J844" s="1" t="s">
        <v>50</v>
      </c>
      <c r="K844" s="1" t="s">
        <v>50</v>
      </c>
      <c r="L844" s="1"/>
      <c r="M844" s="1" t="s">
        <v>50</v>
      </c>
      <c r="N844" s="1" t="s">
        <v>50</v>
      </c>
      <c r="O844" s="1" t="s">
        <v>50</v>
      </c>
      <c r="P844" s="1" t="s">
        <v>811</v>
      </c>
      <c r="Q844" s="1" t="s">
        <v>104</v>
      </c>
      <c r="R844" s="1" t="s">
        <v>104</v>
      </c>
      <c r="S844" s="1" t="s">
        <v>104</v>
      </c>
      <c r="T844" s="1" t="s">
        <v>104</v>
      </c>
      <c r="U844" s="1" t="s">
        <v>104</v>
      </c>
      <c r="V844" s="1" t="s">
        <v>104</v>
      </c>
      <c r="W844" s="1" t="s">
        <v>104</v>
      </c>
      <c r="X844" s="1" t="s">
        <v>2119</v>
      </c>
      <c r="Y844" s="1"/>
      <c r="Z844" s="8">
        <v>1</v>
      </c>
      <c r="AA844" s="8"/>
      <c r="AB844" s="8"/>
      <c r="AC844" s="8"/>
      <c r="AD844" s="8"/>
      <c r="AE844" s="8"/>
      <c r="AF844" s="8"/>
      <c r="AG844" s="8">
        <v>1</v>
      </c>
      <c r="AH844" s="8">
        <v>1</v>
      </c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1"/>
      <c r="BL844" s="58"/>
      <c r="BP844" t="str">
        <f t="shared" si="31"/>
        <v>GhostSteel</v>
      </c>
      <c r="BQ844" t="s">
        <v>2</v>
      </c>
      <c r="BR844">
        <v>4</v>
      </c>
    </row>
    <row r="845" spans="1:70" x14ac:dyDescent="0.25">
      <c r="A845">
        <f t="shared" si="32"/>
        <v>795</v>
      </c>
      <c r="B845" t="s">
        <v>2083</v>
      </c>
      <c r="D845" s="1" t="s">
        <v>14</v>
      </c>
      <c r="E845" s="1" t="s">
        <v>6</v>
      </c>
      <c r="F845" s="1" t="s">
        <v>50</v>
      </c>
      <c r="G845" s="1" t="s">
        <v>50</v>
      </c>
      <c r="H845" s="1" t="s">
        <v>50</v>
      </c>
      <c r="I845" s="1" t="s">
        <v>50</v>
      </c>
      <c r="J845" s="1" t="s">
        <v>50</v>
      </c>
      <c r="K845" s="1" t="s">
        <v>50</v>
      </c>
      <c r="L845" s="1"/>
      <c r="M845" s="1" t="s">
        <v>104</v>
      </c>
      <c r="N845" s="1" t="s">
        <v>50</v>
      </c>
      <c r="O845" s="1" t="s">
        <v>50</v>
      </c>
      <c r="P845" s="1" t="s">
        <v>811</v>
      </c>
      <c r="Q845" s="1" t="s">
        <v>104</v>
      </c>
      <c r="R845" s="1" t="s">
        <v>104</v>
      </c>
      <c r="S845" s="1" t="s">
        <v>104</v>
      </c>
      <c r="T845" s="1" t="s">
        <v>104</v>
      </c>
      <c r="U845" s="1" t="s">
        <v>104</v>
      </c>
      <c r="V845" s="1" t="s">
        <v>104</v>
      </c>
      <c r="W845" s="1" t="s">
        <v>104</v>
      </c>
      <c r="X845" s="1" t="s">
        <v>2119</v>
      </c>
      <c r="Y845" s="1"/>
      <c r="Z845" s="8">
        <v>1</v>
      </c>
      <c r="AA845" s="8"/>
      <c r="AB845" s="8"/>
      <c r="AC845" s="8"/>
      <c r="AD845" s="8"/>
      <c r="AE845" s="8"/>
      <c r="AF845" s="8"/>
      <c r="AG845" s="8">
        <v>1</v>
      </c>
      <c r="AH845" s="8">
        <v>1</v>
      </c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1"/>
      <c r="BK845">
        <v>2</v>
      </c>
      <c r="BL845" s="58"/>
      <c r="BP845" t="str">
        <f t="shared" si="31"/>
        <v>GhostSteel</v>
      </c>
      <c r="BR845">
        <v>4</v>
      </c>
    </row>
    <row r="846" spans="1:70" x14ac:dyDescent="0.25">
      <c r="A846">
        <f t="shared" si="32"/>
        <v>796</v>
      </c>
      <c r="B846" t="s">
        <v>2084</v>
      </c>
      <c r="D846" s="1" t="s">
        <v>9</v>
      </c>
      <c r="E846" s="1">
        <v>0</v>
      </c>
      <c r="F846" s="1" t="s">
        <v>50</v>
      </c>
      <c r="G846" s="1" t="s">
        <v>50</v>
      </c>
      <c r="H846" s="1"/>
      <c r="I846" s="1" t="s">
        <v>50</v>
      </c>
      <c r="J846" s="1" t="s">
        <v>50</v>
      </c>
      <c r="K846" s="1" t="s">
        <v>50</v>
      </c>
      <c r="L846" s="1"/>
      <c r="M846" s="1" t="s">
        <v>50</v>
      </c>
      <c r="N846" s="1" t="s">
        <v>50</v>
      </c>
      <c r="O846" s="1" t="s">
        <v>50</v>
      </c>
      <c r="P846" s="1" t="s">
        <v>2063</v>
      </c>
      <c r="Q846" s="1" t="s">
        <v>104</v>
      </c>
      <c r="R846" s="1" t="s">
        <v>104</v>
      </c>
      <c r="S846" s="1" t="s">
        <v>104</v>
      </c>
      <c r="T846" s="1" t="s">
        <v>104</v>
      </c>
      <c r="U846" s="1" t="s">
        <v>104</v>
      </c>
      <c r="V846" s="1" t="s">
        <v>104</v>
      </c>
      <c r="W846" s="1" t="s">
        <v>104</v>
      </c>
      <c r="X846" s="1" t="s">
        <v>727</v>
      </c>
      <c r="Y846" s="1"/>
      <c r="Z846" s="8"/>
      <c r="AA846" s="8"/>
      <c r="AB846" s="8"/>
      <c r="AC846" s="8"/>
      <c r="AD846" s="8">
        <v>1</v>
      </c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1"/>
      <c r="BL846" s="58"/>
      <c r="BP846" t="str">
        <f t="shared" si="31"/>
        <v>Rock0</v>
      </c>
      <c r="BQ846" t="s">
        <v>2</v>
      </c>
      <c r="BR846">
        <v>6</v>
      </c>
    </row>
    <row r="847" spans="1:70" x14ac:dyDescent="0.25">
      <c r="A847">
        <f t="shared" si="32"/>
        <v>797</v>
      </c>
      <c r="B847" t="s">
        <v>2085</v>
      </c>
      <c r="D847" s="1" t="s">
        <v>9</v>
      </c>
      <c r="E847" s="1">
        <v>0</v>
      </c>
      <c r="F847" s="1" t="s">
        <v>50</v>
      </c>
      <c r="G847" s="1" t="s">
        <v>50</v>
      </c>
      <c r="H847" s="1" t="s">
        <v>50</v>
      </c>
      <c r="I847" s="1" t="s">
        <v>50</v>
      </c>
      <c r="J847" s="1" t="s">
        <v>50</v>
      </c>
      <c r="K847" s="1" t="s">
        <v>50</v>
      </c>
      <c r="L847" s="1"/>
      <c r="M847" s="1" t="s">
        <v>104</v>
      </c>
      <c r="N847" s="1" t="s">
        <v>50</v>
      </c>
      <c r="O847" s="1" t="s">
        <v>50</v>
      </c>
      <c r="P847" s="1" t="s">
        <v>2063</v>
      </c>
      <c r="Q847" s="1" t="s">
        <v>104</v>
      </c>
      <c r="R847" s="1" t="s">
        <v>104</v>
      </c>
      <c r="S847" s="1" t="s">
        <v>104</v>
      </c>
      <c r="T847" s="1" t="s">
        <v>104</v>
      </c>
      <c r="U847" s="1" t="s">
        <v>104</v>
      </c>
      <c r="V847" s="1" t="s">
        <v>104</v>
      </c>
      <c r="W847" s="1" t="s">
        <v>104</v>
      </c>
      <c r="X847" s="1" t="s">
        <v>727</v>
      </c>
      <c r="Y847" s="1"/>
      <c r="Z847" s="8"/>
      <c r="AA847" s="8"/>
      <c r="AB847" s="8"/>
      <c r="AC847" s="8"/>
      <c r="AD847" s="8">
        <v>1</v>
      </c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1"/>
      <c r="BL847" s="58"/>
      <c r="BP847" t="str">
        <f t="shared" si="31"/>
        <v>Rock0</v>
      </c>
      <c r="BR847">
        <v>6</v>
      </c>
    </row>
    <row r="848" spans="1:70" x14ac:dyDescent="0.25">
      <c r="A848">
        <f t="shared" si="32"/>
        <v>798</v>
      </c>
      <c r="B848" t="s">
        <v>2086</v>
      </c>
      <c r="D848" s="1" t="s">
        <v>17</v>
      </c>
      <c r="E848" s="1">
        <v>0</v>
      </c>
      <c r="F848" s="1" t="s">
        <v>50</v>
      </c>
      <c r="G848" s="1" t="s">
        <v>50</v>
      </c>
      <c r="H848" s="1"/>
      <c r="I848" s="1" t="s">
        <v>50</v>
      </c>
      <c r="J848" s="1" t="s">
        <v>50</v>
      </c>
      <c r="K848" s="1" t="s">
        <v>50</v>
      </c>
      <c r="L848" s="1"/>
      <c r="M848" s="1" t="s">
        <v>50</v>
      </c>
      <c r="N848" s="1" t="s">
        <v>50</v>
      </c>
      <c r="O848" s="1" t="s">
        <v>50</v>
      </c>
      <c r="P848" s="13" t="s">
        <v>810</v>
      </c>
      <c r="Q848" s="1" t="s">
        <v>104</v>
      </c>
      <c r="R848" s="1" t="s">
        <v>104</v>
      </c>
      <c r="S848" s="1" t="s">
        <v>104</v>
      </c>
      <c r="T848" s="1" t="s">
        <v>104</v>
      </c>
      <c r="U848" s="1" t="s">
        <v>104</v>
      </c>
      <c r="V848" s="1" t="s">
        <v>104</v>
      </c>
      <c r="W848" s="1" t="s">
        <v>104</v>
      </c>
      <c r="X848" s="1" t="s">
        <v>727</v>
      </c>
      <c r="Y848" s="1"/>
      <c r="Z848" s="8">
        <v>1</v>
      </c>
      <c r="AA848" s="8">
        <v>1</v>
      </c>
      <c r="AB848" s="8">
        <v>1</v>
      </c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>
        <v>1</v>
      </c>
      <c r="BA848" s="8"/>
      <c r="BB848" s="1"/>
      <c r="BL848" s="58"/>
      <c r="BP848" t="str">
        <f t="shared" si="31"/>
        <v>Bug0</v>
      </c>
      <c r="BQ848" t="s">
        <v>2</v>
      </c>
      <c r="BR848">
        <v>7</v>
      </c>
    </row>
    <row r="849" spans="1:70" x14ac:dyDescent="0.25">
      <c r="A849">
        <f t="shared" si="32"/>
        <v>799</v>
      </c>
      <c r="B849" t="s">
        <v>2087</v>
      </c>
      <c r="D849" s="1" t="s">
        <v>17</v>
      </c>
      <c r="E849" s="1" t="s">
        <v>18</v>
      </c>
      <c r="F849" s="1" t="s">
        <v>50</v>
      </c>
      <c r="G849" s="1" t="s">
        <v>50</v>
      </c>
      <c r="H849" s="1" t="s">
        <v>50</v>
      </c>
      <c r="I849" s="1" t="s">
        <v>50</v>
      </c>
      <c r="J849" s="1" t="s">
        <v>50</v>
      </c>
      <c r="K849" s="1" t="s">
        <v>50</v>
      </c>
      <c r="L849" s="1"/>
      <c r="M849" s="1" t="s">
        <v>104</v>
      </c>
      <c r="N849" s="1" t="s">
        <v>50</v>
      </c>
      <c r="O849" s="1" t="s">
        <v>50</v>
      </c>
      <c r="P849" s="13" t="s">
        <v>810</v>
      </c>
      <c r="Q849" s="1" t="s">
        <v>104</v>
      </c>
      <c r="R849" s="1" t="s">
        <v>104</v>
      </c>
      <c r="S849" s="1" t="s">
        <v>104</v>
      </c>
      <c r="T849" s="1" t="s">
        <v>104</v>
      </c>
      <c r="U849" s="1" t="s">
        <v>104</v>
      </c>
      <c r="V849" s="1" t="s">
        <v>104</v>
      </c>
      <c r="W849" s="1" t="s">
        <v>104</v>
      </c>
      <c r="X849" s="1" t="s">
        <v>727</v>
      </c>
      <c r="Y849" s="1"/>
      <c r="Z849" s="8">
        <v>1</v>
      </c>
      <c r="AA849" s="8">
        <v>1</v>
      </c>
      <c r="AB849" s="8">
        <v>1</v>
      </c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>
        <v>1</v>
      </c>
      <c r="BA849" s="8"/>
      <c r="BB849" s="1"/>
      <c r="BL849" s="58"/>
      <c r="BP849" t="str">
        <f t="shared" si="31"/>
        <v>BugFighting</v>
      </c>
      <c r="BR849">
        <v>7</v>
      </c>
    </row>
    <row r="850" spans="1:70" x14ac:dyDescent="0.25">
      <c r="A850">
        <f t="shared" si="32"/>
        <v>800</v>
      </c>
      <c r="B850" t="s">
        <v>2088</v>
      </c>
      <c r="D850" s="1" t="s">
        <v>8</v>
      </c>
      <c r="E850" s="1" t="s">
        <v>16</v>
      </c>
      <c r="F850" s="1" t="s">
        <v>50</v>
      </c>
      <c r="G850" s="1" t="s">
        <v>50</v>
      </c>
      <c r="H850" s="1"/>
      <c r="I850" s="1" t="s">
        <v>50</v>
      </c>
      <c r="J850" s="1" t="s">
        <v>50</v>
      </c>
      <c r="K850" s="1" t="s">
        <v>50</v>
      </c>
      <c r="L850" s="1"/>
      <c r="M850" s="1" t="s">
        <v>50</v>
      </c>
      <c r="N850" s="1" t="s">
        <v>50</v>
      </c>
      <c r="O850" s="1" t="s">
        <v>50</v>
      </c>
      <c r="P850" s="13" t="s">
        <v>2059</v>
      </c>
      <c r="Q850" s="1" t="s">
        <v>104</v>
      </c>
      <c r="R850" s="1" t="s">
        <v>104</v>
      </c>
      <c r="S850" s="1" t="s">
        <v>104</v>
      </c>
      <c r="T850" s="1" t="s">
        <v>104</v>
      </c>
      <c r="U850" s="1" t="s">
        <v>104</v>
      </c>
      <c r="V850" s="1" t="s">
        <v>104</v>
      </c>
      <c r="W850" s="1" t="s">
        <v>104</v>
      </c>
      <c r="X850" s="1" t="s">
        <v>2436</v>
      </c>
      <c r="Y850" s="1"/>
      <c r="Z850" s="8"/>
      <c r="AA850" s="8"/>
      <c r="AB850" s="8"/>
      <c r="AC850" s="8"/>
      <c r="AD850" s="8"/>
      <c r="AE850" s="8">
        <v>1</v>
      </c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1"/>
      <c r="BL850" s="58"/>
      <c r="BP850" t="str">
        <f t="shared" si="31"/>
        <v>GroundFlying</v>
      </c>
      <c r="BQ850" t="s">
        <v>2</v>
      </c>
      <c r="BR850">
        <v>5</v>
      </c>
    </row>
    <row r="851" spans="1:70" x14ac:dyDescent="0.25">
      <c r="A851">
        <f t="shared" si="32"/>
        <v>801</v>
      </c>
      <c r="B851" t="s">
        <v>2089</v>
      </c>
      <c r="D851" s="1" t="s">
        <v>8</v>
      </c>
      <c r="E851" s="1" t="s">
        <v>16</v>
      </c>
      <c r="F851" s="1" t="s">
        <v>50</v>
      </c>
      <c r="G851" s="1" t="s">
        <v>50</v>
      </c>
      <c r="H851" s="1" t="s">
        <v>50</v>
      </c>
      <c r="I851" s="1" t="s">
        <v>50</v>
      </c>
      <c r="J851" s="1" t="s">
        <v>50</v>
      </c>
      <c r="K851" s="1" t="s">
        <v>50</v>
      </c>
      <c r="L851" s="1"/>
      <c r="M851" s="1" t="s">
        <v>104</v>
      </c>
      <c r="N851" s="1" t="s">
        <v>50</v>
      </c>
      <c r="O851" s="1" t="s">
        <v>50</v>
      </c>
      <c r="P851" s="13" t="s">
        <v>2059</v>
      </c>
      <c r="Q851" s="1" t="s">
        <v>104</v>
      </c>
      <c r="R851" s="1" t="s">
        <v>104</v>
      </c>
      <c r="S851" s="1" t="s">
        <v>104</v>
      </c>
      <c r="T851" s="1" t="s">
        <v>104</v>
      </c>
      <c r="U851" s="1" t="s">
        <v>104</v>
      </c>
      <c r="V851" s="1" t="s">
        <v>104</v>
      </c>
      <c r="W851" s="1" t="s">
        <v>104</v>
      </c>
      <c r="X851" s="1" t="s">
        <v>2436</v>
      </c>
      <c r="Y851" s="1"/>
      <c r="Z851" s="8"/>
      <c r="AA851" s="8"/>
      <c r="AB851" s="8"/>
      <c r="AC851" s="8"/>
      <c r="AD851" s="8"/>
      <c r="AE851" s="8">
        <v>1</v>
      </c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1"/>
      <c r="BL851" s="58"/>
      <c r="BP851" t="str">
        <f t="shared" si="31"/>
        <v>GroundFlying</v>
      </c>
      <c r="BR851">
        <v>5</v>
      </c>
    </row>
    <row r="852" spans="1:70" x14ac:dyDescent="0.25">
      <c r="A852">
        <f t="shared" si="32"/>
        <v>802</v>
      </c>
      <c r="B852" t="s">
        <v>2090</v>
      </c>
      <c r="D852" s="1" t="s">
        <v>17</v>
      </c>
      <c r="E852" s="1" t="s">
        <v>5</v>
      </c>
      <c r="F852" s="1" t="s">
        <v>50</v>
      </c>
      <c r="G852" s="1" t="s">
        <v>50</v>
      </c>
      <c r="H852" s="1"/>
      <c r="I852" s="1" t="s">
        <v>50</v>
      </c>
      <c r="J852" s="1" t="s">
        <v>50</v>
      </c>
      <c r="K852" s="1" t="s">
        <v>50</v>
      </c>
      <c r="L852" s="1"/>
      <c r="M852" s="1" t="s">
        <v>50</v>
      </c>
      <c r="N852" s="1" t="s">
        <v>50</v>
      </c>
      <c r="O852" s="1" t="s">
        <v>50</v>
      </c>
      <c r="P852" s="13" t="s">
        <v>807</v>
      </c>
      <c r="Q852" s="1" t="s">
        <v>104</v>
      </c>
      <c r="R852" s="1" t="s">
        <v>104</v>
      </c>
      <c r="S852" s="1" t="s">
        <v>104</v>
      </c>
      <c r="T852" s="1" t="s">
        <v>104</v>
      </c>
      <c r="U852" s="1" t="s">
        <v>104</v>
      </c>
      <c r="V852" s="1" t="s">
        <v>104</v>
      </c>
      <c r="W852" s="1" t="s">
        <v>104</v>
      </c>
      <c r="X852" s="1" t="s">
        <v>727</v>
      </c>
      <c r="Y852" s="1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>
        <v>1</v>
      </c>
      <c r="AP852" s="8">
        <v>1</v>
      </c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1"/>
      <c r="BL852" s="58"/>
      <c r="BP852" t="str">
        <f t="shared" si="31"/>
        <v>BugIce</v>
      </c>
      <c r="BQ852" t="s">
        <v>2</v>
      </c>
      <c r="BR852">
        <v>9</v>
      </c>
    </row>
    <row r="853" spans="1:70" x14ac:dyDescent="0.25">
      <c r="A853">
        <f t="shared" si="32"/>
        <v>803</v>
      </c>
      <c r="B853" t="s">
        <v>2091</v>
      </c>
      <c r="D853" s="1" t="s">
        <v>17</v>
      </c>
      <c r="E853" s="1" t="s">
        <v>5</v>
      </c>
      <c r="F853" s="1" t="s">
        <v>50</v>
      </c>
      <c r="G853" s="1" t="s">
        <v>50</v>
      </c>
      <c r="H853" s="1" t="s">
        <v>50</v>
      </c>
      <c r="I853" s="1" t="s">
        <v>50</v>
      </c>
      <c r="J853" s="1" t="s">
        <v>50</v>
      </c>
      <c r="K853" s="1" t="s">
        <v>50</v>
      </c>
      <c r="L853" s="1"/>
      <c r="M853" s="1" t="s">
        <v>104</v>
      </c>
      <c r="N853" s="1" t="s">
        <v>50</v>
      </c>
      <c r="O853" s="1" t="s">
        <v>50</v>
      </c>
      <c r="P853" s="13" t="s">
        <v>807</v>
      </c>
      <c r="Q853" s="1" t="s">
        <v>104</v>
      </c>
      <c r="R853" s="1" t="s">
        <v>104</v>
      </c>
      <c r="S853" s="1" t="s">
        <v>104</v>
      </c>
      <c r="T853" s="1" t="s">
        <v>104</v>
      </c>
      <c r="U853" s="1" t="s">
        <v>104</v>
      </c>
      <c r="V853" s="1" t="s">
        <v>104</v>
      </c>
      <c r="W853" s="1" t="s">
        <v>104</v>
      </c>
      <c r="X853" s="1" t="s">
        <v>727</v>
      </c>
      <c r="Y853" s="1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>
        <v>1</v>
      </c>
      <c r="AP853" s="8">
        <v>1</v>
      </c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1"/>
      <c r="BL853" s="58"/>
      <c r="BP853" t="str">
        <f t="shared" si="31"/>
        <v>BugIce</v>
      </c>
      <c r="BR853">
        <v>9</v>
      </c>
    </row>
    <row r="854" spans="1:70" x14ac:dyDescent="0.25">
      <c r="A854">
        <f t="shared" si="32"/>
        <v>804</v>
      </c>
      <c r="B854" t="s">
        <v>2092</v>
      </c>
      <c r="D854" s="1" t="s">
        <v>6</v>
      </c>
      <c r="E854" s="1" t="s">
        <v>13</v>
      </c>
      <c r="F854" s="1" t="s">
        <v>50</v>
      </c>
      <c r="G854" s="1" t="s">
        <v>50</v>
      </c>
      <c r="H854" s="1"/>
      <c r="I854" s="1" t="s">
        <v>50</v>
      </c>
      <c r="J854" s="1" t="s">
        <v>50</v>
      </c>
      <c r="K854" s="1" t="s">
        <v>50</v>
      </c>
      <c r="L854" s="1"/>
      <c r="M854" s="1" t="s">
        <v>50</v>
      </c>
      <c r="N854" s="1" t="s">
        <v>50</v>
      </c>
      <c r="O854" s="1" t="s">
        <v>50</v>
      </c>
      <c r="P854" s="13" t="s">
        <v>1716</v>
      </c>
      <c r="Q854" s="1" t="s">
        <v>104</v>
      </c>
      <c r="R854" s="1" t="s">
        <v>104</v>
      </c>
      <c r="S854" s="1" t="s">
        <v>104</v>
      </c>
      <c r="T854" s="1" t="s">
        <v>104</v>
      </c>
      <c r="U854" s="1" t="s">
        <v>104</v>
      </c>
      <c r="V854" s="1" t="s">
        <v>104</v>
      </c>
      <c r="W854" s="1" t="s">
        <v>104</v>
      </c>
      <c r="X854" s="1" t="s">
        <v>727</v>
      </c>
      <c r="Y854" s="1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>
        <v>1</v>
      </c>
      <c r="AT854" s="8"/>
      <c r="AU854" s="8"/>
      <c r="AV854" s="8"/>
      <c r="AW854" s="8"/>
      <c r="AX854" s="8"/>
      <c r="AY854" s="8"/>
      <c r="AZ854" s="8"/>
      <c r="BA854" s="8"/>
      <c r="BB854" s="1"/>
      <c r="BL854" s="58"/>
      <c r="BP854" t="str">
        <f t="shared" si="31"/>
        <v>SteelFire</v>
      </c>
      <c r="BQ854" t="s">
        <v>2</v>
      </c>
      <c r="BR854">
        <v>4</v>
      </c>
    </row>
    <row r="855" spans="1:70" x14ac:dyDescent="0.25">
      <c r="A855">
        <f t="shared" si="32"/>
        <v>805</v>
      </c>
      <c r="B855" t="s">
        <v>2093</v>
      </c>
      <c r="D855" s="1" t="s">
        <v>6</v>
      </c>
      <c r="E855" s="1" t="s">
        <v>13</v>
      </c>
      <c r="F855" s="1" t="s">
        <v>50</v>
      </c>
      <c r="G855" s="1" t="s">
        <v>50</v>
      </c>
      <c r="H855" s="1" t="s">
        <v>50</v>
      </c>
      <c r="I855" s="1" t="s">
        <v>50</v>
      </c>
      <c r="J855" s="1" t="s">
        <v>50</v>
      </c>
      <c r="K855" s="1" t="s">
        <v>50</v>
      </c>
      <c r="L855" s="1"/>
      <c r="M855" s="1" t="s">
        <v>104</v>
      </c>
      <c r="N855" s="1" t="s">
        <v>50</v>
      </c>
      <c r="O855" s="1" t="s">
        <v>50</v>
      </c>
      <c r="P855" s="13" t="s">
        <v>1716</v>
      </c>
      <c r="Q855" s="1" t="s">
        <v>50</v>
      </c>
      <c r="R855" s="1" t="s">
        <v>50</v>
      </c>
      <c r="S855" s="1" t="s">
        <v>50</v>
      </c>
      <c r="T855" s="1" t="s">
        <v>50</v>
      </c>
      <c r="U855" s="1" t="s">
        <v>50</v>
      </c>
      <c r="V855" s="1" t="s">
        <v>50</v>
      </c>
      <c r="W855" s="1" t="s">
        <v>50</v>
      </c>
      <c r="X855" s="1" t="s">
        <v>727</v>
      </c>
      <c r="Y855" s="1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>
        <v>1</v>
      </c>
      <c r="AT855" s="8"/>
      <c r="AU855" s="8"/>
      <c r="AV855" s="8"/>
      <c r="AW855" s="8"/>
      <c r="AX855" s="8"/>
      <c r="AY855" s="8"/>
      <c r="AZ855" s="8"/>
      <c r="BA855" s="8"/>
      <c r="BB855" s="1"/>
      <c r="BK855">
        <v>1</v>
      </c>
      <c r="BL855" s="58"/>
      <c r="BP855" t="str">
        <f t="shared" si="31"/>
        <v>SteelFire</v>
      </c>
      <c r="BR855">
        <v>4</v>
      </c>
    </row>
    <row r="856" spans="1:70" x14ac:dyDescent="0.25">
      <c r="A856">
        <f t="shared" si="32"/>
        <v>806</v>
      </c>
      <c r="B856" t="s">
        <v>2094</v>
      </c>
      <c r="D856" s="1" t="s">
        <v>0</v>
      </c>
      <c r="E856" s="1">
        <v>0</v>
      </c>
      <c r="F856" s="1" t="s">
        <v>50</v>
      </c>
      <c r="G856" s="1" t="s">
        <v>50</v>
      </c>
      <c r="H856" s="1" t="s">
        <v>50</v>
      </c>
      <c r="I856" s="1" t="s">
        <v>50</v>
      </c>
      <c r="J856" s="1" t="s">
        <v>50</v>
      </c>
      <c r="K856" s="1" t="s">
        <v>50</v>
      </c>
      <c r="L856" s="1"/>
      <c r="M856" s="1" t="s">
        <v>50</v>
      </c>
      <c r="N856" s="1" t="s">
        <v>50</v>
      </c>
      <c r="O856" s="1" t="s">
        <v>50</v>
      </c>
      <c r="P856" s="13" t="s">
        <v>2071</v>
      </c>
      <c r="Q856" s="1" t="s">
        <v>104</v>
      </c>
      <c r="R856" s="1" t="s">
        <v>104</v>
      </c>
      <c r="S856" s="1" t="s">
        <v>104</v>
      </c>
      <c r="T856" s="1" t="s">
        <v>104</v>
      </c>
      <c r="U856" s="1" t="s">
        <v>104</v>
      </c>
      <c r="V856" s="1" t="s">
        <v>104</v>
      </c>
      <c r="W856" s="1" t="s">
        <v>104</v>
      </c>
      <c r="X856" s="1" t="s">
        <v>2076</v>
      </c>
      <c r="Y856" s="1"/>
      <c r="Z856" s="8"/>
      <c r="AA856" s="8"/>
      <c r="AB856" s="8"/>
      <c r="AC856" s="8"/>
      <c r="AD856" s="8"/>
      <c r="AE856" s="8"/>
      <c r="AF856" s="8"/>
      <c r="AG856" s="8"/>
      <c r="AH856" s="8">
        <v>1</v>
      </c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>
        <v>1</v>
      </c>
      <c r="AU856" s="8">
        <v>1</v>
      </c>
      <c r="AV856" s="8"/>
      <c r="AW856" s="8"/>
      <c r="AX856" s="8"/>
      <c r="AY856" s="8"/>
      <c r="AZ856" s="8"/>
      <c r="BA856" s="8"/>
      <c r="BB856" s="1"/>
      <c r="BK856">
        <v>1</v>
      </c>
      <c r="BL856" s="58"/>
      <c r="BP856" t="str">
        <f t="shared" si="31"/>
        <v>Dark0</v>
      </c>
      <c r="BR856">
        <v>7</v>
      </c>
    </row>
    <row r="857" spans="1:70" x14ac:dyDescent="0.25">
      <c r="A857">
        <f t="shared" si="32"/>
        <v>807</v>
      </c>
      <c r="B857" t="s">
        <v>2095</v>
      </c>
      <c r="D857" s="1" t="s">
        <v>10</v>
      </c>
      <c r="E857" s="1" t="s">
        <v>14</v>
      </c>
      <c r="F857" s="1" t="s">
        <v>50</v>
      </c>
      <c r="G857" s="1" t="s">
        <v>50</v>
      </c>
      <c r="H857" s="1" t="s">
        <v>50</v>
      </c>
      <c r="I857" s="1" t="s">
        <v>50</v>
      </c>
      <c r="J857" s="1" t="s">
        <v>50</v>
      </c>
      <c r="K857" s="1" t="s">
        <v>50</v>
      </c>
      <c r="L857" s="1"/>
      <c r="M857" s="1" t="s">
        <v>50</v>
      </c>
      <c r="N857" s="1" t="s">
        <v>50</v>
      </c>
      <c r="O857" s="1" t="s">
        <v>50</v>
      </c>
      <c r="P857" s="1" t="s">
        <v>2063</v>
      </c>
      <c r="Q857" s="1" t="s">
        <v>104</v>
      </c>
      <c r="R857" s="1" t="s">
        <v>104</v>
      </c>
      <c r="S857" s="1" t="s">
        <v>104</v>
      </c>
      <c r="T857" s="1" t="s">
        <v>104</v>
      </c>
      <c r="U857" s="1" t="s">
        <v>104</v>
      </c>
      <c r="V857" s="1" t="s">
        <v>104</v>
      </c>
      <c r="W857" s="1" t="s">
        <v>104</v>
      </c>
      <c r="X857" s="1" t="s">
        <v>2120</v>
      </c>
      <c r="Y857" s="1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>
        <v>1</v>
      </c>
      <c r="AM857" s="8">
        <v>1</v>
      </c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1"/>
      <c r="BK857">
        <v>1</v>
      </c>
      <c r="BL857" s="58"/>
      <c r="BP857" t="str">
        <f t="shared" si="31"/>
        <v>PoisonGhost</v>
      </c>
      <c r="BR857">
        <v>3</v>
      </c>
    </row>
    <row r="858" spans="1:70" x14ac:dyDescent="0.25">
      <c r="A858">
        <f t="shared" si="32"/>
        <v>808</v>
      </c>
      <c r="B858" t="s">
        <v>2096</v>
      </c>
      <c r="D858" s="1" t="s">
        <v>6</v>
      </c>
      <c r="E858" s="1" t="s">
        <v>18</v>
      </c>
      <c r="F858" s="1" t="s">
        <v>50</v>
      </c>
      <c r="G858" s="1" t="s">
        <v>50</v>
      </c>
      <c r="H858" s="1"/>
      <c r="I858" s="1" t="s">
        <v>50</v>
      </c>
      <c r="J858" s="1" t="s">
        <v>50</v>
      </c>
      <c r="K858" s="1" t="s">
        <v>50</v>
      </c>
      <c r="L858" s="1"/>
      <c r="M858" s="1" t="s">
        <v>50</v>
      </c>
      <c r="N858" s="1" t="s">
        <v>50</v>
      </c>
      <c r="O858" s="1" t="s">
        <v>50</v>
      </c>
      <c r="P858" s="13" t="s">
        <v>824</v>
      </c>
      <c r="Q858" s="1" t="s">
        <v>104</v>
      </c>
      <c r="R858" s="1" t="s">
        <v>104</v>
      </c>
      <c r="S858" s="1" t="s">
        <v>104</v>
      </c>
      <c r="T858" s="1" t="s">
        <v>104</v>
      </c>
      <c r="U858" s="1" t="s">
        <v>104</v>
      </c>
      <c r="V858" s="1" t="s">
        <v>104</v>
      </c>
      <c r="W858" s="1" t="s">
        <v>104</v>
      </c>
      <c r="X858" s="1" t="s">
        <v>727</v>
      </c>
      <c r="Y858" s="1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>
        <v>1</v>
      </c>
      <c r="AT858" s="8"/>
      <c r="AU858" s="8"/>
      <c r="AV858" s="8"/>
      <c r="AW858" s="8"/>
      <c r="AX858" s="8"/>
      <c r="AY858" s="8"/>
      <c r="AZ858" s="8"/>
      <c r="BA858" s="8"/>
      <c r="BB858" s="1"/>
      <c r="BL858" s="58"/>
      <c r="BP858" t="str">
        <f t="shared" si="31"/>
        <v>SteelFighting</v>
      </c>
      <c r="BQ858" t="s">
        <v>2</v>
      </c>
      <c r="BR858">
        <v>3</v>
      </c>
    </row>
    <row r="859" spans="1:70" x14ac:dyDescent="0.25">
      <c r="A859">
        <f t="shared" si="32"/>
        <v>809</v>
      </c>
      <c r="B859" t="s">
        <v>2097</v>
      </c>
      <c r="D859" s="1" t="s">
        <v>6</v>
      </c>
      <c r="E859" s="1" t="s">
        <v>18</v>
      </c>
      <c r="F859" s="1" t="s">
        <v>50</v>
      </c>
      <c r="G859" s="1" t="s">
        <v>50</v>
      </c>
      <c r="H859" s="1" t="s">
        <v>50</v>
      </c>
      <c r="I859" s="1" t="s">
        <v>50</v>
      </c>
      <c r="J859" s="1" t="s">
        <v>50</v>
      </c>
      <c r="K859" s="1" t="s">
        <v>50</v>
      </c>
      <c r="L859" s="1"/>
      <c r="M859" s="1" t="s">
        <v>104</v>
      </c>
      <c r="N859" s="1" t="s">
        <v>50</v>
      </c>
      <c r="O859" s="1" t="s">
        <v>50</v>
      </c>
      <c r="P859" s="13" t="s">
        <v>824</v>
      </c>
      <c r="Q859" s="1" t="s">
        <v>104</v>
      </c>
      <c r="R859" s="1" t="s">
        <v>104</v>
      </c>
      <c r="S859" s="1" t="s">
        <v>104</v>
      </c>
      <c r="T859" s="1" t="s">
        <v>104</v>
      </c>
      <c r="U859" s="1" t="s">
        <v>104</v>
      </c>
      <c r="V859" s="1" t="s">
        <v>104</v>
      </c>
      <c r="W859" s="1" t="s">
        <v>104</v>
      </c>
      <c r="X859" s="1" t="s">
        <v>727</v>
      </c>
      <c r="Y859" s="1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>
        <v>1</v>
      </c>
      <c r="AT859" s="8"/>
      <c r="AU859" s="8"/>
      <c r="AV859" s="8"/>
      <c r="AW859" s="8"/>
      <c r="AX859" s="8"/>
      <c r="AY859" s="8"/>
      <c r="AZ859" s="8"/>
      <c r="BA859" s="8"/>
      <c r="BB859" s="1"/>
      <c r="BK859">
        <v>2</v>
      </c>
      <c r="BL859" s="58">
        <v>1</v>
      </c>
      <c r="BP859" t="str">
        <f t="shared" si="31"/>
        <v>SteelFighting</v>
      </c>
      <c r="BR859">
        <v>3</v>
      </c>
    </row>
    <row r="860" spans="1:70" x14ac:dyDescent="0.25">
      <c r="A860">
        <f t="shared" si="32"/>
        <v>810</v>
      </c>
      <c r="B860" t="s">
        <v>2098</v>
      </c>
      <c r="D860" s="1" t="s">
        <v>14</v>
      </c>
      <c r="E860" s="1" t="s">
        <v>0</v>
      </c>
      <c r="F860" s="1" t="s">
        <v>50</v>
      </c>
      <c r="G860" s="1" t="s">
        <v>50</v>
      </c>
      <c r="H860" s="1"/>
      <c r="I860" s="1" t="s">
        <v>50</v>
      </c>
      <c r="J860" s="1" t="s">
        <v>50</v>
      </c>
      <c r="K860" s="1" t="s">
        <v>50</v>
      </c>
      <c r="L860" s="1"/>
      <c r="M860" s="1" t="s">
        <v>50</v>
      </c>
      <c r="N860" s="1" t="s">
        <v>50</v>
      </c>
      <c r="O860" s="1" t="s">
        <v>50</v>
      </c>
      <c r="P860" s="13" t="s">
        <v>1714</v>
      </c>
      <c r="Q860" s="1" t="s">
        <v>104</v>
      </c>
      <c r="R860" s="1" t="s">
        <v>104</v>
      </c>
      <c r="S860" s="1" t="s">
        <v>104</v>
      </c>
      <c r="T860" s="1" t="s">
        <v>104</v>
      </c>
      <c r="U860" s="1" t="s">
        <v>104</v>
      </c>
      <c r="V860" s="1" t="s">
        <v>104</v>
      </c>
      <c r="W860" s="1" t="s">
        <v>104</v>
      </c>
      <c r="X860" s="1" t="s">
        <v>2119</v>
      </c>
      <c r="Y860" s="1"/>
      <c r="Z860" s="8"/>
      <c r="AA860" s="8"/>
      <c r="AB860" s="8"/>
      <c r="AC860" s="8"/>
      <c r="AD860" s="8"/>
      <c r="AE860" s="8"/>
      <c r="AF860" s="8"/>
      <c r="AG860" s="8"/>
      <c r="AH860" s="8">
        <v>1</v>
      </c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>
        <v>1</v>
      </c>
      <c r="AT860" s="8"/>
      <c r="AU860" s="8"/>
      <c r="AV860" s="8"/>
      <c r="AW860" s="8"/>
      <c r="AX860" s="8"/>
      <c r="AY860" s="8"/>
      <c r="AZ860" s="8"/>
      <c r="BA860" s="8"/>
      <c r="BB860" s="1"/>
      <c r="BL860" s="58"/>
      <c r="BP860" t="str">
        <f t="shared" si="31"/>
        <v>GhostDark</v>
      </c>
      <c r="BQ860" t="s">
        <v>2</v>
      </c>
      <c r="BR860">
        <v>4</v>
      </c>
    </row>
    <row r="861" spans="1:70" x14ac:dyDescent="0.25">
      <c r="A861">
        <f t="shared" si="32"/>
        <v>811</v>
      </c>
      <c r="B861" t="s">
        <v>2099</v>
      </c>
      <c r="D861" s="1" t="s">
        <v>14</v>
      </c>
      <c r="E861" s="1" t="s">
        <v>0</v>
      </c>
      <c r="F861" s="1" t="s">
        <v>50</v>
      </c>
      <c r="G861" s="1" t="s">
        <v>50</v>
      </c>
      <c r="H861" s="1"/>
      <c r="I861" s="1" t="s">
        <v>50</v>
      </c>
      <c r="J861" s="1" t="s">
        <v>50</v>
      </c>
      <c r="K861" s="1" t="s">
        <v>50</v>
      </c>
      <c r="L861" s="1"/>
      <c r="M861" s="1" t="s">
        <v>104</v>
      </c>
      <c r="N861" s="1" t="s">
        <v>50</v>
      </c>
      <c r="O861" s="1" t="s">
        <v>50</v>
      </c>
      <c r="P861" s="13" t="s">
        <v>1714</v>
      </c>
      <c r="Q861" s="1" t="s">
        <v>104</v>
      </c>
      <c r="R861" s="1" t="s">
        <v>104</v>
      </c>
      <c r="S861" s="1" t="s">
        <v>104</v>
      </c>
      <c r="T861" s="1" t="s">
        <v>104</v>
      </c>
      <c r="U861" s="1" t="s">
        <v>104</v>
      </c>
      <c r="V861" s="1" t="s">
        <v>104</v>
      </c>
      <c r="W861" s="1" t="s">
        <v>104</v>
      </c>
      <c r="X861" s="1" t="s">
        <v>2119</v>
      </c>
      <c r="Y861" s="1"/>
      <c r="Z861" s="8"/>
      <c r="AA861" s="8"/>
      <c r="AB861" s="8"/>
      <c r="AC861" s="8"/>
      <c r="AD861" s="8"/>
      <c r="AE861" s="8"/>
      <c r="AF861" s="8"/>
      <c r="AG861" s="8"/>
      <c r="AH861" s="8">
        <v>1</v>
      </c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>
        <v>1</v>
      </c>
      <c r="AT861" s="8"/>
      <c r="AU861" s="8"/>
      <c r="AV861" s="8"/>
      <c r="AW861" s="8"/>
      <c r="AX861" s="8"/>
      <c r="AY861" s="8"/>
      <c r="AZ861" s="8"/>
      <c r="BA861" s="8"/>
      <c r="BB861" s="1"/>
      <c r="BK861">
        <v>1</v>
      </c>
      <c r="BL861" s="58"/>
      <c r="BP861" t="str">
        <f t="shared" si="31"/>
        <v>GhostDark</v>
      </c>
      <c r="BQ861" t="s">
        <v>2</v>
      </c>
      <c r="BR861">
        <v>1</v>
      </c>
    </row>
    <row r="862" spans="1:70" x14ac:dyDescent="0.25">
      <c r="A862">
        <f t="shared" si="32"/>
        <v>812</v>
      </c>
      <c r="B862" t="s">
        <v>2100</v>
      </c>
      <c r="D862" s="1" t="s">
        <v>14</v>
      </c>
      <c r="E862" s="1" t="s">
        <v>0</v>
      </c>
      <c r="F862" s="1" t="s">
        <v>50</v>
      </c>
      <c r="G862" s="1" t="s">
        <v>50</v>
      </c>
      <c r="H862" s="1" t="s">
        <v>50</v>
      </c>
      <c r="I862" s="1" t="s">
        <v>50</v>
      </c>
      <c r="J862" s="1" t="s">
        <v>50</v>
      </c>
      <c r="K862" s="1" t="s">
        <v>50</v>
      </c>
      <c r="L862" s="1"/>
      <c r="M862" s="1" t="s">
        <v>104</v>
      </c>
      <c r="N862" s="1" t="s">
        <v>50</v>
      </c>
      <c r="O862" s="1" t="s">
        <v>50</v>
      </c>
      <c r="P862" s="13" t="s">
        <v>1714</v>
      </c>
      <c r="Q862" s="1" t="s">
        <v>104</v>
      </c>
      <c r="R862" s="1" t="s">
        <v>104</v>
      </c>
      <c r="S862" s="1" t="s">
        <v>104</v>
      </c>
      <c r="T862" s="1" t="s">
        <v>104</v>
      </c>
      <c r="U862" s="1" t="s">
        <v>104</v>
      </c>
      <c r="V862" s="1" t="s">
        <v>104</v>
      </c>
      <c r="W862" s="1" t="s">
        <v>104</v>
      </c>
      <c r="X862" s="1" t="s">
        <v>2119</v>
      </c>
      <c r="Y862" s="1"/>
      <c r="Z862" s="8"/>
      <c r="AA862" s="8"/>
      <c r="AB862" s="8"/>
      <c r="AC862" s="8"/>
      <c r="AD862" s="8"/>
      <c r="AE862" s="8"/>
      <c r="AF862" s="8"/>
      <c r="AG862" s="8"/>
      <c r="AH862" s="8">
        <v>1</v>
      </c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>
        <v>1</v>
      </c>
      <c r="AT862" s="8"/>
      <c r="AU862" s="8"/>
      <c r="AV862" s="8"/>
      <c r="AW862" s="8"/>
      <c r="AX862" s="8"/>
      <c r="AY862" s="8"/>
      <c r="AZ862" s="8"/>
      <c r="BA862" s="8"/>
      <c r="BB862" s="1"/>
      <c r="BK862">
        <v>2</v>
      </c>
      <c r="BL862" s="58"/>
      <c r="BP862" t="str">
        <f t="shared" si="31"/>
        <v>GhostDark</v>
      </c>
      <c r="BR862">
        <v>8</v>
      </c>
    </row>
    <row r="863" spans="1:70" x14ac:dyDescent="0.25">
      <c r="A863">
        <f t="shared" si="32"/>
        <v>813</v>
      </c>
      <c r="B863" t="s">
        <v>2101</v>
      </c>
      <c r="D863" s="1" t="s">
        <v>15</v>
      </c>
      <c r="E863" s="1" t="s">
        <v>11</v>
      </c>
      <c r="F863" s="1" t="s">
        <v>50</v>
      </c>
      <c r="G863" s="1" t="s">
        <v>50</v>
      </c>
      <c r="H863" s="1"/>
      <c r="I863" s="1" t="s">
        <v>50</v>
      </c>
      <c r="J863" s="1" t="s">
        <v>50</v>
      </c>
      <c r="K863" s="1" t="s">
        <v>50</v>
      </c>
      <c r="L863" s="1"/>
      <c r="M863" s="1" t="s">
        <v>50</v>
      </c>
      <c r="N863" s="1" t="s">
        <v>50</v>
      </c>
      <c r="O863" s="1" t="s">
        <v>50</v>
      </c>
      <c r="P863" s="1" t="s">
        <v>811</v>
      </c>
      <c r="Q863" s="1" t="s">
        <v>104</v>
      </c>
      <c r="R863" s="1" t="s">
        <v>104</v>
      </c>
      <c r="S863" s="1" t="s">
        <v>104</v>
      </c>
      <c r="T863" s="1" t="s">
        <v>104</v>
      </c>
      <c r="U863" s="1" t="s">
        <v>104</v>
      </c>
      <c r="V863" s="1" t="s">
        <v>104</v>
      </c>
      <c r="W863" s="1" t="s">
        <v>104</v>
      </c>
      <c r="X863" s="1" t="s">
        <v>2119</v>
      </c>
      <c r="Y863" s="1"/>
      <c r="Z863" s="8"/>
      <c r="AA863" s="8"/>
      <c r="AB863" s="8"/>
      <c r="AC863" s="8"/>
      <c r="AD863" s="8"/>
      <c r="AE863" s="8"/>
      <c r="AF863" s="8"/>
      <c r="AG863" s="8"/>
      <c r="AH863" s="8"/>
      <c r="AI863" s="8">
        <v>1</v>
      </c>
      <c r="AJ863" s="8"/>
      <c r="AK863" s="8">
        <v>1</v>
      </c>
      <c r="AL863" s="8">
        <v>1</v>
      </c>
      <c r="AM863" s="8">
        <v>1</v>
      </c>
      <c r="AN863" s="8">
        <v>1</v>
      </c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1"/>
      <c r="BL863" s="58"/>
      <c r="BP863" t="str">
        <f t="shared" si="31"/>
        <v>WaterGrass</v>
      </c>
      <c r="BQ863" t="s">
        <v>2</v>
      </c>
      <c r="BR863">
        <v>1</v>
      </c>
    </row>
    <row r="864" spans="1:70" x14ac:dyDescent="0.25">
      <c r="A864">
        <f t="shared" si="32"/>
        <v>814</v>
      </c>
      <c r="B864" t="s">
        <v>2102</v>
      </c>
      <c r="D864" s="1" t="s">
        <v>15</v>
      </c>
      <c r="E864" s="1" t="s">
        <v>11</v>
      </c>
      <c r="F864" s="1" t="s">
        <v>50</v>
      </c>
      <c r="G864" s="1" t="s">
        <v>50</v>
      </c>
      <c r="H864" s="1" t="s">
        <v>50</v>
      </c>
      <c r="I864" s="1" t="s">
        <v>50</v>
      </c>
      <c r="J864" s="1" t="s">
        <v>50</v>
      </c>
      <c r="K864" s="1" t="s">
        <v>50</v>
      </c>
      <c r="L864" s="1"/>
      <c r="M864" s="1" t="s">
        <v>104</v>
      </c>
      <c r="N864" s="1" t="s">
        <v>50</v>
      </c>
      <c r="O864" s="1" t="s">
        <v>50</v>
      </c>
      <c r="P864" s="1" t="s">
        <v>811</v>
      </c>
      <c r="Q864" s="1" t="s">
        <v>104</v>
      </c>
      <c r="R864" s="1" t="s">
        <v>104</v>
      </c>
      <c r="S864" s="1" t="s">
        <v>104</v>
      </c>
      <c r="T864" s="1" t="s">
        <v>104</v>
      </c>
      <c r="U864" s="1" t="s">
        <v>104</v>
      </c>
      <c r="V864" s="1" t="s">
        <v>104</v>
      </c>
      <c r="W864" s="1" t="s">
        <v>104</v>
      </c>
      <c r="X864" s="1" t="s">
        <v>2119</v>
      </c>
      <c r="Y864" s="1"/>
      <c r="Z864" s="8"/>
      <c r="AA864" s="8"/>
      <c r="AB864" s="8"/>
      <c r="AC864" s="8"/>
      <c r="AD864" s="8"/>
      <c r="AE864" s="8"/>
      <c r="AF864" s="8"/>
      <c r="AG864" s="8"/>
      <c r="AH864" s="8"/>
      <c r="AI864" s="8">
        <v>1</v>
      </c>
      <c r="AJ864" s="8"/>
      <c r="AK864" s="8">
        <v>1</v>
      </c>
      <c r="AL864" s="8">
        <v>1</v>
      </c>
      <c r="AM864" s="8">
        <v>1</v>
      </c>
      <c r="AN864" s="8">
        <v>1</v>
      </c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1"/>
      <c r="BK864">
        <v>4</v>
      </c>
      <c r="BL864" s="58"/>
      <c r="BP864" t="str">
        <f t="shared" si="31"/>
        <v>WaterGrass</v>
      </c>
      <c r="BR864">
        <v>1</v>
      </c>
    </row>
    <row r="865" spans="1:70" x14ac:dyDescent="0.25">
      <c r="A865">
        <f t="shared" si="32"/>
        <v>815</v>
      </c>
      <c r="B865" t="s">
        <v>2103</v>
      </c>
      <c r="D865" s="1" t="s">
        <v>13</v>
      </c>
      <c r="E865" s="1" t="s">
        <v>6</v>
      </c>
      <c r="F865" s="1" t="s">
        <v>50</v>
      </c>
      <c r="G865" s="1" t="s">
        <v>50</v>
      </c>
      <c r="H865" s="1"/>
      <c r="I865" s="1" t="s">
        <v>50</v>
      </c>
      <c r="J865" s="1" t="s">
        <v>50</v>
      </c>
      <c r="K865" s="1" t="s">
        <v>50</v>
      </c>
      <c r="L865" s="1"/>
      <c r="M865" s="1" t="s">
        <v>50</v>
      </c>
      <c r="N865" s="1" t="s">
        <v>50</v>
      </c>
      <c r="O865" s="1" t="s">
        <v>50</v>
      </c>
      <c r="P865" s="1" t="s">
        <v>811</v>
      </c>
      <c r="Q865" s="1" t="s">
        <v>104</v>
      </c>
      <c r="R865" s="1" t="s">
        <v>104</v>
      </c>
      <c r="S865" s="1" t="s">
        <v>104</v>
      </c>
      <c r="T865" s="1" t="s">
        <v>104</v>
      </c>
      <c r="U865" s="1" t="s">
        <v>104</v>
      </c>
      <c r="V865" s="1" t="s">
        <v>104</v>
      </c>
      <c r="W865" s="1" t="s">
        <v>104</v>
      </c>
      <c r="X865" s="1" t="s">
        <v>2119</v>
      </c>
      <c r="Y865" s="1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>
        <v>1</v>
      </c>
      <c r="AT865" s="8"/>
      <c r="AU865" s="8"/>
      <c r="AV865" s="8"/>
      <c r="AW865" s="8">
        <v>1</v>
      </c>
      <c r="AX865" s="8"/>
      <c r="AY865" s="8"/>
      <c r="AZ865" s="8"/>
      <c r="BA865" s="8"/>
      <c r="BB865" s="1"/>
      <c r="BL865" s="58"/>
      <c r="BP865" t="str">
        <f t="shared" si="31"/>
        <v>FireSteel</v>
      </c>
      <c r="BQ865" t="s">
        <v>2</v>
      </c>
      <c r="BR865">
        <v>5</v>
      </c>
    </row>
    <row r="866" spans="1:70" x14ac:dyDescent="0.25">
      <c r="A866">
        <f t="shared" si="32"/>
        <v>816</v>
      </c>
      <c r="B866" t="s">
        <v>2104</v>
      </c>
      <c r="D866" s="1" t="s">
        <v>13</v>
      </c>
      <c r="E866" s="1" t="s">
        <v>6</v>
      </c>
      <c r="F866" s="1" t="s">
        <v>50</v>
      </c>
      <c r="G866" s="1" t="s">
        <v>50</v>
      </c>
      <c r="H866" s="1" t="s">
        <v>50</v>
      </c>
      <c r="I866" s="1" t="s">
        <v>50</v>
      </c>
      <c r="J866" s="1" t="s">
        <v>50</v>
      </c>
      <c r="K866" s="1" t="s">
        <v>50</v>
      </c>
      <c r="L866" s="1"/>
      <c r="M866" s="1" t="s">
        <v>104</v>
      </c>
      <c r="N866" s="1" t="s">
        <v>50</v>
      </c>
      <c r="O866" s="1" t="s">
        <v>50</v>
      </c>
      <c r="P866" s="1" t="s">
        <v>811</v>
      </c>
      <c r="Q866" s="1" t="s">
        <v>104</v>
      </c>
      <c r="R866" s="1" t="s">
        <v>104</v>
      </c>
      <c r="S866" s="1" t="s">
        <v>104</v>
      </c>
      <c r="T866" s="1" t="s">
        <v>104</v>
      </c>
      <c r="U866" s="1" t="s">
        <v>104</v>
      </c>
      <c r="V866" s="1" t="s">
        <v>104</v>
      </c>
      <c r="W866" s="1" t="s">
        <v>104</v>
      </c>
      <c r="X866" s="1" t="s">
        <v>2119</v>
      </c>
      <c r="Y866" s="1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>
        <v>1</v>
      </c>
      <c r="AT866" s="8"/>
      <c r="AU866" s="8"/>
      <c r="AV866" s="8"/>
      <c r="AW866" s="8">
        <v>1</v>
      </c>
      <c r="AX866" s="8"/>
      <c r="AY866" s="8"/>
      <c r="AZ866" s="8"/>
      <c r="BA866" s="8"/>
      <c r="BB866" s="1"/>
      <c r="BK866">
        <v>1</v>
      </c>
      <c r="BL866" s="58"/>
      <c r="BP866" t="str">
        <f t="shared" si="31"/>
        <v>FireSteel</v>
      </c>
      <c r="BR866">
        <v>5</v>
      </c>
    </row>
    <row r="867" spans="1:70" x14ac:dyDescent="0.25">
      <c r="A867">
        <f t="shared" si="32"/>
        <v>817</v>
      </c>
      <c r="B867" t="s">
        <v>2105</v>
      </c>
      <c r="D867" s="1" t="s">
        <v>6</v>
      </c>
      <c r="E867" s="1" t="s">
        <v>0</v>
      </c>
      <c r="F867" s="1" t="s">
        <v>50</v>
      </c>
      <c r="G867" s="1" t="s">
        <v>50</v>
      </c>
      <c r="H867" s="1"/>
      <c r="I867" s="1" t="s">
        <v>50</v>
      </c>
      <c r="J867" s="1" t="s">
        <v>50</v>
      </c>
      <c r="K867" s="1" t="s">
        <v>50</v>
      </c>
      <c r="L867" s="1"/>
      <c r="M867" s="1" t="s">
        <v>50</v>
      </c>
      <c r="N867" s="1" t="s">
        <v>50</v>
      </c>
      <c r="O867" s="1" t="s">
        <v>50</v>
      </c>
      <c r="P867" s="1" t="s">
        <v>811</v>
      </c>
      <c r="Q867" s="1" t="s">
        <v>104</v>
      </c>
      <c r="R867" s="1" t="s">
        <v>104</v>
      </c>
      <c r="S867" s="1" t="s">
        <v>104</v>
      </c>
      <c r="T867" s="1" t="s">
        <v>104</v>
      </c>
      <c r="U867" s="1" t="s">
        <v>104</v>
      </c>
      <c r="V867" s="1" t="s">
        <v>104</v>
      </c>
      <c r="W867" s="1" t="s">
        <v>104</v>
      </c>
      <c r="X867" s="1" t="s">
        <v>2119</v>
      </c>
      <c r="Y867" s="1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>
        <v>1</v>
      </c>
      <c r="AT867" s="8">
        <v>1</v>
      </c>
      <c r="AU867" s="8"/>
      <c r="AV867" s="8"/>
      <c r="AW867" s="8"/>
      <c r="AX867" s="8"/>
      <c r="AY867" s="8"/>
      <c r="AZ867" s="8"/>
      <c r="BA867" s="8"/>
      <c r="BB867" s="1"/>
      <c r="BL867" s="58"/>
      <c r="BP867" t="str">
        <f t="shared" si="31"/>
        <v>SteelDark</v>
      </c>
      <c r="BQ867" t="s">
        <v>2</v>
      </c>
      <c r="BR867">
        <v>5</v>
      </c>
    </row>
    <row r="868" spans="1:70" x14ac:dyDescent="0.25">
      <c r="A868">
        <f t="shared" si="32"/>
        <v>818</v>
      </c>
      <c r="B868" t="s">
        <v>2106</v>
      </c>
      <c r="D868" s="1" t="s">
        <v>6</v>
      </c>
      <c r="E868" s="1" t="s">
        <v>0</v>
      </c>
      <c r="F868" s="1" t="s">
        <v>50</v>
      </c>
      <c r="G868" s="1" t="s">
        <v>50</v>
      </c>
      <c r="H868" s="1" t="s">
        <v>50</v>
      </c>
      <c r="I868" s="1" t="s">
        <v>50</v>
      </c>
      <c r="J868" s="1" t="s">
        <v>50</v>
      </c>
      <c r="K868" s="1" t="s">
        <v>50</v>
      </c>
      <c r="L868" s="1"/>
      <c r="M868" s="1" t="s">
        <v>104</v>
      </c>
      <c r="N868" s="1" t="s">
        <v>50</v>
      </c>
      <c r="O868" s="1" t="s">
        <v>50</v>
      </c>
      <c r="P868" s="1" t="s">
        <v>811</v>
      </c>
      <c r="Q868" s="1" t="s">
        <v>104</v>
      </c>
      <c r="R868" s="1" t="s">
        <v>104</v>
      </c>
      <c r="S868" s="1" t="s">
        <v>104</v>
      </c>
      <c r="T868" s="1" t="s">
        <v>104</v>
      </c>
      <c r="U868" s="1" t="s">
        <v>104</v>
      </c>
      <c r="V868" s="1" t="s">
        <v>104</v>
      </c>
      <c r="W868" s="1" t="s">
        <v>104</v>
      </c>
      <c r="X868" s="1" t="s">
        <v>2119</v>
      </c>
      <c r="Y868" s="1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>
        <v>1</v>
      </c>
      <c r="AT868" s="8">
        <v>1</v>
      </c>
      <c r="AU868" s="8"/>
      <c r="AV868" s="8"/>
      <c r="AW868" s="8"/>
      <c r="AX868" s="8"/>
      <c r="AY868" s="8"/>
      <c r="AZ868" s="8"/>
      <c r="BA868" s="8"/>
      <c r="BB868" s="1"/>
      <c r="BK868">
        <v>2</v>
      </c>
      <c r="BL868" s="58"/>
      <c r="BP868" t="str">
        <f t="shared" si="31"/>
        <v>SteelDark</v>
      </c>
      <c r="BR868">
        <v>5</v>
      </c>
    </row>
    <row r="869" spans="1:70" x14ac:dyDescent="0.25">
      <c r="A869">
        <f t="shared" si="32"/>
        <v>819</v>
      </c>
      <c r="B869" t="s">
        <v>2107</v>
      </c>
      <c r="D869" s="1" t="s">
        <v>13</v>
      </c>
      <c r="E869" s="1" t="s">
        <v>4</v>
      </c>
      <c r="F869" s="1" t="s">
        <v>50</v>
      </c>
      <c r="G869" s="1" t="s">
        <v>50</v>
      </c>
      <c r="H869" s="1" t="s">
        <v>50</v>
      </c>
      <c r="I869" s="1" t="s">
        <v>50</v>
      </c>
      <c r="J869" s="1" t="s">
        <v>50</v>
      </c>
      <c r="K869" s="1" t="s">
        <v>50</v>
      </c>
      <c r="L869" s="1"/>
      <c r="M869" s="1" t="s">
        <v>50</v>
      </c>
      <c r="N869" s="1" t="s">
        <v>50</v>
      </c>
      <c r="O869" s="1" t="s">
        <v>50</v>
      </c>
      <c r="P869" s="1" t="s">
        <v>811</v>
      </c>
      <c r="Q869" s="1" t="s">
        <v>104</v>
      </c>
      <c r="R869" s="1" t="s">
        <v>104</v>
      </c>
      <c r="S869" s="1" t="s">
        <v>104</v>
      </c>
      <c r="T869" s="1" t="s">
        <v>104</v>
      </c>
      <c r="U869" s="1" t="s">
        <v>104</v>
      </c>
      <c r="V869" s="1" t="s">
        <v>104</v>
      </c>
      <c r="W869" s="1" t="s">
        <v>104</v>
      </c>
      <c r="X869" s="1" t="s">
        <v>2119</v>
      </c>
      <c r="Y869" s="1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>
        <v>1</v>
      </c>
      <c r="AW869" s="8">
        <v>1</v>
      </c>
      <c r="AX869" s="8">
        <v>1</v>
      </c>
      <c r="AY869" s="8"/>
      <c r="AZ869" s="8"/>
      <c r="BA869" s="8"/>
      <c r="BB869" s="1"/>
      <c r="BK869">
        <v>2</v>
      </c>
      <c r="BL869" s="58"/>
      <c r="BP869" t="str">
        <f t="shared" si="31"/>
        <v>FirePsychic</v>
      </c>
      <c r="BR869">
        <v>5</v>
      </c>
    </row>
    <row r="870" spans="1:70" x14ac:dyDescent="0.25">
      <c r="A870">
        <f t="shared" si="32"/>
        <v>820</v>
      </c>
      <c r="B870" t="s">
        <v>2108</v>
      </c>
      <c r="D870" s="1" t="s">
        <v>44</v>
      </c>
      <c r="E870" s="1" t="s">
        <v>6</v>
      </c>
      <c r="F870" s="1" t="s">
        <v>50</v>
      </c>
      <c r="G870" s="1" t="s">
        <v>50</v>
      </c>
      <c r="H870" s="1"/>
      <c r="I870" s="1" t="s">
        <v>50</v>
      </c>
      <c r="J870" s="1" t="s">
        <v>50</v>
      </c>
      <c r="K870" s="1" t="s">
        <v>50</v>
      </c>
      <c r="L870" s="1"/>
      <c r="M870" s="1" t="s">
        <v>50</v>
      </c>
      <c r="N870" s="1" t="s">
        <v>50</v>
      </c>
      <c r="O870" s="1" t="s">
        <v>50</v>
      </c>
      <c r="P870" s="1" t="s">
        <v>2440</v>
      </c>
      <c r="Q870" s="1" t="s">
        <v>104</v>
      </c>
      <c r="R870" s="1" t="s">
        <v>104</v>
      </c>
      <c r="S870" s="1" t="s">
        <v>104</v>
      </c>
      <c r="T870" s="1" t="s">
        <v>104</v>
      </c>
      <c r="U870" s="1" t="s">
        <v>104</v>
      </c>
      <c r="V870" s="1" t="s">
        <v>104</v>
      </c>
      <c r="W870" s="1" t="s">
        <v>104</v>
      </c>
      <c r="X870" s="1" t="s">
        <v>2374</v>
      </c>
      <c r="Y870" s="1"/>
      <c r="Z870" s="8"/>
      <c r="AA870" s="8"/>
      <c r="AB870" s="8"/>
      <c r="AC870" s="8"/>
      <c r="AD870" s="8"/>
      <c r="AE870" s="8"/>
      <c r="AF870" s="8">
        <v>1</v>
      </c>
      <c r="AG870" s="8">
        <v>1</v>
      </c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>
        <v>1</v>
      </c>
      <c r="AT870" s="8"/>
      <c r="AU870" s="8"/>
      <c r="AV870" s="8"/>
      <c r="AW870" s="8"/>
      <c r="AX870" s="8">
        <v>1</v>
      </c>
      <c r="AY870" s="8">
        <v>1</v>
      </c>
      <c r="AZ870" s="8"/>
      <c r="BA870" s="8"/>
      <c r="BB870" s="1"/>
      <c r="BL870" s="58"/>
      <c r="BP870" t="str">
        <f t="shared" si="31"/>
        <v>LightSteel</v>
      </c>
      <c r="BQ870" t="s">
        <v>2</v>
      </c>
      <c r="BR870">
        <v>5</v>
      </c>
    </row>
    <row r="871" spans="1:70" x14ac:dyDescent="0.25">
      <c r="A871">
        <f t="shared" si="32"/>
        <v>821</v>
      </c>
      <c r="B871" t="s">
        <v>2109</v>
      </c>
      <c r="D871" s="1" t="s">
        <v>44</v>
      </c>
      <c r="E871" s="1" t="s">
        <v>6</v>
      </c>
      <c r="F871" s="1" t="s">
        <v>50</v>
      </c>
      <c r="G871" s="1" t="s">
        <v>50</v>
      </c>
      <c r="H871" s="1"/>
      <c r="I871" s="1" t="s">
        <v>50</v>
      </c>
      <c r="J871" s="1" t="s">
        <v>50</v>
      </c>
      <c r="K871" s="1" t="s">
        <v>50</v>
      </c>
      <c r="L871" s="1"/>
      <c r="M871" s="1" t="s">
        <v>104</v>
      </c>
      <c r="N871" s="1" t="s">
        <v>50</v>
      </c>
      <c r="O871" s="1" t="s">
        <v>50</v>
      </c>
      <c r="P871" s="1" t="s">
        <v>2440</v>
      </c>
      <c r="Q871" s="1" t="s">
        <v>104</v>
      </c>
      <c r="R871" s="1" t="s">
        <v>104</v>
      </c>
      <c r="S871" s="1" t="s">
        <v>104</v>
      </c>
      <c r="T871" s="1" t="s">
        <v>104</v>
      </c>
      <c r="U871" s="1" t="s">
        <v>104</v>
      </c>
      <c r="V871" s="1" t="s">
        <v>104</v>
      </c>
      <c r="W871" s="1" t="s">
        <v>104</v>
      </c>
      <c r="X871" s="1" t="s">
        <v>2374</v>
      </c>
      <c r="Y871" s="1"/>
      <c r="Z871" s="8"/>
      <c r="AA871" s="8"/>
      <c r="AB871" s="8"/>
      <c r="AC871" s="8"/>
      <c r="AD871" s="8"/>
      <c r="AE871" s="8"/>
      <c r="AF871" s="8">
        <v>1</v>
      </c>
      <c r="AG871" s="8">
        <v>1</v>
      </c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>
        <v>1</v>
      </c>
      <c r="AT871" s="8"/>
      <c r="AU871" s="8"/>
      <c r="AV871" s="8"/>
      <c r="AW871" s="8"/>
      <c r="AX871" s="8">
        <v>1</v>
      </c>
      <c r="AY871" s="8">
        <v>1</v>
      </c>
      <c r="AZ871" s="8"/>
      <c r="BA871" s="8"/>
      <c r="BB871" s="1"/>
      <c r="BL871" s="58"/>
      <c r="BP871" t="str">
        <f t="shared" si="31"/>
        <v>LightSteel</v>
      </c>
      <c r="BQ871" t="s">
        <v>2</v>
      </c>
      <c r="BR871">
        <v>5</v>
      </c>
    </row>
    <row r="872" spans="1:70" x14ac:dyDescent="0.25">
      <c r="A872">
        <f t="shared" si="32"/>
        <v>822</v>
      </c>
      <c r="B872" t="s">
        <v>2110</v>
      </c>
      <c r="D872" s="1" t="s">
        <v>44</v>
      </c>
      <c r="E872" s="1" t="s">
        <v>6</v>
      </c>
      <c r="F872" s="1" t="s">
        <v>50</v>
      </c>
      <c r="G872" s="1" t="s">
        <v>50</v>
      </c>
      <c r="H872" s="1" t="s">
        <v>50</v>
      </c>
      <c r="I872" s="1" t="s">
        <v>50</v>
      </c>
      <c r="J872" s="1" t="s">
        <v>50</v>
      </c>
      <c r="K872" s="1" t="s">
        <v>50</v>
      </c>
      <c r="L872" s="1"/>
      <c r="M872" s="1" t="s">
        <v>104</v>
      </c>
      <c r="N872" s="1" t="s">
        <v>50</v>
      </c>
      <c r="O872" s="1" t="s">
        <v>50</v>
      </c>
      <c r="P872" s="1" t="s">
        <v>2440</v>
      </c>
      <c r="Q872" s="1" t="s">
        <v>104</v>
      </c>
      <c r="R872" s="1" t="s">
        <v>104</v>
      </c>
      <c r="S872" s="1" t="s">
        <v>104</v>
      </c>
      <c r="T872" s="1" t="s">
        <v>104</v>
      </c>
      <c r="U872" s="1" t="s">
        <v>104</v>
      </c>
      <c r="V872" s="1" t="s">
        <v>104</v>
      </c>
      <c r="W872" s="1" t="s">
        <v>104</v>
      </c>
      <c r="X872" s="1" t="s">
        <v>2374</v>
      </c>
      <c r="Y872" s="1"/>
      <c r="Z872" s="8"/>
      <c r="AA872" s="8"/>
      <c r="AB872" s="8"/>
      <c r="AC872" s="8"/>
      <c r="AD872" s="8"/>
      <c r="AE872" s="8"/>
      <c r="AF872" s="8">
        <v>1</v>
      </c>
      <c r="AG872" s="8">
        <v>1</v>
      </c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>
        <v>1</v>
      </c>
      <c r="AT872" s="8"/>
      <c r="AU872" s="8"/>
      <c r="AV872" s="8"/>
      <c r="AW872" s="8"/>
      <c r="AX872" s="8">
        <v>1</v>
      </c>
      <c r="AY872" s="8">
        <v>1</v>
      </c>
      <c r="AZ872" s="8"/>
      <c r="BA872" s="8"/>
      <c r="BB872" s="1"/>
      <c r="BK872">
        <v>3</v>
      </c>
      <c r="BL872" s="58">
        <v>1</v>
      </c>
      <c r="BP872" t="str">
        <f t="shared" si="31"/>
        <v>LightSteel</v>
      </c>
      <c r="BR872">
        <v>9</v>
      </c>
    </row>
    <row r="873" spans="1:70" x14ac:dyDescent="0.25">
      <c r="A873">
        <f t="shared" si="32"/>
        <v>823</v>
      </c>
      <c r="B873" t="s">
        <v>2111</v>
      </c>
      <c r="D873" s="1" t="s">
        <v>15</v>
      </c>
      <c r="E873" s="1" t="s">
        <v>4</v>
      </c>
      <c r="F873" s="1" t="s">
        <v>50</v>
      </c>
      <c r="G873" s="1" t="s">
        <v>50</v>
      </c>
      <c r="H873" s="1"/>
      <c r="I873" s="1" t="s">
        <v>50</v>
      </c>
      <c r="J873" s="1" t="s">
        <v>50</v>
      </c>
      <c r="K873" s="1" t="s">
        <v>50</v>
      </c>
      <c r="L873" s="1"/>
      <c r="M873" s="1" t="s">
        <v>50</v>
      </c>
      <c r="N873" s="1" t="s">
        <v>50</v>
      </c>
      <c r="O873" s="1" t="s">
        <v>50</v>
      </c>
      <c r="P873" s="1" t="s">
        <v>2066</v>
      </c>
      <c r="Q873" s="1" t="s">
        <v>104</v>
      </c>
      <c r="R873" s="1" t="s">
        <v>104</v>
      </c>
      <c r="S873" s="1" t="s">
        <v>104</v>
      </c>
      <c r="T873" s="1" t="s">
        <v>104</v>
      </c>
      <c r="U873" s="1" t="s">
        <v>104</v>
      </c>
      <c r="V873" s="1" t="s">
        <v>104</v>
      </c>
      <c r="W873" s="1" t="s">
        <v>104</v>
      </c>
      <c r="X873" s="1" t="s">
        <v>727</v>
      </c>
      <c r="Y873" s="1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>
        <v>1</v>
      </c>
      <c r="AL873" s="8">
        <v>1</v>
      </c>
      <c r="AM873" s="8">
        <v>1</v>
      </c>
      <c r="AN873" s="8">
        <v>1</v>
      </c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1"/>
      <c r="BL873" s="58"/>
      <c r="BP873" t="str">
        <f t="shared" si="31"/>
        <v>WaterPsychic</v>
      </c>
      <c r="BQ873" t="s">
        <v>2</v>
      </c>
      <c r="BR873">
        <v>9</v>
      </c>
    </row>
    <row r="874" spans="1:70" x14ac:dyDescent="0.25">
      <c r="A874">
        <f t="shared" si="32"/>
        <v>824</v>
      </c>
      <c r="B874" t="s">
        <v>2112</v>
      </c>
      <c r="D874" s="1" t="s">
        <v>15</v>
      </c>
      <c r="E874" s="1" t="s">
        <v>4</v>
      </c>
      <c r="F874" s="1" t="s">
        <v>50</v>
      </c>
      <c r="G874" s="1" t="s">
        <v>50</v>
      </c>
      <c r="H874" s="1"/>
      <c r="I874" s="1" t="s">
        <v>50</v>
      </c>
      <c r="J874" s="1" t="s">
        <v>50</v>
      </c>
      <c r="K874" s="1" t="s">
        <v>50</v>
      </c>
      <c r="L874" s="1"/>
      <c r="M874" s="1" t="s">
        <v>104</v>
      </c>
      <c r="N874" s="1" t="s">
        <v>50</v>
      </c>
      <c r="O874" s="1" t="s">
        <v>50</v>
      </c>
      <c r="P874" s="1" t="s">
        <v>2066</v>
      </c>
      <c r="Q874" s="1" t="s">
        <v>104</v>
      </c>
      <c r="R874" s="1" t="s">
        <v>104</v>
      </c>
      <c r="S874" s="1" t="s">
        <v>104</v>
      </c>
      <c r="T874" s="1" t="s">
        <v>104</v>
      </c>
      <c r="U874" s="1" t="s">
        <v>104</v>
      </c>
      <c r="V874" s="1" t="s">
        <v>104</v>
      </c>
      <c r="W874" s="1" t="s">
        <v>104</v>
      </c>
      <c r="X874" s="1" t="s">
        <v>727</v>
      </c>
      <c r="Y874" s="1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>
        <v>1</v>
      </c>
      <c r="AL874" s="8">
        <v>1</v>
      </c>
      <c r="AM874" s="8">
        <v>1</v>
      </c>
      <c r="AN874" s="8">
        <v>1</v>
      </c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1"/>
      <c r="BL874" s="58"/>
      <c r="BP874" t="str">
        <f t="shared" si="31"/>
        <v>WaterPsychic</v>
      </c>
      <c r="BQ874" t="s">
        <v>2</v>
      </c>
      <c r="BR874">
        <v>9</v>
      </c>
    </row>
    <row r="875" spans="1:70" x14ac:dyDescent="0.25">
      <c r="A875">
        <f t="shared" si="32"/>
        <v>825</v>
      </c>
      <c r="B875" t="s">
        <v>2113</v>
      </c>
      <c r="D875" s="1" t="s">
        <v>15</v>
      </c>
      <c r="E875" s="1" t="s">
        <v>4</v>
      </c>
      <c r="F875" s="1" t="s">
        <v>50</v>
      </c>
      <c r="G875" s="1" t="s">
        <v>50</v>
      </c>
      <c r="H875" s="1" t="s">
        <v>50</v>
      </c>
      <c r="I875" s="1" t="s">
        <v>50</v>
      </c>
      <c r="J875" s="1" t="s">
        <v>50</v>
      </c>
      <c r="K875" s="1" t="s">
        <v>50</v>
      </c>
      <c r="L875" s="1"/>
      <c r="M875" s="1" t="s">
        <v>104</v>
      </c>
      <c r="N875" s="1" t="s">
        <v>50</v>
      </c>
      <c r="O875" s="1" t="s">
        <v>50</v>
      </c>
      <c r="P875" s="1" t="s">
        <v>2066</v>
      </c>
      <c r="Q875" s="1" t="s">
        <v>104</v>
      </c>
      <c r="R875" s="1" t="s">
        <v>104</v>
      </c>
      <c r="S875" s="1" t="s">
        <v>104</v>
      </c>
      <c r="T875" s="1" t="s">
        <v>104</v>
      </c>
      <c r="U875" s="1" t="s">
        <v>104</v>
      </c>
      <c r="V875" s="1" t="s">
        <v>104</v>
      </c>
      <c r="W875" s="1" t="s">
        <v>104</v>
      </c>
      <c r="X875" s="1" t="s">
        <v>727</v>
      </c>
      <c r="Y875" s="1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>
        <v>1</v>
      </c>
      <c r="AL875" s="8">
        <v>1</v>
      </c>
      <c r="AM875" s="8">
        <v>1</v>
      </c>
      <c r="AN875" s="8">
        <v>1</v>
      </c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1"/>
      <c r="BK875">
        <v>3</v>
      </c>
      <c r="BL875" s="58"/>
      <c r="BP875" t="str">
        <f t="shared" si="31"/>
        <v>WaterPsychic</v>
      </c>
      <c r="BR875">
        <v>9</v>
      </c>
    </row>
    <row r="876" spans="1:70" x14ac:dyDescent="0.25">
      <c r="A876">
        <f t="shared" si="32"/>
        <v>826</v>
      </c>
      <c r="B876" t="s">
        <v>2114</v>
      </c>
      <c r="D876" s="1" t="s">
        <v>42</v>
      </c>
      <c r="E876" s="1" t="s">
        <v>14</v>
      </c>
      <c r="F876" s="1" t="s">
        <v>50</v>
      </c>
      <c r="G876" s="1" t="s">
        <v>50</v>
      </c>
      <c r="H876" s="1"/>
      <c r="I876" s="1" t="s">
        <v>50</v>
      </c>
      <c r="J876" s="1" t="s">
        <v>50</v>
      </c>
      <c r="K876" s="1" t="s">
        <v>50</v>
      </c>
      <c r="L876" s="1"/>
      <c r="M876" s="1" t="s">
        <v>50</v>
      </c>
      <c r="N876" s="1" t="s">
        <v>50</v>
      </c>
      <c r="O876" s="1" t="s">
        <v>50</v>
      </c>
      <c r="P876" s="1" t="s">
        <v>811</v>
      </c>
      <c r="Q876" s="1" t="s">
        <v>104</v>
      </c>
      <c r="R876" s="1" t="s">
        <v>104</v>
      </c>
      <c r="S876" s="1" t="s">
        <v>104</v>
      </c>
      <c r="T876" s="1" t="s">
        <v>104</v>
      </c>
      <c r="U876" s="1" t="s">
        <v>104</v>
      </c>
      <c r="V876" s="1" t="s">
        <v>104</v>
      </c>
      <c r="W876" s="1" t="s">
        <v>104</v>
      </c>
      <c r="X876" s="1" t="s">
        <v>2119</v>
      </c>
      <c r="Y876" s="1"/>
      <c r="Z876" s="8">
        <v>1</v>
      </c>
      <c r="AA876" s="8"/>
      <c r="AB876" s="8"/>
      <c r="AC876" s="8"/>
      <c r="AD876" s="8"/>
      <c r="AE876" s="8">
        <v>1</v>
      </c>
      <c r="AF876" s="8">
        <v>1</v>
      </c>
      <c r="AG876" s="8"/>
      <c r="AH876" s="8">
        <v>1</v>
      </c>
      <c r="AI876" s="8"/>
      <c r="AJ876" s="8"/>
      <c r="AK876" s="8"/>
      <c r="AL876" s="8"/>
      <c r="AM876" s="8"/>
      <c r="AN876" s="8"/>
      <c r="AO876" s="8">
        <v>1</v>
      </c>
      <c r="AP876" s="8"/>
      <c r="AQ876" s="8"/>
      <c r="AR876" s="8"/>
      <c r="AS876" s="8"/>
      <c r="AT876" s="8"/>
      <c r="AU876" s="8">
        <v>1</v>
      </c>
      <c r="AV876" s="8"/>
      <c r="AW876" s="8"/>
      <c r="AX876" s="8"/>
      <c r="AY876" s="8"/>
      <c r="AZ876" s="8"/>
      <c r="BA876" s="8"/>
      <c r="BB876" s="1"/>
      <c r="BL876" s="58"/>
      <c r="BP876" t="str">
        <f t="shared" si="31"/>
        <v>CosmicGhost</v>
      </c>
      <c r="BQ876" t="s">
        <v>2</v>
      </c>
      <c r="BR876">
        <v>8</v>
      </c>
    </row>
    <row r="877" spans="1:70" x14ac:dyDescent="0.25">
      <c r="A877">
        <f t="shared" si="32"/>
        <v>827</v>
      </c>
      <c r="B877" t="s">
        <v>2115</v>
      </c>
      <c r="D877" s="1" t="s">
        <v>42</v>
      </c>
      <c r="E877" s="1" t="s">
        <v>14</v>
      </c>
      <c r="F877" s="1" t="s">
        <v>50</v>
      </c>
      <c r="G877" s="1" t="s">
        <v>50</v>
      </c>
      <c r="H877" s="1" t="s">
        <v>50</v>
      </c>
      <c r="I877" s="1" t="s">
        <v>50</v>
      </c>
      <c r="J877" s="1" t="s">
        <v>50</v>
      </c>
      <c r="K877" s="1" t="s">
        <v>50</v>
      </c>
      <c r="L877" s="1"/>
      <c r="M877" s="1" t="s">
        <v>104</v>
      </c>
      <c r="N877" s="1" t="s">
        <v>50</v>
      </c>
      <c r="O877" s="1" t="s">
        <v>50</v>
      </c>
      <c r="P877" s="1" t="s">
        <v>811</v>
      </c>
      <c r="Q877" s="1" t="s">
        <v>104</v>
      </c>
      <c r="R877" s="1" t="s">
        <v>104</v>
      </c>
      <c r="S877" s="1" t="s">
        <v>104</v>
      </c>
      <c r="T877" s="1" t="s">
        <v>104</v>
      </c>
      <c r="U877" s="1" t="s">
        <v>104</v>
      </c>
      <c r="V877" s="1" t="s">
        <v>104</v>
      </c>
      <c r="W877" s="1" t="s">
        <v>104</v>
      </c>
      <c r="X877" s="1" t="s">
        <v>2119</v>
      </c>
      <c r="Y877" s="1"/>
      <c r="Z877" s="8">
        <v>1</v>
      </c>
      <c r="AA877" s="8"/>
      <c r="AB877" s="8"/>
      <c r="AC877" s="8"/>
      <c r="AD877" s="8"/>
      <c r="AE877" s="8">
        <v>1</v>
      </c>
      <c r="AF877" s="8">
        <v>1</v>
      </c>
      <c r="AG877" s="8"/>
      <c r="AH877" s="8">
        <v>1</v>
      </c>
      <c r="AI877" s="8"/>
      <c r="AJ877" s="8"/>
      <c r="AK877" s="8"/>
      <c r="AL877" s="8"/>
      <c r="AM877" s="8"/>
      <c r="AN877" s="8"/>
      <c r="AO877" s="8">
        <v>1</v>
      </c>
      <c r="AP877" s="8"/>
      <c r="AQ877" s="8"/>
      <c r="AR877" s="8"/>
      <c r="AS877" s="8"/>
      <c r="AT877" s="8"/>
      <c r="AU877" s="8">
        <v>1</v>
      </c>
      <c r="AV877" s="8"/>
      <c r="AW877" s="8"/>
      <c r="AX877" s="8"/>
      <c r="AY877" s="8"/>
      <c r="AZ877" s="8"/>
      <c r="BA877" s="8"/>
      <c r="BB877" s="1"/>
      <c r="BK877">
        <v>1</v>
      </c>
      <c r="BL877" s="58"/>
      <c r="BP877" t="str">
        <f t="shared" si="31"/>
        <v>CosmicGhost</v>
      </c>
      <c r="BR877">
        <v>8</v>
      </c>
    </row>
    <row r="878" spans="1:70" x14ac:dyDescent="0.25">
      <c r="A878">
        <f t="shared" si="32"/>
        <v>828</v>
      </c>
      <c r="B878" t="s">
        <v>2116</v>
      </c>
      <c r="D878" s="1" t="s">
        <v>7</v>
      </c>
      <c r="E878" s="1" t="s">
        <v>6</v>
      </c>
      <c r="F878" s="1" t="s">
        <v>50</v>
      </c>
      <c r="G878" s="1" t="s">
        <v>50</v>
      </c>
      <c r="H878" s="1"/>
      <c r="I878" s="1" t="s">
        <v>50</v>
      </c>
      <c r="J878" s="1" t="s">
        <v>50</v>
      </c>
      <c r="K878" s="1" t="s">
        <v>50</v>
      </c>
      <c r="L878" s="1" t="s">
        <v>50</v>
      </c>
      <c r="M878" s="1" t="s">
        <v>50</v>
      </c>
      <c r="N878" s="1" t="s">
        <v>50</v>
      </c>
      <c r="O878" s="1" t="s">
        <v>50</v>
      </c>
      <c r="P878" s="1" t="s">
        <v>2384</v>
      </c>
      <c r="Q878" s="1" t="s">
        <v>104</v>
      </c>
      <c r="R878" s="1" t="s">
        <v>104</v>
      </c>
      <c r="S878" s="1" t="s">
        <v>104</v>
      </c>
      <c r="T878" s="1" t="s">
        <v>104</v>
      </c>
      <c r="U878" s="1" t="s">
        <v>104</v>
      </c>
      <c r="V878" s="1" t="s">
        <v>104</v>
      </c>
      <c r="W878" s="1" t="s">
        <v>104</v>
      </c>
      <c r="X878" s="1" t="s">
        <v>1705</v>
      </c>
      <c r="Y878" s="1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>
        <v>1</v>
      </c>
      <c r="AT878" s="8"/>
      <c r="AU878" s="8"/>
      <c r="AV878" s="8"/>
      <c r="AW878" s="8"/>
      <c r="AX878" s="8"/>
      <c r="AY878" s="8"/>
      <c r="AZ878" s="8"/>
      <c r="BA878" s="8"/>
      <c r="BB878" s="1"/>
      <c r="BK878">
        <v>3</v>
      </c>
      <c r="BL878" s="58"/>
      <c r="BP878" t="str">
        <f t="shared" si="31"/>
        <v>FairySteel</v>
      </c>
      <c r="BQ878" t="s">
        <v>2</v>
      </c>
      <c r="BR878">
        <v>3</v>
      </c>
    </row>
    <row r="879" spans="1:70" x14ac:dyDescent="0.25">
      <c r="A879">
        <f t="shared" si="32"/>
        <v>829</v>
      </c>
      <c r="B879" t="s">
        <v>2117</v>
      </c>
      <c r="D879" s="1" t="s">
        <v>7</v>
      </c>
      <c r="E879" s="1" t="s">
        <v>6</v>
      </c>
      <c r="F879" s="1" t="s">
        <v>50</v>
      </c>
      <c r="G879" s="1" t="s">
        <v>50</v>
      </c>
      <c r="H879" s="1"/>
      <c r="I879" s="1" t="s">
        <v>50</v>
      </c>
      <c r="J879" s="1" t="s">
        <v>50</v>
      </c>
      <c r="K879" s="1" t="s">
        <v>50</v>
      </c>
      <c r="L879" s="1"/>
      <c r="M879" s="1" t="s">
        <v>104</v>
      </c>
      <c r="N879" s="1" t="s">
        <v>50</v>
      </c>
      <c r="O879" s="1" t="s">
        <v>50</v>
      </c>
      <c r="P879" s="1" t="s">
        <v>2384</v>
      </c>
      <c r="Q879" s="1" t="s">
        <v>104</v>
      </c>
      <c r="R879" s="1" t="s">
        <v>104</v>
      </c>
      <c r="S879" s="1" t="s">
        <v>104</v>
      </c>
      <c r="T879" s="1" t="s">
        <v>104</v>
      </c>
      <c r="U879" s="1" t="s">
        <v>104</v>
      </c>
      <c r="V879" s="1" t="s">
        <v>104</v>
      </c>
      <c r="W879" s="1" t="s">
        <v>104</v>
      </c>
      <c r="X879" s="1" t="s">
        <v>1705</v>
      </c>
      <c r="Y879" s="1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>
        <v>1</v>
      </c>
      <c r="AT879" s="8"/>
      <c r="AU879" s="8"/>
      <c r="AV879" s="8"/>
      <c r="AW879" s="8"/>
      <c r="AX879" s="8"/>
      <c r="AY879" s="8"/>
      <c r="AZ879" s="8"/>
      <c r="BA879" s="8"/>
      <c r="BB879" s="1"/>
      <c r="BL879" s="58"/>
      <c r="BP879" t="str">
        <f t="shared" si="31"/>
        <v>FairySteel</v>
      </c>
      <c r="BQ879" t="s">
        <v>2</v>
      </c>
      <c r="BR879">
        <v>3</v>
      </c>
    </row>
    <row r="880" spans="1:70" x14ac:dyDescent="0.25">
      <c r="A880">
        <f t="shared" si="32"/>
        <v>830</v>
      </c>
      <c r="B880" t="s">
        <v>2118</v>
      </c>
      <c r="D880" s="1" t="s">
        <v>7</v>
      </c>
      <c r="E880" s="1" t="s">
        <v>6</v>
      </c>
      <c r="F880" s="1" t="s">
        <v>50</v>
      </c>
      <c r="G880" s="1" t="s">
        <v>50</v>
      </c>
      <c r="H880" s="1" t="s">
        <v>50</v>
      </c>
      <c r="I880" s="1" t="s">
        <v>50</v>
      </c>
      <c r="J880" s="1" t="s">
        <v>50</v>
      </c>
      <c r="K880" s="1" t="s">
        <v>50</v>
      </c>
      <c r="L880" s="1"/>
      <c r="M880" s="1" t="s">
        <v>104</v>
      </c>
      <c r="N880" s="1" t="s">
        <v>50</v>
      </c>
      <c r="O880" s="1" t="s">
        <v>50</v>
      </c>
      <c r="P880" s="1" t="s">
        <v>2384</v>
      </c>
      <c r="Q880" s="1" t="s">
        <v>104</v>
      </c>
      <c r="R880" s="1" t="s">
        <v>104</v>
      </c>
      <c r="S880" s="1" t="s">
        <v>104</v>
      </c>
      <c r="T880" s="1" t="s">
        <v>104</v>
      </c>
      <c r="U880" s="1" t="s">
        <v>104</v>
      </c>
      <c r="V880" s="1" t="s">
        <v>104</v>
      </c>
      <c r="W880" s="1" t="s">
        <v>104</v>
      </c>
      <c r="X880" s="1" t="s">
        <v>1705</v>
      </c>
      <c r="Y880" s="1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>
        <v>1</v>
      </c>
      <c r="AT880" s="8"/>
      <c r="AU880" s="8"/>
      <c r="AV880" s="8"/>
      <c r="AW880" s="8"/>
      <c r="AX880" s="8"/>
      <c r="AY880" s="8"/>
      <c r="AZ880" s="8"/>
      <c r="BA880" s="8"/>
      <c r="BB880" s="1"/>
      <c r="BK880">
        <v>15</v>
      </c>
      <c r="BL880" s="58"/>
      <c r="BP880" t="str">
        <f t="shared" si="31"/>
        <v>FairySteel</v>
      </c>
      <c r="BR880">
        <v>3</v>
      </c>
    </row>
    <row r="881" spans="1:70" x14ac:dyDescent="0.25">
      <c r="A881">
        <f t="shared" si="32"/>
        <v>831</v>
      </c>
      <c r="B881" t="s">
        <v>2123</v>
      </c>
      <c r="D881" s="1" t="s">
        <v>44</v>
      </c>
      <c r="E881" s="1" t="s">
        <v>10</v>
      </c>
      <c r="F881" s="1" t="s">
        <v>50</v>
      </c>
      <c r="G881" s="1" t="s">
        <v>50</v>
      </c>
      <c r="H881" s="1"/>
      <c r="I881" s="1" t="s">
        <v>50</v>
      </c>
      <c r="J881" s="1" t="s">
        <v>50</v>
      </c>
      <c r="K881" s="1" t="s">
        <v>50</v>
      </c>
      <c r="L881" s="1"/>
      <c r="M881" s="1" t="s">
        <v>50</v>
      </c>
      <c r="N881" s="1" t="s">
        <v>50</v>
      </c>
      <c r="O881" s="1" t="s">
        <v>50</v>
      </c>
      <c r="P881" s="13" t="s">
        <v>1790</v>
      </c>
      <c r="Q881" s="1" t="s">
        <v>104</v>
      </c>
      <c r="R881" s="1" t="s">
        <v>104</v>
      </c>
      <c r="S881" s="1" t="s">
        <v>104</v>
      </c>
      <c r="T881" s="1" t="s">
        <v>104</v>
      </c>
      <c r="U881" s="1" t="s">
        <v>104</v>
      </c>
      <c r="V881" s="1" t="s">
        <v>104</v>
      </c>
      <c r="W881" s="1" t="s">
        <v>104</v>
      </c>
      <c r="X881" s="1" t="s">
        <v>727</v>
      </c>
      <c r="Y881" s="1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>
        <v>1</v>
      </c>
      <c r="AT881" s="8"/>
      <c r="AU881" s="8"/>
      <c r="AV881" s="8"/>
      <c r="AW881" s="8"/>
      <c r="AX881" s="8"/>
      <c r="AY881" s="8"/>
      <c r="AZ881" s="8"/>
      <c r="BA881" s="8"/>
      <c r="BB881" s="1"/>
      <c r="BL881" s="58"/>
      <c r="BP881" t="str">
        <f t="shared" si="31"/>
        <v>LightPoison</v>
      </c>
      <c r="BQ881" t="s">
        <v>2</v>
      </c>
      <c r="BR881">
        <v>3</v>
      </c>
    </row>
    <row r="882" spans="1:70" x14ac:dyDescent="0.25">
      <c r="A882">
        <f t="shared" si="32"/>
        <v>832</v>
      </c>
      <c r="B882" t="s">
        <v>2124</v>
      </c>
      <c r="D882" s="1" t="s">
        <v>44</v>
      </c>
      <c r="E882" s="1" t="s">
        <v>10</v>
      </c>
      <c r="F882" s="1" t="s">
        <v>50</v>
      </c>
      <c r="G882" s="1" t="s">
        <v>50</v>
      </c>
      <c r="H882" s="1" t="s">
        <v>50</v>
      </c>
      <c r="I882" s="1" t="s">
        <v>50</v>
      </c>
      <c r="J882" s="1" t="s">
        <v>50</v>
      </c>
      <c r="K882" s="1" t="s">
        <v>50</v>
      </c>
      <c r="L882" s="1"/>
      <c r="M882" s="1" t="s">
        <v>104</v>
      </c>
      <c r="N882" s="1" t="s">
        <v>50</v>
      </c>
      <c r="O882" s="1" t="s">
        <v>50</v>
      </c>
      <c r="P882" s="13" t="s">
        <v>1790</v>
      </c>
      <c r="Q882" s="1" t="s">
        <v>104</v>
      </c>
      <c r="R882" s="1" t="s">
        <v>104</v>
      </c>
      <c r="S882" s="1" t="s">
        <v>104</v>
      </c>
      <c r="T882" s="1" t="s">
        <v>104</v>
      </c>
      <c r="U882" s="1" t="s">
        <v>104</v>
      </c>
      <c r="V882" s="1" t="s">
        <v>104</v>
      </c>
      <c r="W882" s="1" t="s">
        <v>104</v>
      </c>
      <c r="X882" s="1" t="s">
        <v>727</v>
      </c>
      <c r="Y882" s="1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>
        <v>1</v>
      </c>
      <c r="AT882" s="8"/>
      <c r="AU882" s="8"/>
      <c r="AV882" s="8"/>
      <c r="AW882" s="8"/>
      <c r="AX882" s="8"/>
      <c r="AY882" s="8"/>
      <c r="AZ882" s="8"/>
      <c r="BA882" s="8"/>
      <c r="BB882" s="1"/>
      <c r="BK882">
        <v>3</v>
      </c>
      <c r="BL882" s="58"/>
      <c r="BP882" t="str">
        <f t="shared" si="31"/>
        <v>LightPoison</v>
      </c>
      <c r="BR882">
        <v>3</v>
      </c>
    </row>
    <row r="883" spans="1:70" x14ac:dyDescent="0.25">
      <c r="A883">
        <f t="shared" si="32"/>
        <v>833</v>
      </c>
      <c r="B883" t="s">
        <v>2125</v>
      </c>
      <c r="C883" t="s">
        <v>2261</v>
      </c>
      <c r="D883" s="1" t="s">
        <v>4</v>
      </c>
      <c r="E883" s="1" t="s">
        <v>41</v>
      </c>
      <c r="F883" s="1" t="s">
        <v>50</v>
      </c>
      <c r="G883" s="1" t="s">
        <v>50</v>
      </c>
      <c r="H883" s="1" t="s">
        <v>50</v>
      </c>
      <c r="I883" s="1" t="s">
        <v>50</v>
      </c>
      <c r="J883" s="1" t="s">
        <v>50</v>
      </c>
      <c r="K883" s="1" t="s">
        <v>50</v>
      </c>
      <c r="L883" s="1"/>
      <c r="M883" s="1" t="s">
        <v>50</v>
      </c>
      <c r="N883" s="1" t="s">
        <v>50</v>
      </c>
      <c r="O883" s="1" t="s">
        <v>50</v>
      </c>
      <c r="P883" s="1" t="s">
        <v>2070</v>
      </c>
      <c r="Q883" s="1" t="s">
        <v>104</v>
      </c>
      <c r="R883" s="1" t="s">
        <v>104</v>
      </c>
      <c r="S883" s="1" t="s">
        <v>104</v>
      </c>
      <c r="T883" s="1" t="s">
        <v>104</v>
      </c>
      <c r="U883" s="1" t="s">
        <v>104</v>
      </c>
      <c r="V883" s="1" t="s">
        <v>104</v>
      </c>
      <c r="W883" s="1" t="s">
        <v>104</v>
      </c>
      <c r="X883" s="1" t="s">
        <v>727</v>
      </c>
      <c r="Y883" s="1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>
        <v>1</v>
      </c>
      <c r="AT883" s="8"/>
      <c r="AU883" s="8"/>
      <c r="AV883" s="8"/>
      <c r="AW883" s="8"/>
      <c r="AX883" s="8"/>
      <c r="AY883" s="8"/>
      <c r="AZ883" s="8"/>
      <c r="BA883" s="8"/>
      <c r="BB883" s="1"/>
      <c r="BK883">
        <v>1</v>
      </c>
      <c r="BL883" s="58"/>
      <c r="BP883" t="str">
        <f t="shared" si="31"/>
        <v>PsychicSound</v>
      </c>
      <c r="BR883">
        <v>7</v>
      </c>
    </row>
    <row r="884" spans="1:70" x14ac:dyDescent="0.25">
      <c r="A884" s="1" t="s">
        <v>50</v>
      </c>
      <c r="B884" t="s">
        <v>2125</v>
      </c>
      <c r="C884" t="s">
        <v>2126</v>
      </c>
      <c r="D884" s="1" t="s">
        <v>0</v>
      </c>
      <c r="E884" s="1" t="s">
        <v>41</v>
      </c>
      <c r="F884" s="1" t="s">
        <v>50</v>
      </c>
      <c r="G884" s="1" t="s">
        <v>50</v>
      </c>
      <c r="H884" s="1" t="s">
        <v>50</v>
      </c>
      <c r="I884" s="1" t="s">
        <v>50</v>
      </c>
      <c r="J884" s="1" t="s">
        <v>50</v>
      </c>
      <c r="K884" s="1" t="s">
        <v>50</v>
      </c>
      <c r="L884" s="1"/>
      <c r="M884" s="1" t="s">
        <v>50</v>
      </c>
      <c r="N884" s="1" t="s">
        <v>50</v>
      </c>
      <c r="O884" s="1" t="s">
        <v>50</v>
      </c>
      <c r="P884" s="1" t="s">
        <v>2070</v>
      </c>
      <c r="Q884" s="1" t="s">
        <v>104</v>
      </c>
      <c r="R884" s="1" t="s">
        <v>104</v>
      </c>
      <c r="S884" s="1" t="s">
        <v>104</v>
      </c>
      <c r="T884" s="1" t="s">
        <v>104</v>
      </c>
      <c r="U884" s="1" t="s">
        <v>104</v>
      </c>
      <c r="V884" s="1" t="s">
        <v>104</v>
      </c>
      <c r="W884" s="1" t="s">
        <v>104</v>
      </c>
      <c r="X884" s="1" t="s">
        <v>727</v>
      </c>
      <c r="Y884" s="1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>
        <v>1</v>
      </c>
      <c r="AT884" s="8"/>
      <c r="AU884" s="8"/>
      <c r="AV884" s="8"/>
      <c r="AW884" s="8"/>
      <c r="AX884" s="8"/>
      <c r="AY884" s="8"/>
      <c r="AZ884" s="8"/>
      <c r="BA884" s="8"/>
      <c r="BB884" s="1"/>
      <c r="BL884" s="58"/>
      <c r="BP884" t="str">
        <f t="shared" si="31"/>
        <v>DarkSound</v>
      </c>
      <c r="BR884" s="1">
        <v>7</v>
      </c>
    </row>
    <row r="885" spans="1:70" x14ac:dyDescent="0.25">
      <c r="A885" s="1" t="s">
        <v>50</v>
      </c>
      <c r="B885" t="s">
        <v>2125</v>
      </c>
      <c r="C885" t="s">
        <v>2127</v>
      </c>
      <c r="D885" s="1" t="s">
        <v>3</v>
      </c>
      <c r="E885" s="1" t="s">
        <v>41</v>
      </c>
      <c r="F885" s="1" t="s">
        <v>50</v>
      </c>
      <c r="G885" s="1" t="s">
        <v>50</v>
      </c>
      <c r="H885" s="1" t="s">
        <v>50</v>
      </c>
      <c r="I885" s="1" t="s">
        <v>50</v>
      </c>
      <c r="J885" s="1" t="s">
        <v>50</v>
      </c>
      <c r="K885" s="1" t="s">
        <v>50</v>
      </c>
      <c r="L885" s="1"/>
      <c r="M885" s="1" t="s">
        <v>50</v>
      </c>
      <c r="N885" s="1" t="s">
        <v>50</v>
      </c>
      <c r="O885" s="1" t="s">
        <v>50</v>
      </c>
      <c r="P885" s="1" t="s">
        <v>2070</v>
      </c>
      <c r="Q885" s="1" t="s">
        <v>104</v>
      </c>
      <c r="R885" s="1" t="s">
        <v>104</v>
      </c>
      <c r="S885" s="1" t="s">
        <v>104</v>
      </c>
      <c r="T885" s="1" t="s">
        <v>104</v>
      </c>
      <c r="U885" s="1" t="s">
        <v>104</v>
      </c>
      <c r="V885" s="1" t="s">
        <v>104</v>
      </c>
      <c r="W885" s="1" t="s">
        <v>104</v>
      </c>
      <c r="X885" s="1" t="s">
        <v>727</v>
      </c>
      <c r="Y885" s="1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>
        <v>1</v>
      </c>
      <c r="AT885" s="8"/>
      <c r="AU885" s="8"/>
      <c r="AV885" s="8"/>
      <c r="AW885" s="8"/>
      <c r="AX885" s="8"/>
      <c r="AY885" s="8"/>
      <c r="AZ885" s="8"/>
      <c r="BA885" s="8"/>
      <c r="BB885" s="1"/>
      <c r="BL885" s="58"/>
      <c r="BP885" t="str">
        <f t="shared" si="31"/>
        <v>ElectricSound</v>
      </c>
      <c r="BR885" s="1">
        <v>7</v>
      </c>
    </row>
    <row r="886" spans="1:70" x14ac:dyDescent="0.25">
      <c r="A886" s="1" t="s">
        <v>50</v>
      </c>
      <c r="B886" t="s">
        <v>2125</v>
      </c>
      <c r="C886" t="s">
        <v>2262</v>
      </c>
      <c r="D886" s="1" t="s">
        <v>13</v>
      </c>
      <c r="E886" s="1" t="s">
        <v>41</v>
      </c>
      <c r="F886" s="1" t="s">
        <v>50</v>
      </c>
      <c r="G886" s="1" t="s">
        <v>50</v>
      </c>
      <c r="H886" s="1" t="s">
        <v>50</v>
      </c>
      <c r="I886" s="1" t="s">
        <v>50</v>
      </c>
      <c r="J886" s="1" t="s">
        <v>50</v>
      </c>
      <c r="K886" s="1" t="s">
        <v>50</v>
      </c>
      <c r="L886" s="1"/>
      <c r="M886" s="1" t="s">
        <v>50</v>
      </c>
      <c r="N886" s="1" t="s">
        <v>50</v>
      </c>
      <c r="O886" s="1" t="s">
        <v>50</v>
      </c>
      <c r="P886" s="1" t="s">
        <v>2070</v>
      </c>
      <c r="Q886" s="1" t="s">
        <v>104</v>
      </c>
      <c r="R886" s="1" t="s">
        <v>104</v>
      </c>
      <c r="S886" s="1" t="s">
        <v>104</v>
      </c>
      <c r="T886" s="1" t="s">
        <v>104</v>
      </c>
      <c r="U886" s="1" t="s">
        <v>104</v>
      </c>
      <c r="V886" s="1" t="s">
        <v>104</v>
      </c>
      <c r="W886" s="1" t="s">
        <v>104</v>
      </c>
      <c r="X886" s="1" t="s">
        <v>727</v>
      </c>
      <c r="Y886" s="1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>
        <v>1</v>
      </c>
      <c r="AT886" s="8"/>
      <c r="AU886" s="8"/>
      <c r="AV886" s="8"/>
      <c r="AW886" s="8"/>
      <c r="AX886" s="8"/>
      <c r="AY886" s="8"/>
      <c r="AZ886" s="8"/>
      <c r="BA886" s="8"/>
      <c r="BB886" s="1"/>
      <c r="BL886" s="58"/>
      <c r="BP886" t="str">
        <f t="shared" si="31"/>
        <v>FireSound</v>
      </c>
      <c r="BR886" s="1">
        <v>7</v>
      </c>
    </row>
    <row r="887" spans="1:70" x14ac:dyDescent="0.25">
      <c r="A887">
        <f>A883+1</f>
        <v>834</v>
      </c>
      <c r="B887" t="s">
        <v>2128</v>
      </c>
      <c r="D887" s="1" t="s">
        <v>9</v>
      </c>
      <c r="E887" s="1" t="s">
        <v>12</v>
      </c>
      <c r="F887" s="1" t="s">
        <v>50</v>
      </c>
      <c r="G887" s="1" t="s">
        <v>50</v>
      </c>
      <c r="H887" s="1"/>
      <c r="I887" s="1" t="s">
        <v>50</v>
      </c>
      <c r="J887" s="1" t="s">
        <v>50</v>
      </c>
      <c r="K887" s="1" t="s">
        <v>50</v>
      </c>
      <c r="L887" s="1"/>
      <c r="M887" s="1" t="s">
        <v>50</v>
      </c>
      <c r="N887" s="1" t="s">
        <v>50</v>
      </c>
      <c r="O887" s="1" t="s">
        <v>50</v>
      </c>
      <c r="P887" s="1" t="s">
        <v>1733</v>
      </c>
      <c r="Q887" s="1" t="s">
        <v>104</v>
      </c>
      <c r="R887" s="1" t="s">
        <v>104</v>
      </c>
      <c r="S887" s="1" t="s">
        <v>104</v>
      </c>
      <c r="T887" s="1" t="s">
        <v>104</v>
      </c>
      <c r="U887" s="1" t="s">
        <v>104</v>
      </c>
      <c r="V887" s="1" t="s">
        <v>104</v>
      </c>
      <c r="W887" s="1" t="s">
        <v>104</v>
      </c>
      <c r="X887" s="1" t="s">
        <v>2436</v>
      </c>
      <c r="Y887" s="1"/>
      <c r="Z887" s="8"/>
      <c r="AA887" s="8"/>
      <c r="AB887" s="8"/>
      <c r="AC887" s="8"/>
      <c r="AD887" s="8">
        <v>1</v>
      </c>
      <c r="AE887" s="8">
        <v>1</v>
      </c>
      <c r="AF887" s="8">
        <v>1</v>
      </c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>
        <v>1</v>
      </c>
      <c r="AY887" s="8">
        <v>1</v>
      </c>
      <c r="AZ887" s="8"/>
      <c r="BA887" s="8"/>
      <c r="BB887" s="1"/>
      <c r="BL887" s="58"/>
      <c r="BP887" t="str">
        <f t="shared" si="31"/>
        <v>RockDragon</v>
      </c>
      <c r="BQ887" t="s">
        <v>2</v>
      </c>
      <c r="BR887">
        <v>5</v>
      </c>
    </row>
    <row r="888" spans="1:70" x14ac:dyDescent="0.25">
      <c r="A888">
        <f t="shared" ref="A888:A919" si="33">A887+1</f>
        <v>835</v>
      </c>
      <c r="B888" t="s">
        <v>2129</v>
      </c>
      <c r="D888" s="1" t="s">
        <v>9</v>
      </c>
      <c r="E888" s="1" t="s">
        <v>12</v>
      </c>
      <c r="F888" s="1" t="s">
        <v>50</v>
      </c>
      <c r="G888" s="1" t="s">
        <v>50</v>
      </c>
      <c r="H888" s="1"/>
      <c r="I888" s="1" t="s">
        <v>50</v>
      </c>
      <c r="J888" s="1" t="s">
        <v>50</v>
      </c>
      <c r="K888" s="1" t="s">
        <v>50</v>
      </c>
      <c r="L888" s="1"/>
      <c r="M888" s="1" t="s">
        <v>104</v>
      </c>
      <c r="N888" s="1" t="s">
        <v>50</v>
      </c>
      <c r="O888" s="1" t="s">
        <v>50</v>
      </c>
      <c r="P888" s="1" t="s">
        <v>1733</v>
      </c>
      <c r="Q888" s="1" t="s">
        <v>104</v>
      </c>
      <c r="R888" s="1" t="s">
        <v>104</v>
      </c>
      <c r="S888" s="1" t="s">
        <v>104</v>
      </c>
      <c r="T888" s="1" t="s">
        <v>104</v>
      </c>
      <c r="U888" s="1" t="s">
        <v>104</v>
      </c>
      <c r="V888" s="1" t="s">
        <v>104</v>
      </c>
      <c r="W888" s="1" t="s">
        <v>104</v>
      </c>
      <c r="X888" s="1" t="s">
        <v>2436</v>
      </c>
      <c r="Y888" s="1"/>
      <c r="Z888" s="8"/>
      <c r="AA888" s="8"/>
      <c r="AB888" s="8"/>
      <c r="AC888" s="8"/>
      <c r="AD888" s="8">
        <v>1</v>
      </c>
      <c r="AE888" s="8">
        <v>1</v>
      </c>
      <c r="AF888" s="8">
        <v>1</v>
      </c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>
        <v>1</v>
      </c>
      <c r="AY888" s="8">
        <v>1</v>
      </c>
      <c r="AZ888" s="8"/>
      <c r="BA888" s="8"/>
      <c r="BB888" s="1"/>
      <c r="BL888" s="58"/>
      <c r="BP888" t="str">
        <f t="shared" si="31"/>
        <v>RockDragon</v>
      </c>
      <c r="BQ888" t="s">
        <v>2</v>
      </c>
      <c r="BR888">
        <v>5</v>
      </c>
    </row>
    <row r="889" spans="1:70" x14ac:dyDescent="0.25">
      <c r="A889">
        <f t="shared" si="33"/>
        <v>836</v>
      </c>
      <c r="B889" t="s">
        <v>2130</v>
      </c>
      <c r="D889" s="1" t="s">
        <v>9</v>
      </c>
      <c r="E889" s="1" t="s">
        <v>12</v>
      </c>
      <c r="F889" s="1" t="s">
        <v>50</v>
      </c>
      <c r="G889" s="1" t="s">
        <v>50</v>
      </c>
      <c r="H889" s="1" t="s">
        <v>50</v>
      </c>
      <c r="I889" s="1" t="s">
        <v>50</v>
      </c>
      <c r="J889" s="1" t="s">
        <v>50</v>
      </c>
      <c r="K889" s="1" t="s">
        <v>50</v>
      </c>
      <c r="L889" s="1"/>
      <c r="M889" s="1" t="s">
        <v>104</v>
      </c>
      <c r="N889" s="1" t="s">
        <v>50</v>
      </c>
      <c r="O889" s="1" t="s">
        <v>50</v>
      </c>
      <c r="P889" s="1" t="s">
        <v>1733</v>
      </c>
      <c r="Q889" s="1" t="s">
        <v>104</v>
      </c>
      <c r="R889" s="1" t="s">
        <v>104</v>
      </c>
      <c r="S889" s="1" t="s">
        <v>104</v>
      </c>
      <c r="T889" s="1" t="s">
        <v>104</v>
      </c>
      <c r="U889" s="1" t="s">
        <v>104</v>
      </c>
      <c r="V889" s="1" t="s">
        <v>104</v>
      </c>
      <c r="W889" s="1" t="s">
        <v>104</v>
      </c>
      <c r="X889" s="1" t="s">
        <v>2436</v>
      </c>
      <c r="Y889" s="1"/>
      <c r="Z889" s="8"/>
      <c r="AA889" s="8"/>
      <c r="AB889" s="8"/>
      <c r="AC889" s="8"/>
      <c r="AD889" s="8">
        <v>1</v>
      </c>
      <c r="AE889" s="8">
        <v>1</v>
      </c>
      <c r="AF889" s="8">
        <v>1</v>
      </c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>
        <v>1</v>
      </c>
      <c r="AY889" s="8">
        <v>1</v>
      </c>
      <c r="AZ889" s="8"/>
      <c r="BA889" s="8"/>
      <c r="BB889" s="1"/>
      <c r="BK889">
        <v>9</v>
      </c>
      <c r="BL889" s="58"/>
      <c r="BP889" t="str">
        <f t="shared" si="31"/>
        <v>RockDragon</v>
      </c>
      <c r="BR889">
        <v>5</v>
      </c>
    </row>
    <row r="890" spans="1:70" x14ac:dyDescent="0.25">
      <c r="A890">
        <f t="shared" si="33"/>
        <v>837</v>
      </c>
      <c r="B890" t="s">
        <v>2131</v>
      </c>
      <c r="D890" s="1" t="s">
        <v>1</v>
      </c>
      <c r="E890" s="1">
        <v>0</v>
      </c>
      <c r="F890" s="1" t="s">
        <v>50</v>
      </c>
      <c r="G890" s="1" t="s">
        <v>50</v>
      </c>
      <c r="H890" s="1" t="s">
        <v>50</v>
      </c>
      <c r="I890" s="1" t="s">
        <v>50</v>
      </c>
      <c r="J890" s="1" t="s">
        <v>50</v>
      </c>
      <c r="K890" s="1" t="s">
        <v>50</v>
      </c>
      <c r="L890" s="1"/>
      <c r="M890" s="1" t="s">
        <v>50</v>
      </c>
      <c r="N890" s="1" t="s">
        <v>50</v>
      </c>
      <c r="O890" s="1" t="s">
        <v>50</v>
      </c>
      <c r="P890" s="1" t="s">
        <v>2070</v>
      </c>
      <c r="Q890" s="1" t="s">
        <v>104</v>
      </c>
      <c r="R890" s="1" t="s">
        <v>104</v>
      </c>
      <c r="S890" s="1" t="s">
        <v>104</v>
      </c>
      <c r="T890" s="1" t="s">
        <v>104</v>
      </c>
      <c r="U890" s="1" t="s">
        <v>104</v>
      </c>
      <c r="V890" s="1" t="s">
        <v>104</v>
      </c>
      <c r="W890" s="1" t="s">
        <v>104</v>
      </c>
      <c r="X890" s="1" t="s">
        <v>2436</v>
      </c>
      <c r="Y890" s="1"/>
      <c r="Z890" s="8">
        <v>1</v>
      </c>
      <c r="AA890" s="8">
        <v>1</v>
      </c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1"/>
      <c r="BK890">
        <v>1</v>
      </c>
      <c r="BL890" s="58"/>
      <c r="BP890" t="str">
        <f t="shared" si="31"/>
        <v>Normal0</v>
      </c>
      <c r="BR890">
        <v>4</v>
      </c>
    </row>
    <row r="891" spans="1:70" x14ac:dyDescent="0.25">
      <c r="A891">
        <f t="shared" si="33"/>
        <v>838</v>
      </c>
      <c r="B891" t="s">
        <v>2132</v>
      </c>
      <c r="D891" s="1" t="s">
        <v>11</v>
      </c>
      <c r="E891" s="1" t="s">
        <v>10</v>
      </c>
      <c r="F891" s="1" t="s">
        <v>50</v>
      </c>
      <c r="G891" s="1" t="s">
        <v>50</v>
      </c>
      <c r="H891" s="1"/>
      <c r="I891" s="1" t="s">
        <v>50</v>
      </c>
      <c r="J891" s="1" t="s">
        <v>50</v>
      </c>
      <c r="K891" s="1" t="s">
        <v>50</v>
      </c>
      <c r="L891" s="1"/>
      <c r="M891" s="1" t="s">
        <v>50</v>
      </c>
      <c r="N891" s="1" t="s">
        <v>50</v>
      </c>
      <c r="O891" s="1" t="s">
        <v>50</v>
      </c>
      <c r="P891" s="1" t="s">
        <v>2070</v>
      </c>
      <c r="Q891" s="1" t="s">
        <v>104</v>
      </c>
      <c r="R891" s="1" t="s">
        <v>104</v>
      </c>
      <c r="S891" s="1" t="s">
        <v>104</v>
      </c>
      <c r="T891" s="1" t="s">
        <v>104</v>
      </c>
      <c r="U891" s="1" t="s">
        <v>104</v>
      </c>
      <c r="V891" s="1" t="s">
        <v>104</v>
      </c>
      <c r="W891" s="1" t="s">
        <v>104</v>
      </c>
      <c r="X891" s="1" t="s">
        <v>2436</v>
      </c>
      <c r="Y891" s="1"/>
      <c r="Z891" s="8"/>
      <c r="AA891" s="8"/>
      <c r="AB891" s="8"/>
      <c r="AC891" s="8"/>
      <c r="AD891" s="8"/>
      <c r="AE891" s="8">
        <v>1</v>
      </c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>
        <v>1</v>
      </c>
      <c r="AY891" s="8">
        <v>1</v>
      </c>
      <c r="AZ891" s="8"/>
      <c r="BA891" s="8"/>
      <c r="BB891" s="1"/>
      <c r="BL891" s="58"/>
      <c r="BP891" t="str">
        <f t="shared" si="31"/>
        <v>GrassPoison</v>
      </c>
      <c r="BQ891" t="s">
        <v>2</v>
      </c>
      <c r="BR891">
        <v>2</v>
      </c>
    </row>
    <row r="892" spans="1:70" x14ac:dyDescent="0.25">
      <c r="A892">
        <f t="shared" si="33"/>
        <v>839</v>
      </c>
      <c r="B892" t="s">
        <v>2133</v>
      </c>
      <c r="D892" s="1" t="s">
        <v>11</v>
      </c>
      <c r="E892" s="1" t="s">
        <v>10</v>
      </c>
      <c r="F892" s="1" t="s">
        <v>50</v>
      </c>
      <c r="G892" s="1" t="s">
        <v>50</v>
      </c>
      <c r="H892" s="1" t="s">
        <v>50</v>
      </c>
      <c r="I892" s="1" t="s">
        <v>50</v>
      </c>
      <c r="J892" s="1" t="s">
        <v>50</v>
      </c>
      <c r="K892" s="1" t="s">
        <v>50</v>
      </c>
      <c r="L892" s="1"/>
      <c r="M892" s="1" t="s">
        <v>104</v>
      </c>
      <c r="N892" s="1" t="s">
        <v>50</v>
      </c>
      <c r="O892" s="1" t="s">
        <v>50</v>
      </c>
      <c r="P892" s="1" t="s">
        <v>2070</v>
      </c>
      <c r="Q892" s="1" t="s">
        <v>104</v>
      </c>
      <c r="R892" s="1" t="s">
        <v>104</v>
      </c>
      <c r="S892" s="1" t="s">
        <v>104</v>
      </c>
      <c r="T892" s="1" t="s">
        <v>104</v>
      </c>
      <c r="U892" s="1" t="s">
        <v>104</v>
      </c>
      <c r="V892" s="1" t="s">
        <v>104</v>
      </c>
      <c r="W892" s="1" t="s">
        <v>104</v>
      </c>
      <c r="X892" s="1" t="s">
        <v>2436</v>
      </c>
      <c r="Y892" s="1"/>
      <c r="Z892" s="8"/>
      <c r="AA892" s="8"/>
      <c r="AB892" s="8"/>
      <c r="AC892" s="8"/>
      <c r="AD892" s="8"/>
      <c r="AE892" s="8">
        <v>1</v>
      </c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>
        <v>1</v>
      </c>
      <c r="AY892" s="8">
        <v>1</v>
      </c>
      <c r="AZ892" s="8"/>
      <c r="BA892" s="8"/>
      <c r="BB892" s="1"/>
      <c r="BK892">
        <v>1</v>
      </c>
      <c r="BL892" s="58"/>
      <c r="BP892" t="str">
        <f t="shared" si="31"/>
        <v>GrassPoison</v>
      </c>
      <c r="BR892">
        <v>8</v>
      </c>
    </row>
    <row r="893" spans="1:70" x14ac:dyDescent="0.25">
      <c r="A893">
        <f t="shared" si="33"/>
        <v>840</v>
      </c>
      <c r="B893" t="s">
        <v>2134</v>
      </c>
      <c r="D893" s="1" t="s">
        <v>8</v>
      </c>
      <c r="E893" s="1" t="s">
        <v>42</v>
      </c>
      <c r="F893" s="1" t="s">
        <v>50</v>
      </c>
      <c r="G893" s="1" t="s">
        <v>50</v>
      </c>
      <c r="H893" s="1" t="s">
        <v>50</v>
      </c>
      <c r="I893" s="1" t="s">
        <v>50</v>
      </c>
      <c r="J893" s="1" t="s">
        <v>50</v>
      </c>
      <c r="K893" s="1" t="s">
        <v>50</v>
      </c>
      <c r="L893" s="1"/>
      <c r="M893" s="1" t="s">
        <v>50</v>
      </c>
      <c r="N893" s="1" t="s">
        <v>50</v>
      </c>
      <c r="O893" s="1" t="s">
        <v>50</v>
      </c>
      <c r="P893" s="13" t="s">
        <v>807</v>
      </c>
      <c r="Q893" s="1" t="s">
        <v>104</v>
      </c>
      <c r="R893" s="1" t="s">
        <v>104</v>
      </c>
      <c r="S893" s="1" t="s">
        <v>104</v>
      </c>
      <c r="T893" s="1" t="s">
        <v>104</v>
      </c>
      <c r="U893" s="1" t="s">
        <v>104</v>
      </c>
      <c r="V893" s="1" t="s">
        <v>104</v>
      </c>
      <c r="W893" s="1" t="s">
        <v>104</v>
      </c>
      <c r="X893" s="1" t="s">
        <v>1705</v>
      </c>
      <c r="Y893" s="1"/>
      <c r="Z893" s="8"/>
      <c r="AA893" s="8"/>
      <c r="AB893" s="8"/>
      <c r="AC893" s="8"/>
      <c r="AD893" s="8">
        <v>1</v>
      </c>
      <c r="AE893" s="8">
        <v>1</v>
      </c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>
        <v>1</v>
      </c>
      <c r="AY893" s="8">
        <v>1</v>
      </c>
      <c r="AZ893" s="8"/>
      <c r="BA893" s="8"/>
      <c r="BB893" s="1"/>
      <c r="BL893" s="58"/>
      <c r="BP893" t="str">
        <f t="shared" si="31"/>
        <v>GroundCosmic</v>
      </c>
      <c r="BR893">
        <v>7</v>
      </c>
    </row>
    <row r="894" spans="1:70" x14ac:dyDescent="0.25">
      <c r="A894">
        <f t="shared" si="33"/>
        <v>841</v>
      </c>
      <c r="B894" t="s">
        <v>2135</v>
      </c>
      <c r="D894" s="1" t="s">
        <v>10</v>
      </c>
      <c r="E894" s="1">
        <v>0</v>
      </c>
      <c r="F894" s="1" t="s">
        <v>50</v>
      </c>
      <c r="G894" s="1" t="s">
        <v>50</v>
      </c>
      <c r="H894" s="1"/>
      <c r="I894" s="1" t="s">
        <v>50</v>
      </c>
      <c r="J894" s="1" t="s">
        <v>50</v>
      </c>
      <c r="K894" s="1" t="s">
        <v>50</v>
      </c>
      <c r="L894" s="1"/>
      <c r="M894" s="1" t="s">
        <v>50</v>
      </c>
      <c r="N894" s="1" t="s">
        <v>50</v>
      </c>
      <c r="O894" s="1" t="s">
        <v>50</v>
      </c>
      <c r="P894" s="13" t="s">
        <v>807</v>
      </c>
      <c r="Q894" s="1" t="s">
        <v>104</v>
      </c>
      <c r="R894" s="1" t="s">
        <v>104</v>
      </c>
      <c r="S894" s="1" t="s">
        <v>104</v>
      </c>
      <c r="T894" s="1" t="s">
        <v>104</v>
      </c>
      <c r="U894" s="1" t="s">
        <v>104</v>
      </c>
      <c r="V894" s="1" t="s">
        <v>104</v>
      </c>
      <c r="W894" s="1" t="s">
        <v>104</v>
      </c>
      <c r="X894" s="1" t="s">
        <v>727</v>
      </c>
      <c r="Y894" s="1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>
        <v>1</v>
      </c>
      <c r="AT894" s="8">
        <v>1</v>
      </c>
      <c r="AU894" s="8"/>
      <c r="AV894" s="8"/>
      <c r="AW894" s="8"/>
      <c r="AX894" s="8"/>
      <c r="AY894" s="8"/>
      <c r="AZ894" s="8"/>
      <c r="BA894" s="8"/>
      <c r="BB894" s="1"/>
      <c r="BL894" s="58"/>
      <c r="BP894" t="str">
        <f t="shared" si="31"/>
        <v>Poison0</v>
      </c>
      <c r="BQ894" t="s">
        <v>2</v>
      </c>
      <c r="BR894">
        <v>9</v>
      </c>
    </row>
    <row r="895" spans="1:70" x14ac:dyDescent="0.25">
      <c r="A895">
        <f t="shared" si="33"/>
        <v>842</v>
      </c>
      <c r="B895" t="s">
        <v>2136</v>
      </c>
      <c r="D895" s="1" t="s">
        <v>10</v>
      </c>
      <c r="E895" s="1">
        <v>0</v>
      </c>
      <c r="F895" s="1" t="s">
        <v>50</v>
      </c>
      <c r="G895" s="1" t="s">
        <v>50</v>
      </c>
      <c r="H895" s="1" t="s">
        <v>50</v>
      </c>
      <c r="I895" s="1" t="s">
        <v>50</v>
      </c>
      <c r="J895" s="1" t="s">
        <v>50</v>
      </c>
      <c r="K895" s="1" t="s">
        <v>50</v>
      </c>
      <c r="L895" s="1"/>
      <c r="M895" s="1" t="s">
        <v>104</v>
      </c>
      <c r="N895" s="1" t="s">
        <v>50</v>
      </c>
      <c r="O895" s="1" t="s">
        <v>50</v>
      </c>
      <c r="P895" s="13" t="s">
        <v>807</v>
      </c>
      <c r="Q895" s="1" t="s">
        <v>104</v>
      </c>
      <c r="R895" s="1" t="s">
        <v>104</v>
      </c>
      <c r="S895" s="1" t="s">
        <v>104</v>
      </c>
      <c r="T895" s="1" t="s">
        <v>104</v>
      </c>
      <c r="U895" s="1" t="s">
        <v>104</v>
      </c>
      <c r="V895" s="1" t="s">
        <v>104</v>
      </c>
      <c r="W895" s="1" t="s">
        <v>104</v>
      </c>
      <c r="X895" s="1" t="s">
        <v>727</v>
      </c>
      <c r="Y895" s="1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>
        <v>1</v>
      </c>
      <c r="AT895" s="8">
        <v>1</v>
      </c>
      <c r="AU895" s="8"/>
      <c r="AV895" s="8"/>
      <c r="AW895" s="8"/>
      <c r="AX895" s="8"/>
      <c r="AY895" s="8"/>
      <c r="AZ895" s="8"/>
      <c r="BA895" s="8"/>
      <c r="BB895" s="1"/>
      <c r="BL895" s="58"/>
      <c r="BP895" t="str">
        <f t="shared" si="31"/>
        <v>Poison0</v>
      </c>
      <c r="BR895">
        <v>9</v>
      </c>
    </row>
    <row r="896" spans="1:70" x14ac:dyDescent="0.25">
      <c r="A896">
        <f t="shared" si="33"/>
        <v>843</v>
      </c>
      <c r="B896" t="s">
        <v>2137</v>
      </c>
      <c r="D896" s="1" t="s">
        <v>11</v>
      </c>
      <c r="E896" s="1" t="s">
        <v>1</v>
      </c>
      <c r="F896" s="1" t="s">
        <v>50</v>
      </c>
      <c r="G896" s="1" t="s">
        <v>50</v>
      </c>
      <c r="H896" s="1"/>
      <c r="I896" s="1" t="s">
        <v>50</v>
      </c>
      <c r="J896" s="1" t="s">
        <v>50</v>
      </c>
      <c r="K896" s="1" t="s">
        <v>50</v>
      </c>
      <c r="L896" s="1"/>
      <c r="M896" s="1" t="s">
        <v>50</v>
      </c>
      <c r="N896" s="1" t="s">
        <v>50</v>
      </c>
      <c r="O896" s="1" t="s">
        <v>50</v>
      </c>
      <c r="P896" s="1" t="s">
        <v>2070</v>
      </c>
      <c r="Q896" s="1" t="s">
        <v>104</v>
      </c>
      <c r="R896" s="1" t="s">
        <v>104</v>
      </c>
      <c r="S896" s="1" t="s">
        <v>104</v>
      </c>
      <c r="T896" s="1" t="s">
        <v>104</v>
      </c>
      <c r="U896" s="1" t="s">
        <v>104</v>
      </c>
      <c r="V896" s="1" t="s">
        <v>104</v>
      </c>
      <c r="W896" s="1" t="s">
        <v>104</v>
      </c>
      <c r="X896" s="1" t="s">
        <v>727</v>
      </c>
      <c r="Y896" s="1"/>
      <c r="Z896" s="8">
        <v>1</v>
      </c>
      <c r="AA896" s="8">
        <v>1</v>
      </c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1"/>
      <c r="BL896" s="58"/>
      <c r="BP896" t="str">
        <f t="shared" si="31"/>
        <v>GrassNormal</v>
      </c>
      <c r="BQ896" t="s">
        <v>2</v>
      </c>
      <c r="BR896">
        <v>1</v>
      </c>
    </row>
    <row r="897" spans="1:70" x14ac:dyDescent="0.25">
      <c r="A897">
        <f t="shared" si="33"/>
        <v>844</v>
      </c>
      <c r="B897" t="s">
        <v>2138</v>
      </c>
      <c r="D897" s="1" t="s">
        <v>11</v>
      </c>
      <c r="E897" s="1" t="s">
        <v>1</v>
      </c>
      <c r="F897" s="1" t="s">
        <v>50</v>
      </c>
      <c r="G897" s="1" t="s">
        <v>50</v>
      </c>
      <c r="H897" s="1" t="s">
        <v>50</v>
      </c>
      <c r="I897" s="1" t="s">
        <v>50</v>
      </c>
      <c r="J897" s="1" t="s">
        <v>50</v>
      </c>
      <c r="K897" s="1" t="s">
        <v>50</v>
      </c>
      <c r="L897" s="1"/>
      <c r="M897" s="1" t="s">
        <v>104</v>
      </c>
      <c r="N897" s="1" t="s">
        <v>50</v>
      </c>
      <c r="O897" s="1" t="s">
        <v>50</v>
      </c>
      <c r="P897" s="1" t="s">
        <v>2070</v>
      </c>
      <c r="Q897" s="1" t="s">
        <v>104</v>
      </c>
      <c r="R897" s="1" t="s">
        <v>104</v>
      </c>
      <c r="S897" s="1" t="s">
        <v>104</v>
      </c>
      <c r="T897" s="1" t="s">
        <v>104</v>
      </c>
      <c r="U897" s="1" t="s">
        <v>104</v>
      </c>
      <c r="V897" s="1" t="s">
        <v>104</v>
      </c>
      <c r="W897" s="1" t="s">
        <v>104</v>
      </c>
      <c r="X897" s="1" t="s">
        <v>727</v>
      </c>
      <c r="Y897" s="1"/>
      <c r="Z897" s="8">
        <v>1</v>
      </c>
      <c r="AA897" s="8">
        <v>1</v>
      </c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1"/>
      <c r="BL897" s="58"/>
      <c r="BP897" t="str">
        <f t="shared" si="31"/>
        <v>GrassNormal</v>
      </c>
      <c r="BR897">
        <v>1</v>
      </c>
    </row>
    <row r="898" spans="1:70" x14ac:dyDescent="0.25">
      <c r="A898">
        <f t="shared" si="33"/>
        <v>845</v>
      </c>
      <c r="B898" t="s">
        <v>2139</v>
      </c>
      <c r="D898" s="1" t="s">
        <v>9</v>
      </c>
      <c r="E898" s="1" t="s">
        <v>15</v>
      </c>
      <c r="F898" s="1" t="s">
        <v>50</v>
      </c>
      <c r="G898" s="1" t="s">
        <v>50</v>
      </c>
      <c r="H898" s="1"/>
      <c r="I898" s="1" t="s">
        <v>50</v>
      </c>
      <c r="J898" s="1" t="s">
        <v>50</v>
      </c>
      <c r="K898" s="1" t="s">
        <v>50</v>
      </c>
      <c r="L898" s="1"/>
      <c r="M898" s="1" t="s">
        <v>50</v>
      </c>
      <c r="N898" s="1" t="s">
        <v>50</v>
      </c>
      <c r="O898" s="1" t="s">
        <v>50</v>
      </c>
      <c r="P898" s="1" t="s">
        <v>2070</v>
      </c>
      <c r="Q898" s="1" t="s">
        <v>104</v>
      </c>
      <c r="R898" s="1" t="s">
        <v>104</v>
      </c>
      <c r="S898" s="1" t="s">
        <v>104</v>
      </c>
      <c r="T898" s="1" t="s">
        <v>104</v>
      </c>
      <c r="U898" s="1" t="s">
        <v>104</v>
      </c>
      <c r="V898" s="1" t="s">
        <v>104</v>
      </c>
      <c r="W898" s="1" t="s">
        <v>104</v>
      </c>
      <c r="X898" s="1" t="s">
        <v>727</v>
      </c>
      <c r="Y898" s="1"/>
      <c r="Z898" s="8"/>
      <c r="AA898" s="8"/>
      <c r="AB898" s="8"/>
      <c r="AC898" s="8"/>
      <c r="AD898" s="8"/>
      <c r="AE898" s="8"/>
      <c r="AF898" s="8"/>
      <c r="AG898" s="8"/>
      <c r="AH898" s="8"/>
      <c r="AI898" s="8">
        <v>1</v>
      </c>
      <c r="AJ898" s="8">
        <v>1</v>
      </c>
      <c r="AK898" s="8">
        <v>1</v>
      </c>
      <c r="AL898" s="8">
        <v>1</v>
      </c>
      <c r="AM898" s="8">
        <v>1</v>
      </c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1"/>
      <c r="BL898" s="58"/>
      <c r="BP898" t="str">
        <f t="shared" ref="BP898:BP961" si="34">D898&amp;E898</f>
        <v>RockWater</v>
      </c>
      <c r="BQ898" t="s">
        <v>2</v>
      </c>
      <c r="BR898">
        <v>9</v>
      </c>
    </row>
    <row r="899" spans="1:70" x14ac:dyDescent="0.25">
      <c r="A899">
        <f t="shared" si="33"/>
        <v>846</v>
      </c>
      <c r="B899" t="s">
        <v>2140</v>
      </c>
      <c r="D899" s="1" t="s">
        <v>9</v>
      </c>
      <c r="E899" s="1" t="s">
        <v>15</v>
      </c>
      <c r="F899" s="1" t="s">
        <v>50</v>
      </c>
      <c r="G899" s="1" t="s">
        <v>50</v>
      </c>
      <c r="H899" s="1" t="s">
        <v>50</v>
      </c>
      <c r="I899" s="1" t="s">
        <v>50</v>
      </c>
      <c r="J899" s="1" t="s">
        <v>50</v>
      </c>
      <c r="K899" s="1" t="s">
        <v>50</v>
      </c>
      <c r="L899" s="1"/>
      <c r="M899" s="1" t="s">
        <v>104</v>
      </c>
      <c r="N899" s="1" t="s">
        <v>50</v>
      </c>
      <c r="O899" s="1" t="s">
        <v>50</v>
      </c>
      <c r="P899" s="1" t="s">
        <v>2070</v>
      </c>
      <c r="Q899" s="1" t="s">
        <v>104</v>
      </c>
      <c r="R899" s="1" t="s">
        <v>104</v>
      </c>
      <c r="S899" s="1" t="s">
        <v>104</v>
      </c>
      <c r="T899" s="1" t="s">
        <v>104</v>
      </c>
      <c r="U899" s="1" t="s">
        <v>104</v>
      </c>
      <c r="V899" s="1" t="s">
        <v>104</v>
      </c>
      <c r="W899" s="1" t="s">
        <v>104</v>
      </c>
      <c r="X899" s="1" t="s">
        <v>727</v>
      </c>
      <c r="Y899" s="1"/>
      <c r="Z899" s="8"/>
      <c r="AA899" s="8"/>
      <c r="AB899" s="8"/>
      <c r="AC899" s="8"/>
      <c r="AD899" s="8"/>
      <c r="AE899" s="8"/>
      <c r="AF899" s="8"/>
      <c r="AG899" s="8"/>
      <c r="AH899" s="8"/>
      <c r="AI899" s="8">
        <v>1</v>
      </c>
      <c r="AJ899" s="8">
        <v>1</v>
      </c>
      <c r="AK899" s="8">
        <v>1</v>
      </c>
      <c r="AL899" s="8">
        <v>1</v>
      </c>
      <c r="AM899" s="8">
        <v>1</v>
      </c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1"/>
      <c r="BK899">
        <v>1</v>
      </c>
      <c r="BL899" s="58"/>
      <c r="BP899" t="str">
        <f t="shared" si="34"/>
        <v>RockWater</v>
      </c>
      <c r="BR899">
        <v>9</v>
      </c>
    </row>
    <row r="900" spans="1:70" x14ac:dyDescent="0.25">
      <c r="A900">
        <f t="shared" si="33"/>
        <v>847</v>
      </c>
      <c r="B900" t="s">
        <v>2141</v>
      </c>
      <c r="D900" s="1" t="s">
        <v>8</v>
      </c>
      <c r="E900" s="1" t="s">
        <v>16</v>
      </c>
      <c r="F900" s="1" t="s">
        <v>50</v>
      </c>
      <c r="G900" s="1" t="s">
        <v>50</v>
      </c>
      <c r="H900" s="1"/>
      <c r="I900" s="1" t="s">
        <v>50</v>
      </c>
      <c r="J900" s="1" t="s">
        <v>50</v>
      </c>
      <c r="K900" s="1" t="s">
        <v>50</v>
      </c>
      <c r="L900" s="1"/>
      <c r="M900" s="1" t="s">
        <v>50</v>
      </c>
      <c r="N900" s="1" t="s">
        <v>50</v>
      </c>
      <c r="O900" s="1" t="s">
        <v>50</v>
      </c>
      <c r="P900" s="13" t="s">
        <v>2071</v>
      </c>
      <c r="Q900" s="1" t="s">
        <v>104</v>
      </c>
      <c r="R900" s="1" t="s">
        <v>104</v>
      </c>
      <c r="S900" s="1" t="s">
        <v>104</v>
      </c>
      <c r="T900" s="1" t="s">
        <v>104</v>
      </c>
      <c r="U900" s="1" t="s">
        <v>104</v>
      </c>
      <c r="V900" s="1" t="s">
        <v>104</v>
      </c>
      <c r="W900" s="1" t="s">
        <v>104</v>
      </c>
      <c r="X900" s="1" t="s">
        <v>2144</v>
      </c>
      <c r="Y900" s="1"/>
      <c r="Z900" s="8"/>
      <c r="AA900" s="8"/>
      <c r="AB900" s="8"/>
      <c r="AC900" s="8"/>
      <c r="AD900" s="8"/>
      <c r="AE900" s="8">
        <v>1</v>
      </c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>
        <v>1</v>
      </c>
      <c r="AY900" s="8">
        <v>1</v>
      </c>
      <c r="AZ900" s="8"/>
      <c r="BA900" s="8"/>
      <c r="BB900" s="1"/>
      <c r="BL900" s="58"/>
      <c r="BP900" t="str">
        <f t="shared" si="34"/>
        <v>GroundFlying</v>
      </c>
      <c r="BQ900" t="s">
        <v>2</v>
      </c>
      <c r="BR900">
        <v>3</v>
      </c>
    </row>
    <row r="901" spans="1:70" x14ac:dyDescent="0.25">
      <c r="A901">
        <f t="shared" si="33"/>
        <v>848</v>
      </c>
      <c r="B901" t="s">
        <v>2142</v>
      </c>
      <c r="D901" s="1" t="s">
        <v>8</v>
      </c>
      <c r="E901" s="1" t="s">
        <v>16</v>
      </c>
      <c r="F901" s="1" t="s">
        <v>50</v>
      </c>
      <c r="G901" s="1" t="s">
        <v>50</v>
      </c>
      <c r="H901" s="1"/>
      <c r="I901" s="1" t="s">
        <v>50</v>
      </c>
      <c r="J901" s="1" t="s">
        <v>50</v>
      </c>
      <c r="K901" s="1" t="s">
        <v>50</v>
      </c>
      <c r="L901" s="1"/>
      <c r="M901" s="1" t="s">
        <v>104</v>
      </c>
      <c r="N901" s="1" t="s">
        <v>50</v>
      </c>
      <c r="O901" s="1" t="s">
        <v>50</v>
      </c>
      <c r="P901" s="13" t="s">
        <v>2071</v>
      </c>
      <c r="Q901" s="1" t="s">
        <v>104</v>
      </c>
      <c r="R901" s="1" t="s">
        <v>104</v>
      </c>
      <c r="S901" s="1" t="s">
        <v>104</v>
      </c>
      <c r="T901" s="1" t="s">
        <v>104</v>
      </c>
      <c r="U901" s="1" t="s">
        <v>104</v>
      </c>
      <c r="V901" s="1" t="s">
        <v>104</v>
      </c>
      <c r="W901" s="1" t="s">
        <v>104</v>
      </c>
      <c r="X901" s="1" t="s">
        <v>2144</v>
      </c>
      <c r="Y901" s="1"/>
      <c r="Z901" s="8"/>
      <c r="AA901" s="8"/>
      <c r="AB901" s="8"/>
      <c r="AC901" s="8"/>
      <c r="AD901" s="8"/>
      <c r="AE901" s="8">
        <v>1</v>
      </c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>
        <v>1</v>
      </c>
      <c r="AY901" s="8">
        <v>1</v>
      </c>
      <c r="AZ901" s="8"/>
      <c r="BA901" s="8"/>
      <c r="BB901" s="1"/>
      <c r="BL901" s="58"/>
      <c r="BP901" t="str">
        <f t="shared" si="34"/>
        <v>GroundFlying</v>
      </c>
      <c r="BQ901" t="s">
        <v>2</v>
      </c>
      <c r="BR901">
        <v>3</v>
      </c>
    </row>
    <row r="902" spans="1:70" x14ac:dyDescent="0.25">
      <c r="A902">
        <f t="shared" si="33"/>
        <v>849</v>
      </c>
      <c r="B902" t="s">
        <v>2143</v>
      </c>
      <c r="D902" s="1" t="s">
        <v>8</v>
      </c>
      <c r="E902" s="1" t="s">
        <v>16</v>
      </c>
      <c r="F902" s="1" t="s">
        <v>50</v>
      </c>
      <c r="G902" s="1" t="s">
        <v>50</v>
      </c>
      <c r="H902" s="1" t="s">
        <v>50</v>
      </c>
      <c r="I902" s="1" t="s">
        <v>50</v>
      </c>
      <c r="J902" s="1" t="s">
        <v>50</v>
      </c>
      <c r="K902" s="1" t="s">
        <v>50</v>
      </c>
      <c r="L902" s="1"/>
      <c r="M902" s="1" t="s">
        <v>104</v>
      </c>
      <c r="N902" s="1" t="s">
        <v>50</v>
      </c>
      <c r="O902" s="1" t="s">
        <v>50</v>
      </c>
      <c r="P902" s="13" t="s">
        <v>2071</v>
      </c>
      <c r="Q902" s="1" t="s">
        <v>50</v>
      </c>
      <c r="R902" s="1" t="s">
        <v>50</v>
      </c>
      <c r="S902" s="1" t="s">
        <v>50</v>
      </c>
      <c r="T902" s="1" t="s">
        <v>50</v>
      </c>
      <c r="U902" s="1" t="s">
        <v>50</v>
      </c>
      <c r="V902" s="1" t="s">
        <v>50</v>
      </c>
      <c r="W902" s="1" t="s">
        <v>50</v>
      </c>
      <c r="X902" s="1" t="s">
        <v>2144</v>
      </c>
      <c r="Y902" s="1"/>
      <c r="Z902" s="8"/>
      <c r="AA902" s="8"/>
      <c r="AB902" s="8"/>
      <c r="AC902" s="8"/>
      <c r="AD902" s="8"/>
      <c r="AE902" s="8">
        <v>1</v>
      </c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>
        <v>1</v>
      </c>
      <c r="AY902" s="8">
        <v>1</v>
      </c>
      <c r="AZ902" s="8"/>
      <c r="BA902" s="8"/>
      <c r="BB902" s="1"/>
      <c r="BK902">
        <v>11</v>
      </c>
      <c r="BL902" s="58">
        <v>1</v>
      </c>
      <c r="BP902" t="str">
        <f t="shared" si="34"/>
        <v>GroundFlying</v>
      </c>
      <c r="BR902">
        <v>3</v>
      </c>
    </row>
    <row r="903" spans="1:70" x14ac:dyDescent="0.25">
      <c r="A903">
        <f t="shared" si="33"/>
        <v>850</v>
      </c>
      <c r="B903" t="s">
        <v>2145</v>
      </c>
      <c r="D903" s="1" t="s">
        <v>7</v>
      </c>
      <c r="E903" s="1">
        <v>0</v>
      </c>
      <c r="F903" s="1" t="s">
        <v>50</v>
      </c>
      <c r="G903" s="1" t="s">
        <v>50</v>
      </c>
      <c r="H903" s="1"/>
      <c r="I903" s="1" t="s">
        <v>50</v>
      </c>
      <c r="J903" s="1" t="s">
        <v>50</v>
      </c>
      <c r="K903" s="1" t="s">
        <v>50</v>
      </c>
      <c r="L903" s="1"/>
      <c r="M903" s="1" t="s">
        <v>50</v>
      </c>
      <c r="N903" s="1" t="s">
        <v>50</v>
      </c>
      <c r="O903" s="1" t="s">
        <v>50</v>
      </c>
      <c r="P903" s="1" t="s">
        <v>811</v>
      </c>
      <c r="Q903" s="1" t="s">
        <v>104</v>
      </c>
      <c r="R903" s="1" t="s">
        <v>104</v>
      </c>
      <c r="S903" s="1" t="s">
        <v>104</v>
      </c>
      <c r="T903" s="1" t="s">
        <v>104</v>
      </c>
      <c r="U903" s="1" t="s">
        <v>104</v>
      </c>
      <c r="V903" s="1" t="s">
        <v>104</v>
      </c>
      <c r="W903" s="1" t="s">
        <v>104</v>
      </c>
      <c r="X903" s="1" t="s">
        <v>727</v>
      </c>
      <c r="Y903" s="1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>
        <v>1</v>
      </c>
      <c r="AT903" s="8"/>
      <c r="AU903" s="8"/>
      <c r="AV903" s="8"/>
      <c r="AW903" s="8"/>
      <c r="AX903" s="8"/>
      <c r="AY903" s="8"/>
      <c r="AZ903" s="8"/>
      <c r="BA903" s="8"/>
      <c r="BB903" s="1"/>
      <c r="BL903" s="58"/>
      <c r="BP903" t="str">
        <f t="shared" si="34"/>
        <v>Fairy0</v>
      </c>
      <c r="BQ903" t="s">
        <v>2</v>
      </c>
      <c r="BR903">
        <v>9</v>
      </c>
    </row>
    <row r="904" spans="1:70" x14ac:dyDescent="0.25">
      <c r="A904">
        <f t="shared" si="33"/>
        <v>851</v>
      </c>
      <c r="B904" t="s">
        <v>2146</v>
      </c>
      <c r="D904" s="1" t="s">
        <v>7</v>
      </c>
      <c r="E904" s="1">
        <v>0</v>
      </c>
      <c r="F904" s="1" t="s">
        <v>50</v>
      </c>
      <c r="G904" s="1" t="s">
        <v>50</v>
      </c>
      <c r="H904" s="1"/>
      <c r="I904" s="1" t="s">
        <v>50</v>
      </c>
      <c r="J904" s="1" t="s">
        <v>50</v>
      </c>
      <c r="K904" s="1" t="s">
        <v>50</v>
      </c>
      <c r="L904" s="1"/>
      <c r="M904" s="1" t="s">
        <v>104</v>
      </c>
      <c r="N904" s="1" t="s">
        <v>50</v>
      </c>
      <c r="O904" s="1" t="s">
        <v>50</v>
      </c>
      <c r="P904" s="1" t="s">
        <v>811</v>
      </c>
      <c r="Q904" s="1" t="s">
        <v>104</v>
      </c>
      <c r="R904" s="1" t="s">
        <v>104</v>
      </c>
      <c r="S904" s="1" t="s">
        <v>104</v>
      </c>
      <c r="T904" s="1" t="s">
        <v>104</v>
      </c>
      <c r="U904" s="1" t="s">
        <v>104</v>
      </c>
      <c r="V904" s="1" t="s">
        <v>104</v>
      </c>
      <c r="W904" s="1" t="s">
        <v>104</v>
      </c>
      <c r="X904" s="1" t="s">
        <v>727</v>
      </c>
      <c r="Y904" s="1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>
        <v>1</v>
      </c>
      <c r="AT904" s="8"/>
      <c r="AU904" s="8"/>
      <c r="AV904" s="8"/>
      <c r="AW904" s="8"/>
      <c r="AX904" s="8"/>
      <c r="AY904" s="8"/>
      <c r="AZ904" s="8"/>
      <c r="BA904" s="8"/>
      <c r="BB904" s="1"/>
      <c r="BL904" s="58"/>
      <c r="BP904" t="str">
        <f t="shared" si="34"/>
        <v>Fairy0</v>
      </c>
      <c r="BQ904" t="s">
        <v>2</v>
      </c>
      <c r="BR904">
        <v>9</v>
      </c>
    </row>
    <row r="905" spans="1:70" x14ac:dyDescent="0.25">
      <c r="A905">
        <f t="shared" si="33"/>
        <v>852</v>
      </c>
      <c r="B905" t="s">
        <v>2147</v>
      </c>
      <c r="D905" s="1" t="s">
        <v>7</v>
      </c>
      <c r="E905" s="1">
        <v>0</v>
      </c>
      <c r="F905" s="1" t="s">
        <v>50</v>
      </c>
      <c r="G905" s="1" t="s">
        <v>50</v>
      </c>
      <c r="H905" s="1" t="s">
        <v>50</v>
      </c>
      <c r="I905" s="1" t="s">
        <v>50</v>
      </c>
      <c r="J905" s="1" t="s">
        <v>50</v>
      </c>
      <c r="K905" s="1" t="s">
        <v>50</v>
      </c>
      <c r="L905" s="1"/>
      <c r="M905" s="1" t="s">
        <v>104</v>
      </c>
      <c r="N905" s="1" t="s">
        <v>50</v>
      </c>
      <c r="O905" s="1" t="s">
        <v>50</v>
      </c>
      <c r="P905" s="1" t="s">
        <v>811</v>
      </c>
      <c r="Q905" s="1" t="s">
        <v>50</v>
      </c>
      <c r="R905" s="1" t="s">
        <v>50</v>
      </c>
      <c r="S905" s="1" t="s">
        <v>50</v>
      </c>
      <c r="T905" s="1" t="s">
        <v>50</v>
      </c>
      <c r="U905" s="1" t="s">
        <v>50</v>
      </c>
      <c r="V905" s="1" t="s">
        <v>50</v>
      </c>
      <c r="W905" s="1" t="s">
        <v>50</v>
      </c>
      <c r="X905" s="1" t="s">
        <v>727</v>
      </c>
      <c r="Y905" s="1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>
        <v>1</v>
      </c>
      <c r="AT905" s="8"/>
      <c r="AU905" s="8"/>
      <c r="AV905" s="8"/>
      <c r="AW905" s="8"/>
      <c r="AX905" s="8"/>
      <c r="AY905" s="8"/>
      <c r="AZ905" s="8"/>
      <c r="BA905" s="8"/>
      <c r="BB905" s="1"/>
      <c r="BK905">
        <v>4</v>
      </c>
      <c r="BL905" s="58"/>
      <c r="BP905" t="str">
        <f t="shared" si="34"/>
        <v>Fairy0</v>
      </c>
      <c r="BR905">
        <v>9</v>
      </c>
    </row>
    <row r="906" spans="1:70" x14ac:dyDescent="0.25">
      <c r="A906">
        <f t="shared" si="33"/>
        <v>853</v>
      </c>
      <c r="B906" t="s">
        <v>2148</v>
      </c>
      <c r="D906" s="1" t="s">
        <v>9</v>
      </c>
      <c r="E906" s="1" t="s">
        <v>12</v>
      </c>
      <c r="F906" s="1" t="s">
        <v>50</v>
      </c>
      <c r="G906" s="1" t="s">
        <v>50</v>
      </c>
      <c r="H906" s="1"/>
      <c r="I906" s="1" t="s">
        <v>50</v>
      </c>
      <c r="J906" s="1" t="s">
        <v>50</v>
      </c>
      <c r="K906" s="1" t="s">
        <v>50</v>
      </c>
      <c r="L906" s="1"/>
      <c r="M906" s="1" t="s">
        <v>50</v>
      </c>
      <c r="N906" s="1" t="s">
        <v>50</v>
      </c>
      <c r="O906" s="1" t="s">
        <v>50</v>
      </c>
      <c r="P906" s="1" t="s">
        <v>2380</v>
      </c>
      <c r="Q906" s="1" t="s">
        <v>104</v>
      </c>
      <c r="R906" s="1" t="s">
        <v>104</v>
      </c>
      <c r="S906" s="1" t="s">
        <v>104</v>
      </c>
      <c r="T906" s="1" t="s">
        <v>104</v>
      </c>
      <c r="U906" s="1" t="s">
        <v>104</v>
      </c>
      <c r="V906" s="1" t="s">
        <v>104</v>
      </c>
      <c r="W906" s="1" t="s">
        <v>104</v>
      </c>
      <c r="X906" s="1" t="s">
        <v>2144</v>
      </c>
      <c r="Y906" s="1"/>
      <c r="Z906" s="8"/>
      <c r="AA906" s="8"/>
      <c r="AB906" s="8"/>
      <c r="AC906" s="8">
        <v>1</v>
      </c>
      <c r="AD906" s="8">
        <v>1</v>
      </c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>
        <v>1</v>
      </c>
      <c r="AS906" s="8"/>
      <c r="AT906" s="8"/>
      <c r="AU906" s="8"/>
      <c r="AV906" s="8"/>
      <c r="AW906" s="8"/>
      <c r="AX906" s="8">
        <v>1</v>
      </c>
      <c r="AY906" s="8">
        <v>1</v>
      </c>
      <c r="AZ906" s="8"/>
      <c r="BA906" s="8"/>
      <c r="BB906" s="1"/>
      <c r="BL906" s="58"/>
      <c r="BP906" t="str">
        <f t="shared" si="34"/>
        <v>RockDragon</v>
      </c>
      <c r="BQ906" t="s">
        <v>2</v>
      </c>
      <c r="BR906">
        <v>9</v>
      </c>
    </row>
    <row r="907" spans="1:70" x14ac:dyDescent="0.25">
      <c r="A907">
        <f t="shared" si="33"/>
        <v>854</v>
      </c>
      <c r="B907" t="s">
        <v>2149</v>
      </c>
      <c r="D907" s="1" t="s">
        <v>9</v>
      </c>
      <c r="E907" s="1" t="s">
        <v>12</v>
      </c>
      <c r="F907" s="1" t="s">
        <v>50</v>
      </c>
      <c r="G907" s="1" t="s">
        <v>50</v>
      </c>
      <c r="H907" s="1"/>
      <c r="I907" s="1" t="s">
        <v>50</v>
      </c>
      <c r="J907" s="1" t="s">
        <v>50</v>
      </c>
      <c r="K907" s="1" t="s">
        <v>50</v>
      </c>
      <c r="L907" s="1"/>
      <c r="M907" s="1" t="s">
        <v>104</v>
      </c>
      <c r="N907" s="1" t="s">
        <v>50</v>
      </c>
      <c r="O907" s="1" t="s">
        <v>50</v>
      </c>
      <c r="P907" s="1" t="s">
        <v>2380</v>
      </c>
      <c r="Q907" s="1" t="s">
        <v>104</v>
      </c>
      <c r="R907" s="1" t="s">
        <v>104</v>
      </c>
      <c r="S907" s="1" t="s">
        <v>104</v>
      </c>
      <c r="T907" s="1" t="s">
        <v>104</v>
      </c>
      <c r="U907" s="1" t="s">
        <v>104</v>
      </c>
      <c r="V907" s="1" t="s">
        <v>104</v>
      </c>
      <c r="W907" s="1" t="s">
        <v>104</v>
      </c>
      <c r="X907" s="1" t="s">
        <v>2144</v>
      </c>
      <c r="Y907" s="1"/>
      <c r="Z907" s="8"/>
      <c r="AA907" s="8"/>
      <c r="AB907" s="8"/>
      <c r="AC907" s="8">
        <v>1</v>
      </c>
      <c r="AD907" s="8">
        <v>1</v>
      </c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>
        <v>1</v>
      </c>
      <c r="AS907" s="8"/>
      <c r="AT907" s="8"/>
      <c r="AU907" s="8"/>
      <c r="AV907" s="8"/>
      <c r="AW907" s="8"/>
      <c r="AX907" s="8">
        <v>1</v>
      </c>
      <c r="AY907" s="8">
        <v>1</v>
      </c>
      <c r="AZ907" s="8"/>
      <c r="BA907" s="8"/>
      <c r="BB907" s="1"/>
      <c r="BL907" s="58"/>
      <c r="BP907" t="str">
        <f t="shared" si="34"/>
        <v>RockDragon</v>
      </c>
      <c r="BQ907" t="s">
        <v>2</v>
      </c>
      <c r="BR907">
        <v>9</v>
      </c>
    </row>
    <row r="908" spans="1:70" x14ac:dyDescent="0.25">
      <c r="A908">
        <f t="shared" si="33"/>
        <v>855</v>
      </c>
      <c r="B908" t="s">
        <v>2150</v>
      </c>
      <c r="D908" s="1" t="s">
        <v>9</v>
      </c>
      <c r="E908" s="1" t="s">
        <v>12</v>
      </c>
      <c r="F908" s="1" t="s">
        <v>50</v>
      </c>
      <c r="G908" s="1" t="s">
        <v>50</v>
      </c>
      <c r="H908" s="1" t="s">
        <v>50</v>
      </c>
      <c r="I908" s="1" t="s">
        <v>50</v>
      </c>
      <c r="J908" s="1" t="s">
        <v>50</v>
      </c>
      <c r="K908" s="1" t="s">
        <v>50</v>
      </c>
      <c r="L908" s="1"/>
      <c r="M908" s="1" t="s">
        <v>104</v>
      </c>
      <c r="N908" s="1" t="s">
        <v>50</v>
      </c>
      <c r="O908" s="1" t="s">
        <v>50</v>
      </c>
      <c r="P908" s="1" t="s">
        <v>2380</v>
      </c>
      <c r="Q908" s="1" t="s">
        <v>104</v>
      </c>
      <c r="R908" s="1" t="s">
        <v>104</v>
      </c>
      <c r="S908" s="1" t="s">
        <v>104</v>
      </c>
      <c r="T908" s="1" t="s">
        <v>104</v>
      </c>
      <c r="U908" s="1" t="s">
        <v>104</v>
      </c>
      <c r="V908" s="1" t="s">
        <v>104</v>
      </c>
      <c r="W908" s="1" t="s">
        <v>104</v>
      </c>
      <c r="X908" s="1" t="s">
        <v>2144</v>
      </c>
      <c r="Y908" s="1"/>
      <c r="Z908" s="8"/>
      <c r="AA908" s="8"/>
      <c r="AB908" s="8"/>
      <c r="AC908" s="8">
        <v>1</v>
      </c>
      <c r="AD908" s="8">
        <v>1</v>
      </c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>
        <v>1</v>
      </c>
      <c r="AS908" s="8"/>
      <c r="AT908" s="8"/>
      <c r="AU908" s="8"/>
      <c r="AV908" s="8"/>
      <c r="AW908" s="8"/>
      <c r="AX908" s="8">
        <v>1</v>
      </c>
      <c r="AY908" s="8">
        <v>1</v>
      </c>
      <c r="AZ908" s="8"/>
      <c r="BA908" s="8"/>
      <c r="BB908" s="1"/>
      <c r="BK908">
        <v>1</v>
      </c>
      <c r="BL908" s="58"/>
      <c r="BP908" t="str">
        <f t="shared" si="34"/>
        <v>RockDragon</v>
      </c>
      <c r="BR908">
        <v>9</v>
      </c>
    </row>
    <row r="909" spans="1:70" x14ac:dyDescent="0.25">
      <c r="A909">
        <f t="shared" si="33"/>
        <v>856</v>
      </c>
      <c r="B909" t="s">
        <v>2151</v>
      </c>
      <c r="D909" s="1" t="s">
        <v>1</v>
      </c>
      <c r="E909" s="1" t="s">
        <v>0</v>
      </c>
      <c r="F909" s="1" t="s">
        <v>50</v>
      </c>
      <c r="G909" s="1" t="s">
        <v>50</v>
      </c>
      <c r="H909" s="1"/>
      <c r="I909" s="1" t="s">
        <v>50</v>
      </c>
      <c r="J909" s="1" t="s">
        <v>50</v>
      </c>
      <c r="K909" s="1" t="s">
        <v>50</v>
      </c>
      <c r="L909" s="1"/>
      <c r="M909" s="1" t="s">
        <v>50</v>
      </c>
      <c r="N909" s="1" t="s">
        <v>50</v>
      </c>
      <c r="O909" s="1" t="s">
        <v>50</v>
      </c>
      <c r="P909" s="1" t="s">
        <v>2070</v>
      </c>
      <c r="Q909" s="1" t="s">
        <v>104</v>
      </c>
      <c r="R909" s="1" t="s">
        <v>104</v>
      </c>
      <c r="S909" s="1" t="s">
        <v>104</v>
      </c>
      <c r="T909" s="1" t="s">
        <v>104</v>
      </c>
      <c r="U909" s="1" t="s">
        <v>104</v>
      </c>
      <c r="V909" s="1" t="s">
        <v>104</v>
      </c>
      <c r="W909" s="1" t="s">
        <v>104</v>
      </c>
      <c r="X909" s="1" t="s">
        <v>727</v>
      </c>
      <c r="Y909" s="1"/>
      <c r="Z909" s="8"/>
      <c r="AA909" s="8"/>
      <c r="AB909" s="8"/>
      <c r="AC909" s="8"/>
      <c r="AD909" s="8"/>
      <c r="AE909" s="8">
        <v>1</v>
      </c>
      <c r="AF909" s="8"/>
      <c r="AG909" s="8"/>
      <c r="AH909" s="8">
        <v>1</v>
      </c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>
        <v>1</v>
      </c>
      <c r="AT909" s="8">
        <v>1</v>
      </c>
      <c r="AU909" s="8"/>
      <c r="AV909" s="8"/>
      <c r="AW909" s="8"/>
      <c r="AX909" s="8"/>
      <c r="AY909" s="8"/>
      <c r="AZ909" s="8"/>
      <c r="BA909" s="8"/>
      <c r="BB909" s="1"/>
      <c r="BL909" s="58"/>
      <c r="BP909" t="str">
        <f t="shared" si="34"/>
        <v>NormalDark</v>
      </c>
      <c r="BQ909" t="s">
        <v>2</v>
      </c>
      <c r="BR909">
        <v>3</v>
      </c>
    </row>
    <row r="910" spans="1:70" x14ac:dyDescent="0.25">
      <c r="A910">
        <f t="shared" si="33"/>
        <v>857</v>
      </c>
      <c r="B910" t="s">
        <v>2152</v>
      </c>
      <c r="D910" s="1" t="s">
        <v>1</v>
      </c>
      <c r="E910" s="1" t="s">
        <v>0</v>
      </c>
      <c r="F910" s="1" t="s">
        <v>50</v>
      </c>
      <c r="G910" s="1" t="s">
        <v>50</v>
      </c>
      <c r="H910" s="1" t="s">
        <v>50</v>
      </c>
      <c r="I910" s="1" t="s">
        <v>50</v>
      </c>
      <c r="J910" s="1" t="s">
        <v>50</v>
      </c>
      <c r="K910" s="1" t="s">
        <v>50</v>
      </c>
      <c r="L910" s="1"/>
      <c r="M910" s="1" t="s">
        <v>104</v>
      </c>
      <c r="N910" s="1" t="s">
        <v>50</v>
      </c>
      <c r="O910" s="1" t="s">
        <v>50</v>
      </c>
      <c r="P910" s="1" t="s">
        <v>2070</v>
      </c>
      <c r="Q910" s="1" t="s">
        <v>50</v>
      </c>
      <c r="R910" s="1" t="s">
        <v>50</v>
      </c>
      <c r="S910" s="1" t="s">
        <v>50</v>
      </c>
      <c r="T910" s="1" t="s">
        <v>50</v>
      </c>
      <c r="U910" s="1" t="s">
        <v>50</v>
      </c>
      <c r="V910" s="1" t="s">
        <v>50</v>
      </c>
      <c r="W910" s="1" t="s">
        <v>50</v>
      </c>
      <c r="X910" s="1" t="s">
        <v>727</v>
      </c>
      <c r="Y910" s="1"/>
      <c r="Z910" s="8"/>
      <c r="AA910" s="8"/>
      <c r="AB910" s="8"/>
      <c r="AC910" s="8"/>
      <c r="AD910" s="8"/>
      <c r="AE910" s="8">
        <v>1</v>
      </c>
      <c r="AF910" s="8"/>
      <c r="AG910" s="8"/>
      <c r="AH910" s="8">
        <v>1</v>
      </c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>
        <v>1</v>
      </c>
      <c r="AT910" s="8">
        <v>1</v>
      </c>
      <c r="AU910" s="8"/>
      <c r="AV910" s="8"/>
      <c r="AW910" s="8"/>
      <c r="AX910" s="8"/>
      <c r="AY910" s="8"/>
      <c r="AZ910" s="8"/>
      <c r="BA910" s="8"/>
      <c r="BB910" s="1"/>
      <c r="BK910">
        <v>1</v>
      </c>
      <c r="BL910" s="58"/>
      <c r="BP910" t="str">
        <f t="shared" si="34"/>
        <v>NormalDark</v>
      </c>
      <c r="BR910">
        <v>2</v>
      </c>
    </row>
    <row r="911" spans="1:70" x14ac:dyDescent="0.25">
      <c r="A911">
        <f t="shared" si="33"/>
        <v>858</v>
      </c>
      <c r="B911" t="s">
        <v>2153</v>
      </c>
      <c r="D911" s="1" t="s">
        <v>42</v>
      </c>
      <c r="E911" s="1" t="s">
        <v>1</v>
      </c>
      <c r="F911" s="1" t="s">
        <v>50</v>
      </c>
      <c r="G911" s="1" t="s">
        <v>50</v>
      </c>
      <c r="H911" s="1" t="s">
        <v>50</v>
      </c>
      <c r="I911" s="1" t="s">
        <v>50</v>
      </c>
      <c r="J911" s="1" t="s">
        <v>50</v>
      </c>
      <c r="K911" s="1" t="s">
        <v>50</v>
      </c>
      <c r="L911" s="1"/>
      <c r="M911" s="1" t="s">
        <v>50</v>
      </c>
      <c r="N911" s="1" t="s">
        <v>50</v>
      </c>
      <c r="O911" s="1" t="s">
        <v>50</v>
      </c>
      <c r="P911" s="1" t="s">
        <v>1788</v>
      </c>
      <c r="Q911" s="1" t="s">
        <v>104</v>
      </c>
      <c r="R911" s="1" t="s">
        <v>104</v>
      </c>
      <c r="S911" s="1" t="s">
        <v>104</v>
      </c>
      <c r="T911" s="1" t="s">
        <v>104</v>
      </c>
      <c r="U911" s="1" t="s">
        <v>104</v>
      </c>
      <c r="V911" s="1" t="s">
        <v>104</v>
      </c>
      <c r="W911" s="1" t="s">
        <v>104</v>
      </c>
      <c r="X911" s="1" t="s">
        <v>727</v>
      </c>
      <c r="Y911" s="1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>
        <v>1</v>
      </c>
      <c r="AT911" s="8"/>
      <c r="AU911" s="8">
        <v>1</v>
      </c>
      <c r="AV911" s="8"/>
      <c r="AW911" s="8"/>
      <c r="AX911" s="8"/>
      <c r="AY911" s="8"/>
      <c r="AZ911" s="8"/>
      <c r="BA911" s="8"/>
      <c r="BB911" s="1"/>
      <c r="BL911" s="58"/>
      <c r="BP911" t="str">
        <f t="shared" si="34"/>
        <v>CosmicNormal</v>
      </c>
      <c r="BR911">
        <v>5</v>
      </c>
    </row>
    <row r="912" spans="1:70" x14ac:dyDescent="0.25">
      <c r="A912">
        <f t="shared" si="33"/>
        <v>859</v>
      </c>
      <c r="B912" t="s">
        <v>2154</v>
      </c>
      <c r="D912" s="1" t="s">
        <v>1</v>
      </c>
      <c r="E912" s="1" t="s">
        <v>41</v>
      </c>
      <c r="F912" s="1" t="s">
        <v>50</v>
      </c>
      <c r="G912" s="1" t="s">
        <v>50</v>
      </c>
      <c r="H912" s="1" t="s">
        <v>50</v>
      </c>
      <c r="I912" s="1" t="s">
        <v>50</v>
      </c>
      <c r="J912" s="1" t="s">
        <v>50</v>
      </c>
      <c r="K912" s="1" t="s">
        <v>50</v>
      </c>
      <c r="L912" s="1"/>
      <c r="M912" s="1" t="s">
        <v>50</v>
      </c>
      <c r="N912" s="1" t="s">
        <v>50</v>
      </c>
      <c r="O912" s="1" t="s">
        <v>50</v>
      </c>
      <c r="P912" s="1" t="s">
        <v>2070</v>
      </c>
      <c r="Q912" s="1" t="s">
        <v>104</v>
      </c>
      <c r="R912" s="1" t="s">
        <v>104</v>
      </c>
      <c r="S912" s="1" t="s">
        <v>104</v>
      </c>
      <c r="T912" s="1" t="s">
        <v>104</v>
      </c>
      <c r="U912" s="1" t="s">
        <v>104</v>
      </c>
      <c r="V912" s="1" t="s">
        <v>104</v>
      </c>
      <c r="W912" s="1" t="s">
        <v>104</v>
      </c>
      <c r="X912" s="1" t="s">
        <v>727</v>
      </c>
      <c r="Y912" s="1"/>
      <c r="Z912" s="8"/>
      <c r="AA912" s="8"/>
      <c r="AB912" s="8"/>
      <c r="AC912" s="8">
        <v>1</v>
      </c>
      <c r="AD912" s="8"/>
      <c r="AE912" s="8"/>
      <c r="AF912" s="8"/>
      <c r="AG912" s="8">
        <v>1</v>
      </c>
      <c r="AH912" s="8">
        <v>1</v>
      </c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>
        <v>1</v>
      </c>
      <c r="AT912" s="8"/>
      <c r="AU912" s="8">
        <v>1</v>
      </c>
      <c r="AV912" s="8"/>
      <c r="AW912" s="8"/>
      <c r="AX912" s="8"/>
      <c r="AY912" s="8"/>
      <c r="AZ912" s="8"/>
      <c r="BA912" s="8"/>
      <c r="BB912" s="1"/>
      <c r="BL912" s="58"/>
      <c r="BP912" t="str">
        <f t="shared" si="34"/>
        <v>NormalSound</v>
      </c>
      <c r="BR912">
        <v>5</v>
      </c>
    </row>
    <row r="913" spans="1:70" x14ac:dyDescent="0.25">
      <c r="A913">
        <f t="shared" si="33"/>
        <v>860</v>
      </c>
      <c r="B913" t="s">
        <v>2160</v>
      </c>
      <c r="D913" s="1" t="s">
        <v>13</v>
      </c>
      <c r="E913" s="1" t="s">
        <v>18</v>
      </c>
      <c r="F913" s="1" t="s">
        <v>50</v>
      </c>
      <c r="G913" s="1" t="s">
        <v>50</v>
      </c>
      <c r="H913" s="1"/>
      <c r="I913" s="1" t="s">
        <v>50</v>
      </c>
      <c r="J913" s="1" t="s">
        <v>50</v>
      </c>
      <c r="K913" s="1" t="s">
        <v>50</v>
      </c>
      <c r="L913" s="1"/>
      <c r="M913" s="1" t="s">
        <v>50</v>
      </c>
      <c r="N913" s="1" t="s">
        <v>50</v>
      </c>
      <c r="O913" s="1" t="s">
        <v>50</v>
      </c>
      <c r="P913" s="13" t="s">
        <v>1718</v>
      </c>
      <c r="Q913" s="1" t="s">
        <v>104</v>
      </c>
      <c r="R913" s="1" t="s">
        <v>104</v>
      </c>
      <c r="S913" s="1" t="s">
        <v>104</v>
      </c>
      <c r="T913" s="1" t="s">
        <v>104</v>
      </c>
      <c r="U913" s="1" t="s">
        <v>104</v>
      </c>
      <c r="V913" s="1" t="s">
        <v>104</v>
      </c>
      <c r="W913" s="1" t="s">
        <v>104</v>
      </c>
      <c r="X913" s="1" t="s">
        <v>2378</v>
      </c>
      <c r="Y913" s="1"/>
      <c r="Z913" s="8"/>
      <c r="AA913" s="8"/>
      <c r="AB913" s="8"/>
      <c r="AC913" s="8"/>
      <c r="AD913" s="8"/>
      <c r="AE913" s="8">
        <v>1</v>
      </c>
      <c r="AF913" s="8">
        <v>1</v>
      </c>
      <c r="AG913" s="8">
        <v>1</v>
      </c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>
        <v>1</v>
      </c>
      <c r="AT913" s="8"/>
      <c r="AU913" s="8"/>
      <c r="AV913" s="8"/>
      <c r="AW913" s="8"/>
      <c r="AX913" s="8">
        <v>1</v>
      </c>
      <c r="AY913" s="8">
        <v>1</v>
      </c>
      <c r="AZ913" s="8"/>
      <c r="BA913" s="8"/>
      <c r="BB913" s="1"/>
      <c r="BL913" s="58"/>
      <c r="BP913" t="str">
        <f t="shared" si="34"/>
        <v>FireFighting</v>
      </c>
      <c r="BQ913" t="s">
        <v>2</v>
      </c>
      <c r="BR913">
        <v>5</v>
      </c>
    </row>
    <row r="914" spans="1:70" x14ac:dyDescent="0.25">
      <c r="A914">
        <f t="shared" si="33"/>
        <v>861</v>
      </c>
      <c r="B914" t="s">
        <v>2161</v>
      </c>
      <c r="D914" s="1" t="s">
        <v>13</v>
      </c>
      <c r="E914" s="1" t="s">
        <v>18</v>
      </c>
      <c r="F914" s="1" t="s">
        <v>50</v>
      </c>
      <c r="G914" s="1" t="s">
        <v>50</v>
      </c>
      <c r="H914" s="1" t="s">
        <v>50</v>
      </c>
      <c r="I914" s="1" t="s">
        <v>50</v>
      </c>
      <c r="J914" s="1" t="s">
        <v>50</v>
      </c>
      <c r="K914" s="1" t="s">
        <v>50</v>
      </c>
      <c r="L914" s="1"/>
      <c r="M914" s="1" t="s">
        <v>104</v>
      </c>
      <c r="N914" s="1" t="s">
        <v>50</v>
      </c>
      <c r="O914" s="1" t="s">
        <v>50</v>
      </c>
      <c r="P914" s="13" t="s">
        <v>1718</v>
      </c>
      <c r="Q914" s="1" t="s">
        <v>104</v>
      </c>
      <c r="R914" s="1" t="s">
        <v>104</v>
      </c>
      <c r="S914" s="1" t="s">
        <v>104</v>
      </c>
      <c r="T914" s="1" t="s">
        <v>104</v>
      </c>
      <c r="U914" s="1" t="s">
        <v>104</v>
      </c>
      <c r="V914" s="1" t="s">
        <v>104</v>
      </c>
      <c r="W914" s="1" t="s">
        <v>104</v>
      </c>
      <c r="X914" s="1" t="s">
        <v>2378</v>
      </c>
      <c r="Y914" s="1"/>
      <c r="Z914" s="8"/>
      <c r="AA914" s="8"/>
      <c r="AB914" s="8"/>
      <c r="AC914" s="8"/>
      <c r="AD914" s="8"/>
      <c r="AE914" s="8">
        <v>1</v>
      </c>
      <c r="AF914" s="8">
        <v>1</v>
      </c>
      <c r="AG914" s="8">
        <v>1</v>
      </c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>
        <v>1</v>
      </c>
      <c r="AT914" s="8"/>
      <c r="AU914" s="8"/>
      <c r="AV914" s="8"/>
      <c r="AW914" s="8"/>
      <c r="AX914" s="8">
        <v>1</v>
      </c>
      <c r="AY914" s="8">
        <v>1</v>
      </c>
      <c r="AZ914" s="8"/>
      <c r="BA914" s="8"/>
      <c r="BB914" s="1"/>
      <c r="BK914">
        <v>2</v>
      </c>
      <c r="BL914" s="58"/>
      <c r="BP914" t="str">
        <f t="shared" si="34"/>
        <v>FireFighting</v>
      </c>
      <c r="BR914">
        <v>5</v>
      </c>
    </row>
    <row r="915" spans="1:70" x14ac:dyDescent="0.25">
      <c r="A915">
        <f t="shared" si="33"/>
        <v>862</v>
      </c>
      <c r="B915" t="s">
        <v>2162</v>
      </c>
      <c r="D915" s="1" t="s">
        <v>0</v>
      </c>
      <c r="E915" s="1" t="s">
        <v>16</v>
      </c>
      <c r="F915" s="1" t="s">
        <v>50</v>
      </c>
      <c r="G915" s="1" t="s">
        <v>50</v>
      </c>
      <c r="H915" s="1"/>
      <c r="I915" s="1" t="s">
        <v>50</v>
      </c>
      <c r="J915" s="1" t="s">
        <v>50</v>
      </c>
      <c r="K915" s="1" t="s">
        <v>50</v>
      </c>
      <c r="L915" s="1"/>
      <c r="M915" s="1" t="s">
        <v>50</v>
      </c>
      <c r="N915" s="1" t="s">
        <v>50</v>
      </c>
      <c r="O915" s="1" t="s">
        <v>50</v>
      </c>
      <c r="P915" s="1" t="s">
        <v>2070</v>
      </c>
      <c r="Q915" s="1" t="s">
        <v>104</v>
      </c>
      <c r="R915" s="1" t="s">
        <v>104</v>
      </c>
      <c r="S915" s="1" t="s">
        <v>104</v>
      </c>
      <c r="T915" s="1" t="s">
        <v>104</v>
      </c>
      <c r="U915" s="1" t="s">
        <v>104</v>
      </c>
      <c r="V915" s="1" t="s">
        <v>104</v>
      </c>
      <c r="W915" s="1" t="s">
        <v>104</v>
      </c>
      <c r="X915" s="1" t="s">
        <v>727</v>
      </c>
      <c r="Y915" s="1"/>
      <c r="Z915" s="8"/>
      <c r="AA915" s="8"/>
      <c r="AB915" s="8"/>
      <c r="AC915" s="8"/>
      <c r="AD915" s="8">
        <v>1</v>
      </c>
      <c r="AE915" s="8"/>
      <c r="AF915" s="8"/>
      <c r="AG915" s="8"/>
      <c r="AH915" s="8">
        <v>1</v>
      </c>
      <c r="AI915" s="8"/>
      <c r="AJ915" s="8"/>
      <c r="AK915" s="8"/>
      <c r="AL915" s="8"/>
      <c r="AM915" s="8"/>
      <c r="AN915" s="8"/>
      <c r="AO915" s="8"/>
      <c r="AP915" s="8"/>
      <c r="AQ915" s="8"/>
      <c r="AR915" s="8">
        <v>1</v>
      </c>
      <c r="AS915" s="8"/>
      <c r="AT915" s="8">
        <v>1</v>
      </c>
      <c r="AU915" s="8"/>
      <c r="AV915" s="8"/>
      <c r="AW915" s="8"/>
      <c r="AX915" s="8">
        <v>1</v>
      </c>
      <c r="AY915" s="8">
        <v>1</v>
      </c>
      <c r="AZ915" s="8"/>
      <c r="BA915" s="8"/>
      <c r="BB915" s="1"/>
      <c r="BL915" s="58"/>
      <c r="BP915" t="str">
        <f t="shared" si="34"/>
        <v>DarkFlying</v>
      </c>
      <c r="BQ915" t="s">
        <v>2</v>
      </c>
      <c r="BR915">
        <v>2</v>
      </c>
    </row>
    <row r="916" spans="1:70" x14ac:dyDescent="0.25">
      <c r="A916">
        <f t="shared" si="33"/>
        <v>863</v>
      </c>
      <c r="B916" t="s">
        <v>2163</v>
      </c>
      <c r="D916" s="1" t="s">
        <v>0</v>
      </c>
      <c r="E916" s="1" t="s">
        <v>16</v>
      </c>
      <c r="F916" s="1" t="s">
        <v>50</v>
      </c>
      <c r="G916" s="1" t="s">
        <v>50</v>
      </c>
      <c r="H916" s="1"/>
      <c r="I916" s="1" t="s">
        <v>50</v>
      </c>
      <c r="J916" s="1" t="s">
        <v>50</v>
      </c>
      <c r="K916" s="1" t="s">
        <v>50</v>
      </c>
      <c r="L916" s="1"/>
      <c r="M916" s="1" t="s">
        <v>104</v>
      </c>
      <c r="N916" s="1" t="s">
        <v>50</v>
      </c>
      <c r="O916" s="1" t="s">
        <v>50</v>
      </c>
      <c r="P916" s="1" t="s">
        <v>2070</v>
      </c>
      <c r="Q916" s="1" t="s">
        <v>104</v>
      </c>
      <c r="R916" s="1" t="s">
        <v>104</v>
      </c>
      <c r="S916" s="1" t="s">
        <v>104</v>
      </c>
      <c r="T916" s="1" t="s">
        <v>104</v>
      </c>
      <c r="U916" s="1" t="s">
        <v>104</v>
      </c>
      <c r="V916" s="1" t="s">
        <v>104</v>
      </c>
      <c r="W916" s="1" t="s">
        <v>104</v>
      </c>
      <c r="X916" s="1" t="s">
        <v>2166</v>
      </c>
      <c r="Y916" s="1"/>
      <c r="Z916" s="8"/>
      <c r="AA916" s="8"/>
      <c r="AB916" s="8"/>
      <c r="AC916" s="8"/>
      <c r="AD916" s="8">
        <v>1</v>
      </c>
      <c r="AE916" s="8"/>
      <c r="AF916" s="8"/>
      <c r="AG916" s="8"/>
      <c r="AH916" s="8">
        <v>1</v>
      </c>
      <c r="AI916" s="8"/>
      <c r="AJ916" s="8"/>
      <c r="AK916" s="8"/>
      <c r="AL916" s="8"/>
      <c r="AM916" s="8"/>
      <c r="AN916" s="8"/>
      <c r="AO916" s="8"/>
      <c r="AP916" s="8"/>
      <c r="AQ916" s="8"/>
      <c r="AR916" s="8">
        <v>1</v>
      </c>
      <c r="AS916" s="8"/>
      <c r="AT916" s="8">
        <v>1</v>
      </c>
      <c r="AU916" s="8"/>
      <c r="AV916" s="8"/>
      <c r="AW916" s="8"/>
      <c r="AX916" s="8">
        <v>1</v>
      </c>
      <c r="AY916" s="8">
        <v>1</v>
      </c>
      <c r="AZ916" s="8"/>
      <c r="BA916" s="8"/>
      <c r="BB916" s="1"/>
      <c r="BL916" s="58">
        <v>1</v>
      </c>
      <c r="BP916" t="str">
        <f t="shared" si="34"/>
        <v>DarkFlying</v>
      </c>
      <c r="BQ916" t="s">
        <v>2</v>
      </c>
      <c r="BR916">
        <v>2</v>
      </c>
    </row>
    <row r="917" spans="1:70" x14ac:dyDescent="0.25">
      <c r="A917">
        <f t="shared" si="33"/>
        <v>864</v>
      </c>
      <c r="B917" t="s">
        <v>2164</v>
      </c>
      <c r="D917" s="1" t="s">
        <v>0</v>
      </c>
      <c r="E917" s="1" t="s">
        <v>16</v>
      </c>
      <c r="F917" s="1" t="s">
        <v>50</v>
      </c>
      <c r="G917" s="1" t="s">
        <v>50</v>
      </c>
      <c r="H917" s="1" t="s">
        <v>50</v>
      </c>
      <c r="I917" s="1" t="s">
        <v>50</v>
      </c>
      <c r="J917" s="1" t="s">
        <v>50</v>
      </c>
      <c r="K917" s="1" t="s">
        <v>50</v>
      </c>
      <c r="L917" s="1" t="s">
        <v>50</v>
      </c>
      <c r="M917" s="1" t="s">
        <v>104</v>
      </c>
      <c r="N917" s="1" t="s">
        <v>50</v>
      </c>
      <c r="O917" s="1" t="s">
        <v>50</v>
      </c>
      <c r="P917" s="1" t="s">
        <v>2070</v>
      </c>
      <c r="Q917" s="1" t="s">
        <v>104</v>
      </c>
      <c r="R917" s="1" t="s">
        <v>104</v>
      </c>
      <c r="S917" s="1" t="s">
        <v>104</v>
      </c>
      <c r="T917" s="1" t="s">
        <v>104</v>
      </c>
      <c r="U917" s="1" t="s">
        <v>104</v>
      </c>
      <c r="V917" s="1" t="s">
        <v>104</v>
      </c>
      <c r="W917" s="1" t="s">
        <v>104</v>
      </c>
      <c r="X917" s="1" t="s">
        <v>2166</v>
      </c>
      <c r="Y917" s="1"/>
      <c r="Z917" s="8"/>
      <c r="AA917" s="8"/>
      <c r="AB917" s="8"/>
      <c r="AC917" s="8"/>
      <c r="AD917" s="8">
        <v>1</v>
      </c>
      <c r="AE917" s="8"/>
      <c r="AF917" s="8"/>
      <c r="AG917" s="8"/>
      <c r="AH917" s="8">
        <v>1</v>
      </c>
      <c r="AI917" s="8"/>
      <c r="AJ917" s="8"/>
      <c r="AK917" s="8"/>
      <c r="AL917" s="8"/>
      <c r="AM917" s="8"/>
      <c r="AN917" s="8"/>
      <c r="AO917" s="8"/>
      <c r="AP917" s="8"/>
      <c r="AQ917" s="8"/>
      <c r="AR917" s="8">
        <v>1</v>
      </c>
      <c r="AS917" s="8"/>
      <c r="AT917" s="8">
        <v>1</v>
      </c>
      <c r="AU917" s="8"/>
      <c r="AV917" s="8"/>
      <c r="AW917" s="8"/>
      <c r="AX917" s="8">
        <v>1</v>
      </c>
      <c r="AY917" s="8">
        <v>1</v>
      </c>
      <c r="AZ917" s="8"/>
      <c r="BA917" s="8"/>
      <c r="BB917" s="1"/>
      <c r="BK917">
        <v>6</v>
      </c>
      <c r="BL917" s="58"/>
      <c r="BP917" t="str">
        <f t="shared" si="34"/>
        <v>DarkFlying</v>
      </c>
      <c r="BR917">
        <v>4</v>
      </c>
    </row>
    <row r="918" spans="1:70" x14ac:dyDescent="0.25">
      <c r="A918">
        <f t="shared" si="33"/>
        <v>865</v>
      </c>
      <c r="B918" t="s">
        <v>2157</v>
      </c>
      <c r="D918" s="1" t="s">
        <v>14</v>
      </c>
      <c r="E918" s="1" t="s">
        <v>44</v>
      </c>
      <c r="F918" s="1" t="s">
        <v>50</v>
      </c>
      <c r="G918" s="1" t="s">
        <v>50</v>
      </c>
      <c r="H918" s="1"/>
      <c r="I918" s="1" t="s">
        <v>50</v>
      </c>
      <c r="J918" s="1" t="s">
        <v>50</v>
      </c>
      <c r="K918" s="1" t="s">
        <v>50</v>
      </c>
      <c r="L918" s="1" t="s">
        <v>50</v>
      </c>
      <c r="M918" s="1" t="s">
        <v>50</v>
      </c>
      <c r="N918" s="1" t="s">
        <v>50</v>
      </c>
      <c r="O918" s="1" t="s">
        <v>50</v>
      </c>
      <c r="P918" s="1" t="s">
        <v>2070</v>
      </c>
      <c r="Q918" s="1" t="s">
        <v>104</v>
      </c>
      <c r="R918" s="1" t="s">
        <v>104</v>
      </c>
      <c r="S918" s="1" t="s">
        <v>104</v>
      </c>
      <c r="T918" s="1" t="s">
        <v>104</v>
      </c>
      <c r="U918" s="1" t="s">
        <v>104</v>
      </c>
      <c r="V918" s="1" t="s">
        <v>104</v>
      </c>
      <c r="W918" s="1" t="s">
        <v>104</v>
      </c>
      <c r="X918" s="1" t="s">
        <v>2144</v>
      </c>
      <c r="Y918" s="1"/>
      <c r="Z918" s="8"/>
      <c r="AA918" s="8">
        <v>1</v>
      </c>
      <c r="AB918" s="8"/>
      <c r="AC918" s="8"/>
      <c r="AD918" s="8"/>
      <c r="AE918" s="8"/>
      <c r="AF918" s="8"/>
      <c r="AG918" s="8"/>
      <c r="AH918" s="8">
        <v>1</v>
      </c>
      <c r="AI918" s="8"/>
      <c r="AJ918" s="8"/>
      <c r="AK918" s="8"/>
      <c r="AL918" s="8"/>
      <c r="AM918" s="8"/>
      <c r="AN918" s="8"/>
      <c r="AO918" s="8">
        <v>1</v>
      </c>
      <c r="AP918" s="8">
        <v>1</v>
      </c>
      <c r="AQ918" s="8"/>
      <c r="AR918" s="8"/>
      <c r="AS918" s="8"/>
      <c r="AT918" s="8"/>
      <c r="AU918" s="8"/>
      <c r="AV918" s="8"/>
      <c r="AW918" s="8"/>
      <c r="AX918" s="8">
        <v>1</v>
      </c>
      <c r="AY918" s="8">
        <v>1</v>
      </c>
      <c r="AZ918" s="8">
        <v>1</v>
      </c>
      <c r="BA918" s="8"/>
      <c r="BB918" s="1"/>
      <c r="BL918" s="58"/>
      <c r="BP918" t="str">
        <f t="shared" si="34"/>
        <v>GhostLight</v>
      </c>
      <c r="BQ918" t="s">
        <v>2</v>
      </c>
      <c r="BR918">
        <v>5</v>
      </c>
    </row>
    <row r="919" spans="1:70" x14ac:dyDescent="0.25">
      <c r="A919">
        <f t="shared" si="33"/>
        <v>866</v>
      </c>
      <c r="B919" t="s">
        <v>2158</v>
      </c>
      <c r="D919" s="1" t="s">
        <v>14</v>
      </c>
      <c r="E919" s="1" t="s">
        <v>44</v>
      </c>
      <c r="F919" s="1" t="s">
        <v>50</v>
      </c>
      <c r="G919" s="1" t="s">
        <v>50</v>
      </c>
      <c r="H919" s="1" t="s">
        <v>50</v>
      </c>
      <c r="I919" s="1" t="s">
        <v>50</v>
      </c>
      <c r="J919" s="1" t="s">
        <v>50</v>
      </c>
      <c r="K919" s="1" t="s">
        <v>50</v>
      </c>
      <c r="L919" s="1"/>
      <c r="M919" s="1" t="s">
        <v>104</v>
      </c>
      <c r="N919" s="1" t="s">
        <v>50</v>
      </c>
      <c r="O919" s="1" t="s">
        <v>50</v>
      </c>
      <c r="P919" s="1" t="s">
        <v>2070</v>
      </c>
      <c r="Q919" s="1" t="s">
        <v>104</v>
      </c>
      <c r="R919" s="1" t="s">
        <v>104</v>
      </c>
      <c r="S919" s="1" t="s">
        <v>104</v>
      </c>
      <c r="T919" s="1" t="s">
        <v>104</v>
      </c>
      <c r="U919" s="1" t="s">
        <v>104</v>
      </c>
      <c r="V919" s="1" t="s">
        <v>104</v>
      </c>
      <c r="W919" s="1" t="s">
        <v>104</v>
      </c>
      <c r="X919" s="1" t="s">
        <v>2144</v>
      </c>
      <c r="Y919" s="1"/>
      <c r="Z919" s="8"/>
      <c r="AA919" s="8">
        <v>1</v>
      </c>
      <c r="AB919" s="8"/>
      <c r="AC919" s="8"/>
      <c r="AD919" s="8"/>
      <c r="AE919" s="8"/>
      <c r="AF919" s="8"/>
      <c r="AG919" s="8"/>
      <c r="AH919" s="8">
        <v>1</v>
      </c>
      <c r="AI919" s="8"/>
      <c r="AJ919" s="8"/>
      <c r="AK919" s="8"/>
      <c r="AL919" s="8"/>
      <c r="AM919" s="8"/>
      <c r="AN919" s="8"/>
      <c r="AO919" s="8">
        <v>1</v>
      </c>
      <c r="AP919" s="8">
        <v>1</v>
      </c>
      <c r="AQ919" s="8"/>
      <c r="AR919" s="8"/>
      <c r="AS919" s="8"/>
      <c r="AT919" s="8"/>
      <c r="AU919" s="8"/>
      <c r="AV919" s="8"/>
      <c r="AW919" s="8"/>
      <c r="AX919" s="8">
        <v>1</v>
      </c>
      <c r="AY919" s="8">
        <v>1</v>
      </c>
      <c r="AZ919" s="8">
        <v>1</v>
      </c>
      <c r="BA919" s="8"/>
      <c r="BB919" s="1"/>
      <c r="BK919">
        <v>4</v>
      </c>
      <c r="BL919" s="58"/>
      <c r="BP919" t="str">
        <f t="shared" si="34"/>
        <v>GhostLight</v>
      </c>
      <c r="BR919">
        <v>5</v>
      </c>
    </row>
    <row r="920" spans="1:70" x14ac:dyDescent="0.25">
      <c r="A920">
        <f t="shared" ref="A920:A951" si="35">A919+1</f>
        <v>867</v>
      </c>
      <c r="B920" t="s">
        <v>2159</v>
      </c>
      <c r="D920" s="1" t="s">
        <v>10</v>
      </c>
      <c r="E920" s="1" t="s">
        <v>7</v>
      </c>
      <c r="F920" s="1" t="s">
        <v>50</v>
      </c>
      <c r="G920" s="1" t="s">
        <v>50</v>
      </c>
      <c r="H920" s="1" t="s">
        <v>50</v>
      </c>
      <c r="I920" s="1" t="s">
        <v>50</v>
      </c>
      <c r="J920" s="1" t="s">
        <v>50</v>
      </c>
      <c r="K920" s="1" t="s">
        <v>50</v>
      </c>
      <c r="L920" s="1"/>
      <c r="M920" s="1" t="s">
        <v>104</v>
      </c>
      <c r="N920" s="1" t="s">
        <v>50</v>
      </c>
      <c r="O920" s="1" t="s">
        <v>50</v>
      </c>
      <c r="P920" s="1" t="s">
        <v>2070</v>
      </c>
      <c r="Q920" s="1" t="s">
        <v>104</v>
      </c>
      <c r="R920" s="1" t="s">
        <v>104</v>
      </c>
      <c r="S920" s="1" t="s">
        <v>104</v>
      </c>
      <c r="T920" s="1" t="s">
        <v>104</v>
      </c>
      <c r="U920" s="1" t="s">
        <v>104</v>
      </c>
      <c r="V920" s="1" t="s">
        <v>104</v>
      </c>
      <c r="W920" s="1" t="s">
        <v>104</v>
      </c>
      <c r="X920" s="1" t="s">
        <v>2144</v>
      </c>
      <c r="Y920" s="1"/>
      <c r="Z920" s="8"/>
      <c r="AA920" s="8">
        <v>1</v>
      </c>
      <c r="AB920" s="8">
        <v>1</v>
      </c>
      <c r="AC920" s="8">
        <v>1</v>
      </c>
      <c r="AD920" s="8">
        <v>1</v>
      </c>
      <c r="AE920" s="8"/>
      <c r="AF920" s="8"/>
      <c r="AG920" s="8"/>
      <c r="AH920" s="8"/>
      <c r="AI920" s="8">
        <v>1</v>
      </c>
      <c r="AJ920" s="8">
        <v>1</v>
      </c>
      <c r="AK920" s="8"/>
      <c r="AL920" s="8"/>
      <c r="AM920" s="8"/>
      <c r="AN920" s="8"/>
      <c r="AO920" s="8"/>
      <c r="AP920" s="8"/>
      <c r="AQ920" s="8"/>
      <c r="AR920" s="8"/>
      <c r="AS920" s="8"/>
      <c r="AT920" s="8">
        <v>1</v>
      </c>
      <c r="AU920" s="8"/>
      <c r="AV920" s="8"/>
      <c r="AW920" s="8"/>
      <c r="AX920" s="8"/>
      <c r="AY920" s="8"/>
      <c r="AZ920" s="8">
        <v>1</v>
      </c>
      <c r="BA920" s="8"/>
      <c r="BB920" s="1"/>
      <c r="BK920">
        <v>3</v>
      </c>
      <c r="BL920" s="58"/>
      <c r="BP920" t="str">
        <f t="shared" si="34"/>
        <v>PoisonFairy</v>
      </c>
      <c r="BR920">
        <v>9</v>
      </c>
    </row>
    <row r="921" spans="1:70" x14ac:dyDescent="0.25">
      <c r="A921">
        <f t="shared" si="35"/>
        <v>868</v>
      </c>
      <c r="B921" t="s">
        <v>2167</v>
      </c>
      <c r="D921" s="1" t="s">
        <v>10</v>
      </c>
      <c r="E921" s="1" t="s">
        <v>18</v>
      </c>
      <c r="F921" s="1" t="s">
        <v>50</v>
      </c>
      <c r="G921" s="1" t="s">
        <v>50</v>
      </c>
      <c r="H921" s="1"/>
      <c r="I921" s="1" t="s">
        <v>50</v>
      </c>
      <c r="J921" s="1" t="s">
        <v>50</v>
      </c>
      <c r="K921" s="1" t="s">
        <v>50</v>
      </c>
      <c r="L921" s="1"/>
      <c r="M921" s="1" t="s">
        <v>50</v>
      </c>
      <c r="N921" s="1" t="s">
        <v>50</v>
      </c>
      <c r="O921" s="1" t="s">
        <v>50</v>
      </c>
      <c r="P921" s="1" t="s">
        <v>2063</v>
      </c>
      <c r="Q921" s="1" t="s">
        <v>104</v>
      </c>
      <c r="R921" s="1" t="s">
        <v>104</v>
      </c>
      <c r="S921" s="1" t="s">
        <v>104</v>
      </c>
      <c r="T921" s="1" t="s">
        <v>104</v>
      </c>
      <c r="U921" s="1" t="s">
        <v>104</v>
      </c>
      <c r="V921" s="1" t="s">
        <v>104</v>
      </c>
      <c r="W921" s="1" t="s">
        <v>104</v>
      </c>
      <c r="X921" s="1" t="s">
        <v>727</v>
      </c>
      <c r="Y921" s="1"/>
      <c r="Z921" s="8"/>
      <c r="AA921" s="8"/>
      <c r="AB921" s="8">
        <v>1</v>
      </c>
      <c r="AC921" s="8"/>
      <c r="AD921" s="8"/>
      <c r="AE921" s="8"/>
      <c r="AF921" s="8"/>
      <c r="AG921" s="8">
        <v>1</v>
      </c>
      <c r="AH921" s="8">
        <v>1</v>
      </c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>
        <v>1</v>
      </c>
      <c r="AT921" s="8">
        <v>1</v>
      </c>
      <c r="AU921" s="8"/>
      <c r="AV921" s="8"/>
      <c r="AW921" s="8"/>
      <c r="AX921" s="8">
        <v>1</v>
      </c>
      <c r="AY921" s="8">
        <v>1</v>
      </c>
      <c r="AZ921" s="8">
        <v>1</v>
      </c>
      <c r="BA921" s="8"/>
      <c r="BB921" s="1"/>
      <c r="BL921" s="58"/>
      <c r="BP921" t="str">
        <f t="shared" si="34"/>
        <v>PoisonFighting</v>
      </c>
      <c r="BQ921" t="s">
        <v>2</v>
      </c>
      <c r="BR921">
        <v>6</v>
      </c>
    </row>
    <row r="922" spans="1:70" x14ac:dyDescent="0.25">
      <c r="A922">
        <f t="shared" si="35"/>
        <v>869</v>
      </c>
      <c r="B922" t="s">
        <v>2168</v>
      </c>
      <c r="D922" s="1" t="s">
        <v>10</v>
      </c>
      <c r="E922" s="1" t="s">
        <v>18</v>
      </c>
      <c r="F922" s="1" t="s">
        <v>50</v>
      </c>
      <c r="G922" s="1" t="s">
        <v>50</v>
      </c>
      <c r="H922" s="1" t="s">
        <v>50</v>
      </c>
      <c r="I922" s="1" t="s">
        <v>50</v>
      </c>
      <c r="J922" s="1" t="s">
        <v>50</v>
      </c>
      <c r="K922" s="1" t="s">
        <v>50</v>
      </c>
      <c r="L922" s="1"/>
      <c r="M922" s="1" t="s">
        <v>104</v>
      </c>
      <c r="N922" s="1" t="s">
        <v>50</v>
      </c>
      <c r="O922" s="1" t="s">
        <v>50</v>
      </c>
      <c r="P922" s="1" t="s">
        <v>2063</v>
      </c>
      <c r="Q922" s="1" t="s">
        <v>104</v>
      </c>
      <c r="R922" s="1" t="s">
        <v>104</v>
      </c>
      <c r="S922" s="1" t="s">
        <v>104</v>
      </c>
      <c r="T922" s="1" t="s">
        <v>104</v>
      </c>
      <c r="U922" s="1" t="s">
        <v>104</v>
      </c>
      <c r="V922" s="1" t="s">
        <v>104</v>
      </c>
      <c r="W922" s="1" t="s">
        <v>104</v>
      </c>
      <c r="X922" s="1" t="s">
        <v>727</v>
      </c>
      <c r="Y922" s="1"/>
      <c r="Z922" s="8"/>
      <c r="AA922" s="8"/>
      <c r="AB922" s="8">
        <v>1</v>
      </c>
      <c r="AC922" s="8"/>
      <c r="AD922" s="8"/>
      <c r="AE922" s="8"/>
      <c r="AF922" s="8"/>
      <c r="AG922" s="8">
        <v>1</v>
      </c>
      <c r="AH922" s="8">
        <v>1</v>
      </c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>
        <v>1</v>
      </c>
      <c r="AT922" s="8">
        <v>1</v>
      </c>
      <c r="AU922" s="8"/>
      <c r="AV922" s="8"/>
      <c r="AW922" s="8"/>
      <c r="AX922" s="8">
        <v>1</v>
      </c>
      <c r="AY922" s="8">
        <v>1</v>
      </c>
      <c r="AZ922" s="8">
        <v>1</v>
      </c>
      <c r="BA922" s="8"/>
      <c r="BB922" s="1"/>
      <c r="BK922">
        <v>3</v>
      </c>
      <c r="BL922" s="58"/>
      <c r="BP922" t="str">
        <f t="shared" si="34"/>
        <v>PoisonFighting</v>
      </c>
      <c r="BR922">
        <v>6</v>
      </c>
    </row>
    <row r="923" spans="1:70" x14ac:dyDescent="0.25">
      <c r="A923">
        <f t="shared" si="35"/>
        <v>870</v>
      </c>
      <c r="B923" t="s">
        <v>2169</v>
      </c>
      <c r="D923" s="1" t="s">
        <v>8</v>
      </c>
      <c r="E923" s="1" t="s">
        <v>18</v>
      </c>
      <c r="F923" s="1" t="s">
        <v>50</v>
      </c>
      <c r="G923" s="1" t="s">
        <v>50</v>
      </c>
      <c r="H923" s="1"/>
      <c r="I923" s="1" t="s">
        <v>50</v>
      </c>
      <c r="J923" s="1" t="s">
        <v>50</v>
      </c>
      <c r="K923" s="1" t="s">
        <v>50</v>
      </c>
      <c r="L923" s="1"/>
      <c r="M923" s="1" t="s">
        <v>50</v>
      </c>
      <c r="N923" s="1" t="s">
        <v>50</v>
      </c>
      <c r="O923" s="1" t="s">
        <v>50</v>
      </c>
      <c r="P923" s="1" t="s">
        <v>811</v>
      </c>
      <c r="Q923" s="1" t="s">
        <v>104</v>
      </c>
      <c r="R923" s="1" t="s">
        <v>104</v>
      </c>
      <c r="S923" s="1" t="s">
        <v>104</v>
      </c>
      <c r="T923" s="1" t="s">
        <v>104</v>
      </c>
      <c r="U923" s="1" t="s">
        <v>104</v>
      </c>
      <c r="V923" s="1" t="s">
        <v>104</v>
      </c>
      <c r="W923" s="1" t="s">
        <v>104</v>
      </c>
      <c r="X923" s="1" t="s">
        <v>2172</v>
      </c>
      <c r="Y923" s="1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>
        <v>1</v>
      </c>
      <c r="AT923" s="8"/>
      <c r="AU923" s="8"/>
      <c r="AV923" s="8"/>
      <c r="AW923" s="8"/>
      <c r="AX923" s="8"/>
      <c r="AY923" s="8"/>
      <c r="AZ923" s="8"/>
      <c r="BA923" s="8"/>
      <c r="BB923" s="1"/>
      <c r="BL923" s="58"/>
      <c r="BP923" t="str">
        <f t="shared" si="34"/>
        <v>GroundFighting</v>
      </c>
      <c r="BQ923" t="s">
        <v>2</v>
      </c>
      <c r="BR923">
        <v>5</v>
      </c>
    </row>
    <row r="924" spans="1:70" x14ac:dyDescent="0.25">
      <c r="A924">
        <f t="shared" si="35"/>
        <v>871</v>
      </c>
      <c r="B924" t="s">
        <v>2170</v>
      </c>
      <c r="D924" s="1" t="s">
        <v>8</v>
      </c>
      <c r="E924" s="1" t="s">
        <v>18</v>
      </c>
      <c r="F924" s="1" t="s">
        <v>50</v>
      </c>
      <c r="G924" s="1" t="s">
        <v>50</v>
      </c>
      <c r="H924" s="1"/>
      <c r="I924" s="1" t="s">
        <v>50</v>
      </c>
      <c r="J924" s="1" t="s">
        <v>50</v>
      </c>
      <c r="K924" s="1" t="s">
        <v>50</v>
      </c>
      <c r="L924" s="1"/>
      <c r="M924" s="1" t="s">
        <v>104</v>
      </c>
      <c r="N924" s="1" t="s">
        <v>50</v>
      </c>
      <c r="O924" s="1" t="s">
        <v>50</v>
      </c>
      <c r="P924" s="1" t="s">
        <v>811</v>
      </c>
      <c r="Q924" s="1" t="s">
        <v>104</v>
      </c>
      <c r="R924" s="1" t="s">
        <v>104</v>
      </c>
      <c r="S924" s="1" t="s">
        <v>104</v>
      </c>
      <c r="T924" s="1" t="s">
        <v>104</v>
      </c>
      <c r="U924" s="1" t="s">
        <v>104</v>
      </c>
      <c r="V924" s="1" t="s">
        <v>104</v>
      </c>
      <c r="W924" s="1" t="s">
        <v>104</v>
      </c>
      <c r="X924" s="1" t="s">
        <v>2172</v>
      </c>
      <c r="Y924" s="1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>
        <v>1</v>
      </c>
      <c r="AT924" s="8"/>
      <c r="AU924" s="8"/>
      <c r="AV924" s="8"/>
      <c r="AW924" s="8"/>
      <c r="AX924" s="8"/>
      <c r="AY924" s="8"/>
      <c r="AZ924" s="8"/>
      <c r="BA924" s="8"/>
      <c r="BB924" s="1"/>
      <c r="BL924" s="58"/>
      <c r="BP924" t="str">
        <f t="shared" si="34"/>
        <v>GroundFighting</v>
      </c>
      <c r="BQ924" t="s">
        <v>2</v>
      </c>
      <c r="BR924">
        <v>5</v>
      </c>
    </row>
    <row r="925" spans="1:70" x14ac:dyDescent="0.25">
      <c r="A925">
        <f t="shared" si="35"/>
        <v>872</v>
      </c>
      <c r="B925" t="s">
        <v>2171</v>
      </c>
      <c r="D925" s="1" t="s">
        <v>8</v>
      </c>
      <c r="E925" s="1" t="s">
        <v>18</v>
      </c>
      <c r="F925" s="1" t="s">
        <v>50</v>
      </c>
      <c r="G925" s="1" t="s">
        <v>50</v>
      </c>
      <c r="H925" s="1" t="s">
        <v>50</v>
      </c>
      <c r="I925" s="1" t="s">
        <v>50</v>
      </c>
      <c r="J925" s="1" t="s">
        <v>50</v>
      </c>
      <c r="K925" s="1" t="s">
        <v>50</v>
      </c>
      <c r="L925" s="1"/>
      <c r="M925" s="1" t="s">
        <v>104</v>
      </c>
      <c r="N925" s="1" t="s">
        <v>50</v>
      </c>
      <c r="O925" s="1" t="s">
        <v>50</v>
      </c>
      <c r="P925" s="1" t="s">
        <v>811</v>
      </c>
      <c r="Q925" s="1" t="s">
        <v>104</v>
      </c>
      <c r="R925" s="1" t="s">
        <v>104</v>
      </c>
      <c r="S925" s="1" t="s">
        <v>104</v>
      </c>
      <c r="T925" s="1" t="s">
        <v>104</v>
      </c>
      <c r="U925" s="1" t="s">
        <v>104</v>
      </c>
      <c r="V925" s="1" t="s">
        <v>104</v>
      </c>
      <c r="W925" s="1" t="s">
        <v>104</v>
      </c>
      <c r="X925" s="1" t="s">
        <v>2172</v>
      </c>
      <c r="Y925" s="1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>
        <v>1</v>
      </c>
      <c r="AT925" s="8"/>
      <c r="AU925" s="8"/>
      <c r="AV925" s="8"/>
      <c r="AW925" s="8"/>
      <c r="AX925" s="8"/>
      <c r="AY925" s="8"/>
      <c r="AZ925" s="8"/>
      <c r="BA925" s="8"/>
      <c r="BB925" s="1"/>
      <c r="BK925">
        <v>5</v>
      </c>
      <c r="BL925" s="58"/>
      <c r="BP925" t="str">
        <f t="shared" si="34"/>
        <v>GroundFighting</v>
      </c>
      <c r="BR925">
        <v>5</v>
      </c>
    </row>
    <row r="926" spans="1:70" x14ac:dyDescent="0.25">
      <c r="A926">
        <f t="shared" si="35"/>
        <v>873</v>
      </c>
      <c r="B926" t="s">
        <v>2173</v>
      </c>
      <c r="D926" s="1" t="s">
        <v>11</v>
      </c>
      <c r="E926" s="1" t="s">
        <v>8</v>
      </c>
      <c r="F926" s="1" t="s">
        <v>50</v>
      </c>
      <c r="G926" s="1" t="s">
        <v>50</v>
      </c>
      <c r="H926" s="1"/>
      <c r="I926" s="1" t="s">
        <v>50</v>
      </c>
      <c r="J926" s="1" t="s">
        <v>50</v>
      </c>
      <c r="K926" s="1" t="s">
        <v>50</v>
      </c>
      <c r="L926" s="1"/>
      <c r="M926" s="1" t="s">
        <v>50</v>
      </c>
      <c r="N926" s="1" t="s">
        <v>50</v>
      </c>
      <c r="O926" s="1" t="s">
        <v>50</v>
      </c>
      <c r="P926" s="1" t="s">
        <v>2070</v>
      </c>
      <c r="Q926" s="1" t="s">
        <v>104</v>
      </c>
      <c r="R926" s="1" t="s">
        <v>104</v>
      </c>
      <c r="S926" s="1" t="s">
        <v>104</v>
      </c>
      <c r="T926" s="1" t="s">
        <v>104</v>
      </c>
      <c r="U926" s="1" t="s">
        <v>104</v>
      </c>
      <c r="V926" s="1" t="s">
        <v>104</v>
      </c>
      <c r="W926" s="1" t="s">
        <v>104</v>
      </c>
      <c r="X926" s="1" t="s">
        <v>2569</v>
      </c>
      <c r="Y926" s="1"/>
      <c r="Z926" s="8">
        <v>1</v>
      </c>
      <c r="AA926" s="8">
        <v>1</v>
      </c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1"/>
      <c r="BL926" s="58"/>
      <c r="BP926" t="str">
        <f t="shared" si="34"/>
        <v>GrassGround</v>
      </c>
      <c r="BQ926" t="s">
        <v>2</v>
      </c>
      <c r="BR926">
        <v>6</v>
      </c>
    </row>
    <row r="927" spans="1:70" x14ac:dyDescent="0.25">
      <c r="A927">
        <f t="shared" si="35"/>
        <v>874</v>
      </c>
      <c r="B927" t="s">
        <v>2174</v>
      </c>
      <c r="D927" s="1" t="s">
        <v>11</v>
      </c>
      <c r="E927" s="1" t="s">
        <v>8</v>
      </c>
      <c r="F927" s="1" t="s">
        <v>50</v>
      </c>
      <c r="G927" s="1" t="s">
        <v>50</v>
      </c>
      <c r="H927" s="1" t="s">
        <v>50</v>
      </c>
      <c r="I927" s="1" t="s">
        <v>50</v>
      </c>
      <c r="J927" s="1" t="s">
        <v>50</v>
      </c>
      <c r="K927" s="1" t="s">
        <v>50</v>
      </c>
      <c r="L927" s="1"/>
      <c r="M927" s="1" t="s">
        <v>104</v>
      </c>
      <c r="N927" s="1" t="s">
        <v>50</v>
      </c>
      <c r="O927" s="1" t="s">
        <v>50</v>
      </c>
      <c r="P927" s="1" t="s">
        <v>2070</v>
      </c>
      <c r="Q927" s="1" t="s">
        <v>104</v>
      </c>
      <c r="R927" s="1" t="s">
        <v>104</v>
      </c>
      <c r="S927" s="1" t="s">
        <v>104</v>
      </c>
      <c r="T927" s="1" t="s">
        <v>104</v>
      </c>
      <c r="U927" s="1" t="s">
        <v>104</v>
      </c>
      <c r="V927" s="1" t="s">
        <v>104</v>
      </c>
      <c r="W927" s="1" t="s">
        <v>104</v>
      </c>
      <c r="X927" s="1" t="s">
        <v>2144</v>
      </c>
      <c r="Y927" s="1"/>
      <c r="Z927" s="8">
        <v>1</v>
      </c>
      <c r="AA927" s="8">
        <v>1</v>
      </c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1"/>
      <c r="BK927">
        <v>2</v>
      </c>
      <c r="BL927" s="58"/>
      <c r="BP927" t="str">
        <f t="shared" si="34"/>
        <v>GrassGround</v>
      </c>
      <c r="BR927">
        <v>6</v>
      </c>
    </row>
    <row r="928" spans="1:70" x14ac:dyDescent="0.25">
      <c r="A928">
        <f t="shared" si="35"/>
        <v>875</v>
      </c>
      <c r="B928" t="s">
        <v>2176</v>
      </c>
      <c r="D928" s="1" t="s">
        <v>11</v>
      </c>
      <c r="E928" s="1" t="s">
        <v>12</v>
      </c>
      <c r="F928" s="1" t="s">
        <v>50</v>
      </c>
      <c r="G928" s="1" t="s">
        <v>50</v>
      </c>
      <c r="H928" s="1"/>
      <c r="I928" s="1" t="s">
        <v>50</v>
      </c>
      <c r="J928" s="1" t="s">
        <v>50</v>
      </c>
      <c r="K928" s="1" t="s">
        <v>50</v>
      </c>
      <c r="L928" s="1"/>
      <c r="M928" s="1" t="s">
        <v>50</v>
      </c>
      <c r="N928" s="1" t="s">
        <v>50</v>
      </c>
      <c r="O928" s="1" t="s">
        <v>50</v>
      </c>
      <c r="P928" s="1" t="s">
        <v>2429</v>
      </c>
      <c r="Q928" s="1" t="s">
        <v>104</v>
      </c>
      <c r="R928" s="1" t="s">
        <v>104</v>
      </c>
      <c r="S928" s="1" t="s">
        <v>104</v>
      </c>
      <c r="T928" s="1" t="s">
        <v>104</v>
      </c>
      <c r="U928" s="1" t="s">
        <v>104</v>
      </c>
      <c r="V928" s="1" t="s">
        <v>104</v>
      </c>
      <c r="W928" s="1" t="s">
        <v>104</v>
      </c>
      <c r="X928" s="1" t="s">
        <v>2119</v>
      </c>
      <c r="Y928" s="1"/>
      <c r="Z928" s="8"/>
      <c r="AA928" s="8"/>
      <c r="AB928" s="8">
        <v>1</v>
      </c>
      <c r="AC928" s="8">
        <v>1</v>
      </c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>
        <v>1</v>
      </c>
      <c r="BA928" s="8"/>
      <c r="BB928" s="1"/>
      <c r="BL928" s="58"/>
      <c r="BP928" t="str">
        <f t="shared" si="34"/>
        <v>GrassDragon</v>
      </c>
      <c r="BQ928" t="s">
        <v>2</v>
      </c>
      <c r="BR928">
        <v>6</v>
      </c>
    </row>
    <row r="929" spans="1:70" x14ac:dyDescent="0.25">
      <c r="A929">
        <f t="shared" si="35"/>
        <v>876</v>
      </c>
      <c r="B929" t="s">
        <v>2177</v>
      </c>
      <c r="D929" s="1" t="s">
        <v>11</v>
      </c>
      <c r="E929" s="1" t="s">
        <v>12</v>
      </c>
      <c r="F929" s="1" t="s">
        <v>50</v>
      </c>
      <c r="G929" s="1" t="s">
        <v>50</v>
      </c>
      <c r="H929" s="1" t="s">
        <v>50</v>
      </c>
      <c r="I929" s="1" t="s">
        <v>50</v>
      </c>
      <c r="J929" s="1" t="s">
        <v>50</v>
      </c>
      <c r="K929" s="1" t="s">
        <v>50</v>
      </c>
      <c r="L929" s="1"/>
      <c r="M929" s="1" t="s">
        <v>104</v>
      </c>
      <c r="N929" s="1" t="s">
        <v>50</v>
      </c>
      <c r="O929" s="1" t="s">
        <v>50</v>
      </c>
      <c r="P929" s="1" t="s">
        <v>2429</v>
      </c>
      <c r="Q929" s="1" t="s">
        <v>104</v>
      </c>
      <c r="R929" s="1" t="s">
        <v>104</v>
      </c>
      <c r="S929" s="1" t="s">
        <v>104</v>
      </c>
      <c r="T929" s="1" t="s">
        <v>104</v>
      </c>
      <c r="U929" s="1" t="s">
        <v>104</v>
      </c>
      <c r="V929" s="1" t="s">
        <v>104</v>
      </c>
      <c r="W929" s="1" t="s">
        <v>104</v>
      </c>
      <c r="X929" s="1" t="s">
        <v>2119</v>
      </c>
      <c r="Y929" s="1"/>
      <c r="Z929" s="8"/>
      <c r="AA929" s="8"/>
      <c r="AB929" s="8">
        <v>1</v>
      </c>
      <c r="AC929" s="8">
        <v>1</v>
      </c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>
        <v>1</v>
      </c>
      <c r="BA929" s="8"/>
      <c r="BB929" s="1"/>
      <c r="BK929">
        <v>4</v>
      </c>
      <c r="BL929" s="58"/>
      <c r="BP929" t="str">
        <f t="shared" si="34"/>
        <v>GrassDragon</v>
      </c>
      <c r="BR929">
        <v>6</v>
      </c>
    </row>
    <row r="930" spans="1:70" x14ac:dyDescent="0.25">
      <c r="A930">
        <f t="shared" si="35"/>
        <v>877</v>
      </c>
      <c r="B930" t="s">
        <v>2178</v>
      </c>
      <c r="D930" s="1" t="s">
        <v>17</v>
      </c>
      <c r="E930" s="1" t="s">
        <v>6</v>
      </c>
      <c r="F930" s="1" t="s">
        <v>50</v>
      </c>
      <c r="G930" s="1" t="s">
        <v>50</v>
      </c>
      <c r="H930" s="1"/>
      <c r="I930" s="1" t="s">
        <v>50</v>
      </c>
      <c r="J930" s="1" t="s">
        <v>50</v>
      </c>
      <c r="K930" s="1" t="s">
        <v>50</v>
      </c>
      <c r="L930" s="1"/>
      <c r="M930" s="1" t="s">
        <v>50</v>
      </c>
      <c r="N930" s="1" t="s">
        <v>50</v>
      </c>
      <c r="O930" s="1" t="s">
        <v>50</v>
      </c>
      <c r="P930" s="1" t="s">
        <v>2070</v>
      </c>
      <c r="Q930" s="1" t="s">
        <v>104</v>
      </c>
      <c r="R930" s="1" t="s">
        <v>104</v>
      </c>
      <c r="S930" s="1" t="s">
        <v>104</v>
      </c>
      <c r="T930" s="1" t="s">
        <v>104</v>
      </c>
      <c r="U930" s="1" t="s">
        <v>104</v>
      </c>
      <c r="V930" s="1" t="s">
        <v>104</v>
      </c>
      <c r="W930" s="1" t="s">
        <v>104</v>
      </c>
      <c r="X930" s="1" t="s">
        <v>2076</v>
      </c>
      <c r="Y930" s="1"/>
      <c r="Z930" s="8"/>
      <c r="AA930" s="8"/>
      <c r="AB930" s="8"/>
      <c r="AC930" s="8"/>
      <c r="AD930" s="8">
        <v>1</v>
      </c>
      <c r="AE930" s="8">
        <v>1</v>
      </c>
      <c r="AF930" s="8"/>
      <c r="AG930" s="8">
        <v>1</v>
      </c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>
        <v>1</v>
      </c>
      <c r="AY930" s="8">
        <v>1</v>
      </c>
      <c r="AZ930" s="8"/>
      <c r="BA930" s="8"/>
      <c r="BB930" s="1"/>
      <c r="BL930" s="58"/>
      <c r="BP930" t="str">
        <f t="shared" si="34"/>
        <v>BugSteel</v>
      </c>
      <c r="BQ930" t="s">
        <v>2</v>
      </c>
      <c r="BR930">
        <v>9</v>
      </c>
    </row>
    <row r="931" spans="1:70" x14ac:dyDescent="0.25">
      <c r="A931">
        <f t="shared" si="35"/>
        <v>878</v>
      </c>
      <c r="B931" t="s">
        <v>2179</v>
      </c>
      <c r="D931" s="1" t="s">
        <v>17</v>
      </c>
      <c r="E931" s="1" t="s">
        <v>6</v>
      </c>
      <c r="F931" s="1" t="s">
        <v>50</v>
      </c>
      <c r="G931" s="1" t="s">
        <v>50</v>
      </c>
      <c r="H931" s="1" t="s">
        <v>50</v>
      </c>
      <c r="I931" s="1" t="s">
        <v>50</v>
      </c>
      <c r="J931" s="1" t="s">
        <v>50</v>
      </c>
      <c r="K931" s="1" t="s">
        <v>50</v>
      </c>
      <c r="L931" s="1"/>
      <c r="M931" s="1" t="s">
        <v>104</v>
      </c>
      <c r="N931" s="1" t="s">
        <v>50</v>
      </c>
      <c r="O931" s="1" t="s">
        <v>50</v>
      </c>
      <c r="P931" s="1" t="s">
        <v>2070</v>
      </c>
      <c r="Q931" s="1" t="s">
        <v>104</v>
      </c>
      <c r="R931" s="1" t="s">
        <v>104</v>
      </c>
      <c r="S931" s="1" t="s">
        <v>104</v>
      </c>
      <c r="T931" s="1" t="s">
        <v>104</v>
      </c>
      <c r="U931" s="1" t="s">
        <v>104</v>
      </c>
      <c r="V931" s="1" t="s">
        <v>104</v>
      </c>
      <c r="W931" s="1" t="s">
        <v>104</v>
      </c>
      <c r="X931" s="1" t="s">
        <v>2076</v>
      </c>
      <c r="Y931" s="1"/>
      <c r="Z931" s="8"/>
      <c r="AA931" s="8"/>
      <c r="AB931" s="8"/>
      <c r="AC931" s="8"/>
      <c r="AD931" s="8">
        <v>1</v>
      </c>
      <c r="AE931" s="8">
        <v>1</v>
      </c>
      <c r="AF931" s="8"/>
      <c r="AG931" s="8">
        <v>1</v>
      </c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>
        <v>1</v>
      </c>
      <c r="AY931" s="8">
        <v>1</v>
      </c>
      <c r="AZ931" s="8"/>
      <c r="BA931" s="8"/>
      <c r="BB931" s="1"/>
      <c r="BL931" s="58"/>
      <c r="BP931" t="str">
        <f t="shared" si="34"/>
        <v>BugSteel</v>
      </c>
      <c r="BR931">
        <v>9</v>
      </c>
    </row>
    <row r="932" spans="1:70" x14ac:dyDescent="0.25">
      <c r="A932">
        <f t="shared" si="35"/>
        <v>879</v>
      </c>
      <c r="B932" t="s">
        <v>2180</v>
      </c>
      <c r="D932" s="1" t="s">
        <v>16</v>
      </c>
      <c r="E932" s="1">
        <v>0</v>
      </c>
      <c r="F932" s="1" t="s">
        <v>50</v>
      </c>
      <c r="G932" s="1" t="s">
        <v>50</v>
      </c>
      <c r="H932" s="1" t="s">
        <v>50</v>
      </c>
      <c r="I932" s="1" t="s">
        <v>50</v>
      </c>
      <c r="J932" s="1" t="s">
        <v>50</v>
      </c>
      <c r="K932" s="1" t="s">
        <v>50</v>
      </c>
      <c r="L932" s="1"/>
      <c r="M932" s="1" t="s">
        <v>50</v>
      </c>
      <c r="N932" s="1" t="s">
        <v>50</v>
      </c>
      <c r="O932" s="1" t="s">
        <v>50</v>
      </c>
      <c r="P932" s="1" t="s">
        <v>2070</v>
      </c>
      <c r="Q932" s="1" t="s">
        <v>50</v>
      </c>
      <c r="R932" s="1" t="s">
        <v>50</v>
      </c>
      <c r="S932" s="1" t="s">
        <v>50</v>
      </c>
      <c r="T932" s="1" t="s">
        <v>50</v>
      </c>
      <c r="U932" s="1" t="s">
        <v>50</v>
      </c>
      <c r="V932" s="1" t="s">
        <v>50</v>
      </c>
      <c r="W932" s="1" t="s">
        <v>50</v>
      </c>
      <c r="X932" s="1" t="s">
        <v>2182</v>
      </c>
      <c r="Y932" s="1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>
        <v>1</v>
      </c>
      <c r="AL932" s="8"/>
      <c r="AM932" s="8"/>
      <c r="AN932" s="8">
        <v>1</v>
      </c>
      <c r="AO932" s="8">
        <v>1</v>
      </c>
      <c r="AP932" s="8">
        <v>1</v>
      </c>
      <c r="AQ932" s="8">
        <v>1</v>
      </c>
      <c r="AR932" s="8">
        <v>1</v>
      </c>
      <c r="AS932" s="8"/>
      <c r="AT932" s="8"/>
      <c r="AU932" s="8"/>
      <c r="AV932" s="8"/>
      <c r="AW932" s="8"/>
      <c r="AX932" s="8"/>
      <c r="AY932" s="8"/>
      <c r="AZ932" s="8"/>
      <c r="BA932" s="8"/>
      <c r="BB932" s="1"/>
      <c r="BK932">
        <v>4</v>
      </c>
      <c r="BL932" s="58"/>
      <c r="BP932" t="str">
        <f t="shared" si="34"/>
        <v>Flying0</v>
      </c>
      <c r="BR932">
        <v>3</v>
      </c>
    </row>
    <row r="933" spans="1:70" x14ac:dyDescent="0.25">
      <c r="A933">
        <f t="shared" si="35"/>
        <v>880</v>
      </c>
      <c r="B933" t="s">
        <v>2181</v>
      </c>
      <c r="D933" s="1" t="s">
        <v>5</v>
      </c>
      <c r="E933" s="1">
        <v>0</v>
      </c>
      <c r="F933" s="1" t="s">
        <v>50</v>
      </c>
      <c r="G933" s="1" t="s">
        <v>50</v>
      </c>
      <c r="H933" s="1" t="s">
        <v>50</v>
      </c>
      <c r="I933" s="1" t="s">
        <v>50</v>
      </c>
      <c r="J933" s="1" t="s">
        <v>50</v>
      </c>
      <c r="K933" s="1" t="s">
        <v>50</v>
      </c>
      <c r="L933" s="1"/>
      <c r="M933" s="1" t="s">
        <v>50</v>
      </c>
      <c r="N933" s="1" t="s">
        <v>50</v>
      </c>
      <c r="O933" s="1" t="s">
        <v>50</v>
      </c>
      <c r="P933" s="1" t="s">
        <v>2070</v>
      </c>
      <c r="Q933" s="1" t="s">
        <v>50</v>
      </c>
      <c r="R933" s="1" t="s">
        <v>50</v>
      </c>
      <c r="S933" s="1" t="s">
        <v>50</v>
      </c>
      <c r="T933" s="1" t="s">
        <v>50</v>
      </c>
      <c r="U933" s="1" t="s">
        <v>50</v>
      </c>
      <c r="V933" s="1" t="s">
        <v>50</v>
      </c>
      <c r="W933" s="1" t="s">
        <v>50</v>
      </c>
      <c r="X933" s="1" t="s">
        <v>2182</v>
      </c>
      <c r="Y933" s="1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>
        <v>1</v>
      </c>
      <c r="AL933" s="8"/>
      <c r="AM933" s="8"/>
      <c r="AN933" s="8">
        <v>1</v>
      </c>
      <c r="AO933" s="8">
        <v>1</v>
      </c>
      <c r="AP933" s="8">
        <v>1</v>
      </c>
      <c r="AQ933" s="8">
        <v>1</v>
      </c>
      <c r="AR933" s="8">
        <v>1</v>
      </c>
      <c r="AS933" s="8"/>
      <c r="AT933" s="8"/>
      <c r="AU933" s="8"/>
      <c r="AV933" s="8"/>
      <c r="AW933" s="8"/>
      <c r="AX933" s="8"/>
      <c r="AY933" s="8"/>
      <c r="AZ933" s="8"/>
      <c r="BA933" s="8"/>
      <c r="BB933" s="1"/>
      <c r="BK933">
        <v>2</v>
      </c>
      <c r="BL933" s="58"/>
      <c r="BP933" t="str">
        <f t="shared" si="34"/>
        <v>Ice0</v>
      </c>
      <c r="BR933">
        <v>3</v>
      </c>
    </row>
    <row r="934" spans="1:70" x14ac:dyDescent="0.25">
      <c r="A934">
        <f t="shared" si="35"/>
        <v>881</v>
      </c>
      <c r="B934" t="s">
        <v>2183</v>
      </c>
      <c r="D934" s="1" t="s">
        <v>0</v>
      </c>
      <c r="E934" s="1" t="s">
        <v>10</v>
      </c>
      <c r="F934" s="1" t="s">
        <v>50</v>
      </c>
      <c r="G934" s="1" t="s">
        <v>50</v>
      </c>
      <c r="H934" s="1"/>
      <c r="I934" s="1" t="s">
        <v>50</v>
      </c>
      <c r="J934" s="1" t="s">
        <v>50</v>
      </c>
      <c r="K934" s="1" t="s">
        <v>50</v>
      </c>
      <c r="L934" s="1"/>
      <c r="M934" s="1" t="s">
        <v>50</v>
      </c>
      <c r="N934" s="1" t="s">
        <v>50</v>
      </c>
      <c r="O934" s="1" t="s">
        <v>50</v>
      </c>
      <c r="P934" s="1" t="s">
        <v>2384</v>
      </c>
      <c r="Q934" s="1" t="s">
        <v>104</v>
      </c>
      <c r="R934" s="1" t="s">
        <v>104</v>
      </c>
      <c r="S934" s="1" t="s">
        <v>104</v>
      </c>
      <c r="T934" s="1" t="s">
        <v>104</v>
      </c>
      <c r="U934" s="1" t="s">
        <v>104</v>
      </c>
      <c r="V934" s="1" t="s">
        <v>104</v>
      </c>
      <c r="W934" s="1" t="s">
        <v>104</v>
      </c>
      <c r="X934" s="1" t="s">
        <v>2144</v>
      </c>
      <c r="Y934" s="1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>
        <v>1</v>
      </c>
      <c r="AV934" s="8"/>
      <c r="AW934" s="8"/>
      <c r="AX934" s="8">
        <v>1</v>
      </c>
      <c r="AY934" s="8">
        <v>1</v>
      </c>
      <c r="AZ934" s="8"/>
      <c r="BA934" s="8"/>
      <c r="BB934" s="1"/>
      <c r="BL934" s="58"/>
      <c r="BP934" t="str">
        <f t="shared" si="34"/>
        <v>DarkPoison</v>
      </c>
      <c r="BQ934" t="s">
        <v>2</v>
      </c>
      <c r="BR934">
        <v>1</v>
      </c>
    </row>
    <row r="935" spans="1:70" x14ac:dyDescent="0.25">
      <c r="A935">
        <f t="shared" si="35"/>
        <v>882</v>
      </c>
      <c r="B935" t="s">
        <v>2184</v>
      </c>
      <c r="D935" s="1" t="s">
        <v>0</v>
      </c>
      <c r="E935" s="1" t="s">
        <v>10</v>
      </c>
      <c r="F935" s="1" t="s">
        <v>50</v>
      </c>
      <c r="G935" s="1" t="s">
        <v>50</v>
      </c>
      <c r="H935" s="1" t="s">
        <v>50</v>
      </c>
      <c r="I935" s="1" t="s">
        <v>50</v>
      </c>
      <c r="J935" s="1" t="s">
        <v>50</v>
      </c>
      <c r="K935" s="1" t="s">
        <v>50</v>
      </c>
      <c r="L935" s="1" t="s">
        <v>50</v>
      </c>
      <c r="M935" s="1" t="s">
        <v>104</v>
      </c>
      <c r="N935" s="1" t="s">
        <v>50</v>
      </c>
      <c r="O935" s="1" t="s">
        <v>50</v>
      </c>
      <c r="P935" s="1" t="s">
        <v>2384</v>
      </c>
      <c r="Q935" s="1" t="s">
        <v>104</v>
      </c>
      <c r="R935" s="1" t="s">
        <v>104</v>
      </c>
      <c r="S935" s="1" t="s">
        <v>104</v>
      </c>
      <c r="T935" s="1" t="s">
        <v>104</v>
      </c>
      <c r="U935" s="1" t="s">
        <v>104</v>
      </c>
      <c r="V935" s="1" t="s">
        <v>104</v>
      </c>
      <c r="W935" s="1" t="s">
        <v>104</v>
      </c>
      <c r="X935" s="1" t="s">
        <v>2144</v>
      </c>
      <c r="Y935" s="1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>
        <v>1</v>
      </c>
      <c r="AV935" s="8"/>
      <c r="AW935" s="8"/>
      <c r="AX935" s="8">
        <v>1</v>
      </c>
      <c r="AY935" s="8">
        <v>1</v>
      </c>
      <c r="AZ935" s="8"/>
      <c r="BA935" s="8"/>
      <c r="BB935" s="1"/>
      <c r="BK935">
        <v>7</v>
      </c>
      <c r="BL935" s="58">
        <v>2</v>
      </c>
      <c r="BP935" t="str">
        <f t="shared" si="34"/>
        <v>DarkPoison</v>
      </c>
      <c r="BR935">
        <v>1</v>
      </c>
    </row>
    <row r="936" spans="1:70" x14ac:dyDescent="0.25">
      <c r="A936">
        <f t="shared" si="35"/>
        <v>883</v>
      </c>
      <c r="B936" t="s">
        <v>2185</v>
      </c>
      <c r="D936" s="1" t="s">
        <v>18</v>
      </c>
      <c r="E936" s="1">
        <v>0</v>
      </c>
      <c r="F936" s="1" t="s">
        <v>50</v>
      </c>
      <c r="G936" s="1" t="s">
        <v>50</v>
      </c>
      <c r="H936" s="1"/>
      <c r="I936" s="1" t="s">
        <v>50</v>
      </c>
      <c r="J936" s="1" t="s">
        <v>50</v>
      </c>
      <c r="K936" s="1" t="s">
        <v>50</v>
      </c>
      <c r="L936" s="1"/>
      <c r="M936" s="1" t="s">
        <v>50</v>
      </c>
      <c r="N936" s="1" t="s">
        <v>50</v>
      </c>
      <c r="O936" s="1" t="s">
        <v>50</v>
      </c>
      <c r="P936" s="1" t="s">
        <v>811</v>
      </c>
      <c r="Q936" s="1" t="s">
        <v>104</v>
      </c>
      <c r="R936" s="1" t="s">
        <v>104</v>
      </c>
      <c r="S936" s="1" t="s">
        <v>104</v>
      </c>
      <c r="T936" s="1" t="s">
        <v>104</v>
      </c>
      <c r="U936" s="1" t="s">
        <v>104</v>
      </c>
      <c r="V936" s="1" t="s">
        <v>104</v>
      </c>
      <c r="W936" s="1" t="s">
        <v>104</v>
      </c>
      <c r="X936" s="1" t="s">
        <v>2172</v>
      </c>
      <c r="Y936" s="1"/>
      <c r="Z936" s="8"/>
      <c r="AA936" s="8"/>
      <c r="AB936" s="8"/>
      <c r="AC936" s="8"/>
      <c r="AD936" s="8"/>
      <c r="AE936" s="8"/>
      <c r="AF936" s="8"/>
      <c r="AG936" s="8">
        <v>1</v>
      </c>
      <c r="AH936" s="8">
        <v>1</v>
      </c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>
        <v>1</v>
      </c>
      <c r="AZ936" s="8"/>
      <c r="BA936" s="8"/>
      <c r="BB936" s="1"/>
      <c r="BL936" s="58"/>
      <c r="BP936" t="str">
        <f t="shared" si="34"/>
        <v>Fighting0</v>
      </c>
      <c r="BQ936" t="s">
        <v>2</v>
      </c>
      <c r="BR936">
        <v>5</v>
      </c>
    </row>
    <row r="937" spans="1:70" x14ac:dyDescent="0.25">
      <c r="A937">
        <f t="shared" si="35"/>
        <v>884</v>
      </c>
      <c r="B937" t="s">
        <v>2186</v>
      </c>
      <c r="D937" s="1" t="s">
        <v>18</v>
      </c>
      <c r="E937" s="1">
        <v>0</v>
      </c>
      <c r="F937" s="1" t="s">
        <v>50</v>
      </c>
      <c r="G937" s="1" t="s">
        <v>50</v>
      </c>
      <c r="H937" s="1" t="s">
        <v>50</v>
      </c>
      <c r="I937" s="1" t="s">
        <v>50</v>
      </c>
      <c r="J937" s="1" t="s">
        <v>50</v>
      </c>
      <c r="K937" s="1" t="s">
        <v>50</v>
      </c>
      <c r="L937" s="1"/>
      <c r="M937" s="1" t="s">
        <v>104</v>
      </c>
      <c r="N937" s="1" t="s">
        <v>50</v>
      </c>
      <c r="O937" s="1" t="s">
        <v>50</v>
      </c>
      <c r="P937" s="1" t="s">
        <v>811</v>
      </c>
      <c r="Q937" s="1" t="s">
        <v>104</v>
      </c>
      <c r="R937" s="1" t="s">
        <v>104</v>
      </c>
      <c r="S937" s="1" t="s">
        <v>104</v>
      </c>
      <c r="T937" s="1" t="s">
        <v>104</v>
      </c>
      <c r="U937" s="1" t="s">
        <v>104</v>
      </c>
      <c r="V937" s="1" t="s">
        <v>104</v>
      </c>
      <c r="W937" s="1" t="s">
        <v>104</v>
      </c>
      <c r="X937" s="1" t="s">
        <v>2172</v>
      </c>
      <c r="Y937" s="1"/>
      <c r="Z937" s="8"/>
      <c r="AA937" s="8"/>
      <c r="AB937" s="8"/>
      <c r="AC937" s="8"/>
      <c r="AD937" s="8"/>
      <c r="AE937" s="8"/>
      <c r="AF937" s="8"/>
      <c r="AG937" s="8">
        <v>1</v>
      </c>
      <c r="AH937" s="8">
        <v>1</v>
      </c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>
        <v>1</v>
      </c>
      <c r="AZ937" s="8"/>
      <c r="BA937" s="8"/>
      <c r="BB937" s="1"/>
      <c r="BK937">
        <v>4</v>
      </c>
      <c r="BL937" s="58"/>
      <c r="BP937" t="str">
        <f t="shared" si="34"/>
        <v>Fighting0</v>
      </c>
      <c r="BR937">
        <v>5</v>
      </c>
    </row>
    <row r="938" spans="1:70" x14ac:dyDescent="0.25">
      <c r="A938">
        <f t="shared" si="35"/>
        <v>885</v>
      </c>
      <c r="B938" t="s">
        <v>2187</v>
      </c>
      <c r="D938" s="1" t="s">
        <v>16</v>
      </c>
      <c r="E938" s="1">
        <v>0</v>
      </c>
      <c r="F938" s="1" t="s">
        <v>50</v>
      </c>
      <c r="G938" s="1" t="s">
        <v>50</v>
      </c>
      <c r="H938" s="1"/>
      <c r="I938" s="1" t="s">
        <v>50</v>
      </c>
      <c r="J938" s="1" t="s">
        <v>50</v>
      </c>
      <c r="K938" s="1" t="s">
        <v>50</v>
      </c>
      <c r="L938" s="1"/>
      <c r="M938" s="1" t="s">
        <v>50</v>
      </c>
      <c r="N938" s="1" t="s">
        <v>50</v>
      </c>
      <c r="O938" s="1" t="s">
        <v>50</v>
      </c>
      <c r="P938" s="1" t="s">
        <v>811</v>
      </c>
      <c r="Q938" s="1" t="s">
        <v>104</v>
      </c>
      <c r="R938" s="1" t="s">
        <v>104</v>
      </c>
      <c r="S938" s="1" t="s">
        <v>104</v>
      </c>
      <c r="T938" s="1" t="s">
        <v>104</v>
      </c>
      <c r="U938" s="1" t="s">
        <v>104</v>
      </c>
      <c r="V938" s="1" t="s">
        <v>104</v>
      </c>
      <c r="W938" s="1" t="s">
        <v>104</v>
      </c>
      <c r="X938" s="1" t="s">
        <v>2172</v>
      </c>
      <c r="Y938" s="1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>
        <v>1</v>
      </c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1"/>
      <c r="BL938" s="58"/>
      <c r="BP938" t="str">
        <f t="shared" si="34"/>
        <v>Flying0</v>
      </c>
      <c r="BQ938" t="s">
        <v>2</v>
      </c>
      <c r="BR938">
        <v>5</v>
      </c>
    </row>
    <row r="939" spans="1:70" x14ac:dyDescent="0.25">
      <c r="A939">
        <f t="shared" si="35"/>
        <v>886</v>
      </c>
      <c r="B939" t="s">
        <v>2188</v>
      </c>
      <c r="D939" s="1" t="s">
        <v>16</v>
      </c>
      <c r="E939" s="1">
        <v>0</v>
      </c>
      <c r="F939" s="1" t="s">
        <v>50</v>
      </c>
      <c r="G939" s="1" t="s">
        <v>50</v>
      </c>
      <c r="H939" s="1" t="s">
        <v>50</v>
      </c>
      <c r="I939" s="1" t="s">
        <v>50</v>
      </c>
      <c r="J939" s="1" t="s">
        <v>50</v>
      </c>
      <c r="K939" s="1" t="s">
        <v>50</v>
      </c>
      <c r="L939" s="1"/>
      <c r="M939" s="1" t="s">
        <v>104</v>
      </c>
      <c r="N939" s="1" t="s">
        <v>50</v>
      </c>
      <c r="O939" s="1" t="s">
        <v>50</v>
      </c>
      <c r="P939" s="1" t="s">
        <v>811</v>
      </c>
      <c r="Q939" s="1" t="s">
        <v>104</v>
      </c>
      <c r="R939" s="1" t="s">
        <v>104</v>
      </c>
      <c r="S939" s="1" t="s">
        <v>104</v>
      </c>
      <c r="T939" s="1" t="s">
        <v>104</v>
      </c>
      <c r="U939" s="1" t="s">
        <v>104</v>
      </c>
      <c r="V939" s="1" t="s">
        <v>104</v>
      </c>
      <c r="W939" s="1" t="s">
        <v>104</v>
      </c>
      <c r="X939" s="1" t="s">
        <v>2172</v>
      </c>
      <c r="Y939" s="1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>
        <v>1</v>
      </c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1"/>
      <c r="BK939">
        <v>1</v>
      </c>
      <c r="BL939" s="58"/>
      <c r="BP939" t="str">
        <f t="shared" si="34"/>
        <v>Flying0</v>
      </c>
      <c r="BR939">
        <v>5</v>
      </c>
    </row>
    <row r="940" spans="1:70" x14ac:dyDescent="0.25">
      <c r="A940">
        <f t="shared" si="35"/>
        <v>887</v>
      </c>
      <c r="B940" t="s">
        <v>2189</v>
      </c>
      <c r="D940" s="1" t="s">
        <v>9</v>
      </c>
      <c r="E940" s="1">
        <v>0</v>
      </c>
      <c r="F940" s="1" t="s">
        <v>50</v>
      </c>
      <c r="G940" s="1" t="s">
        <v>50</v>
      </c>
      <c r="H940" s="1"/>
      <c r="I940" s="1" t="s">
        <v>50</v>
      </c>
      <c r="J940" s="1" t="s">
        <v>50</v>
      </c>
      <c r="K940" s="1" t="s">
        <v>50</v>
      </c>
      <c r="L940" s="1"/>
      <c r="M940" s="1" t="s">
        <v>50</v>
      </c>
      <c r="N940" s="1" t="s">
        <v>50</v>
      </c>
      <c r="O940" s="1" t="s">
        <v>50</v>
      </c>
      <c r="P940" s="1" t="s">
        <v>811</v>
      </c>
      <c r="Q940" s="1" t="s">
        <v>104</v>
      </c>
      <c r="R940" s="1" t="s">
        <v>104</v>
      </c>
      <c r="S940" s="1" t="s">
        <v>104</v>
      </c>
      <c r="T940" s="1" t="s">
        <v>104</v>
      </c>
      <c r="U940" s="1" t="s">
        <v>104</v>
      </c>
      <c r="V940" s="1" t="s">
        <v>104</v>
      </c>
      <c r="W940" s="1" t="s">
        <v>104</v>
      </c>
      <c r="X940" s="1" t="s">
        <v>2172</v>
      </c>
      <c r="Y940" s="1"/>
      <c r="Z940" s="8"/>
      <c r="AA940" s="8"/>
      <c r="AB940" s="8"/>
      <c r="AC940" s="8"/>
      <c r="AD940" s="8">
        <v>1</v>
      </c>
      <c r="AE940" s="8"/>
      <c r="AF940" s="8"/>
      <c r="AG940" s="8">
        <v>1</v>
      </c>
      <c r="AH940" s="8">
        <v>1</v>
      </c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>
        <v>1</v>
      </c>
      <c r="AT940" s="8"/>
      <c r="AU940" s="8"/>
      <c r="AV940" s="8"/>
      <c r="AW940" s="8"/>
      <c r="AX940" s="8">
        <v>1</v>
      </c>
      <c r="AY940" s="8"/>
      <c r="AZ940" s="8"/>
      <c r="BA940" s="8"/>
      <c r="BB940" s="1"/>
      <c r="BL940" s="58"/>
      <c r="BP940" t="str">
        <f t="shared" si="34"/>
        <v>Rock0</v>
      </c>
      <c r="BQ940" t="s">
        <v>2</v>
      </c>
      <c r="BR940">
        <v>5</v>
      </c>
    </row>
    <row r="941" spans="1:70" x14ac:dyDescent="0.25">
      <c r="A941">
        <f t="shared" si="35"/>
        <v>888</v>
      </c>
      <c r="B941" t="s">
        <v>2190</v>
      </c>
      <c r="D941" s="1" t="s">
        <v>9</v>
      </c>
      <c r="E941" s="1">
        <v>0</v>
      </c>
      <c r="F941" s="1" t="s">
        <v>50</v>
      </c>
      <c r="G941" s="1" t="s">
        <v>50</v>
      </c>
      <c r="H941" s="1" t="s">
        <v>50</v>
      </c>
      <c r="I941" s="1" t="s">
        <v>50</v>
      </c>
      <c r="J941" s="1" t="s">
        <v>50</v>
      </c>
      <c r="K941" s="1" t="s">
        <v>50</v>
      </c>
      <c r="L941" s="1"/>
      <c r="M941" s="1" t="s">
        <v>104</v>
      </c>
      <c r="N941" s="1" t="s">
        <v>50</v>
      </c>
      <c r="O941" s="1" t="s">
        <v>50</v>
      </c>
      <c r="P941" s="1" t="s">
        <v>811</v>
      </c>
      <c r="Q941" s="1" t="s">
        <v>104</v>
      </c>
      <c r="R941" s="1" t="s">
        <v>104</v>
      </c>
      <c r="S941" s="1" t="s">
        <v>104</v>
      </c>
      <c r="T941" s="1" t="s">
        <v>104</v>
      </c>
      <c r="U941" s="1" t="s">
        <v>104</v>
      </c>
      <c r="V941" s="1" t="s">
        <v>104</v>
      </c>
      <c r="W941" s="1" t="s">
        <v>104</v>
      </c>
      <c r="X941" s="1" t="s">
        <v>2172</v>
      </c>
      <c r="Y941" s="1"/>
      <c r="Z941" s="8"/>
      <c r="AA941" s="8"/>
      <c r="AB941" s="8"/>
      <c r="AC941" s="8"/>
      <c r="AD941" s="8">
        <v>1</v>
      </c>
      <c r="AE941" s="8"/>
      <c r="AF941" s="8"/>
      <c r="AG941" s="8">
        <v>1</v>
      </c>
      <c r="AH941" s="8">
        <v>1</v>
      </c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>
        <v>1</v>
      </c>
      <c r="AT941" s="8"/>
      <c r="AU941" s="8"/>
      <c r="AV941" s="8"/>
      <c r="AW941" s="8"/>
      <c r="AX941" s="8">
        <v>1</v>
      </c>
      <c r="AY941" s="8"/>
      <c r="AZ941" s="8"/>
      <c r="BA941" s="8"/>
      <c r="BB941" s="1"/>
      <c r="BL941" s="58"/>
      <c r="BP941" t="str">
        <f t="shared" si="34"/>
        <v>Rock0</v>
      </c>
      <c r="BR941">
        <v>5</v>
      </c>
    </row>
    <row r="942" spans="1:70" x14ac:dyDescent="0.25">
      <c r="A942">
        <f t="shared" si="35"/>
        <v>889</v>
      </c>
      <c r="B942" t="s">
        <v>2191</v>
      </c>
      <c r="D942" s="1" t="s">
        <v>15</v>
      </c>
      <c r="E942" s="1" t="s">
        <v>12</v>
      </c>
      <c r="F942" s="1" t="s">
        <v>50</v>
      </c>
      <c r="G942" s="1" t="s">
        <v>50</v>
      </c>
      <c r="H942" s="1"/>
      <c r="I942" s="1" t="s">
        <v>50</v>
      </c>
      <c r="J942" s="1" t="s">
        <v>50</v>
      </c>
      <c r="K942" s="1" t="s">
        <v>50</v>
      </c>
      <c r="L942" s="1"/>
      <c r="M942" s="1" t="s">
        <v>50</v>
      </c>
      <c r="N942" s="1" t="s">
        <v>50</v>
      </c>
      <c r="O942" s="1" t="s">
        <v>50</v>
      </c>
      <c r="P942" s="1" t="s">
        <v>2063</v>
      </c>
      <c r="Q942" s="1" t="s">
        <v>104</v>
      </c>
      <c r="R942" s="1" t="s">
        <v>104</v>
      </c>
      <c r="S942" s="1" t="s">
        <v>104</v>
      </c>
      <c r="T942" s="1" t="s">
        <v>104</v>
      </c>
      <c r="U942" s="1" t="s">
        <v>104</v>
      </c>
      <c r="V942" s="1" t="s">
        <v>104</v>
      </c>
      <c r="W942" s="1" t="s">
        <v>104</v>
      </c>
      <c r="X942" s="1" t="s">
        <v>727</v>
      </c>
      <c r="Y942" s="1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>
        <v>1</v>
      </c>
      <c r="AL942" s="8">
        <v>1</v>
      </c>
      <c r="AM942" s="8">
        <v>1</v>
      </c>
      <c r="AN942" s="8">
        <v>1</v>
      </c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1"/>
      <c r="BL942" s="58"/>
      <c r="BP942" t="str">
        <f t="shared" si="34"/>
        <v>WaterDragon</v>
      </c>
      <c r="BQ942" t="s">
        <v>2</v>
      </c>
      <c r="BR942">
        <v>1</v>
      </c>
    </row>
    <row r="943" spans="1:70" x14ac:dyDescent="0.25">
      <c r="A943">
        <f t="shared" si="35"/>
        <v>890</v>
      </c>
      <c r="B943" t="s">
        <v>2192</v>
      </c>
      <c r="D943" s="1" t="s">
        <v>15</v>
      </c>
      <c r="E943" s="1" t="s">
        <v>12</v>
      </c>
      <c r="F943" s="1" t="s">
        <v>50</v>
      </c>
      <c r="G943" s="1" t="s">
        <v>50</v>
      </c>
      <c r="H943" s="1"/>
      <c r="I943" s="1" t="s">
        <v>50</v>
      </c>
      <c r="J943" s="1" t="s">
        <v>50</v>
      </c>
      <c r="K943" s="1" t="s">
        <v>50</v>
      </c>
      <c r="L943" s="1"/>
      <c r="M943" s="1" t="s">
        <v>104</v>
      </c>
      <c r="N943" s="1" t="s">
        <v>50</v>
      </c>
      <c r="O943" s="1" t="s">
        <v>50</v>
      </c>
      <c r="P943" s="1" t="s">
        <v>2063</v>
      </c>
      <c r="Q943" s="1" t="s">
        <v>104</v>
      </c>
      <c r="R943" s="1" t="s">
        <v>104</v>
      </c>
      <c r="S943" s="1" t="s">
        <v>104</v>
      </c>
      <c r="T943" s="1" t="s">
        <v>104</v>
      </c>
      <c r="U943" s="1" t="s">
        <v>104</v>
      </c>
      <c r="V943" s="1" t="s">
        <v>104</v>
      </c>
      <c r="W943" s="1" t="s">
        <v>104</v>
      </c>
      <c r="X943" s="1" t="s">
        <v>727</v>
      </c>
      <c r="Y943" s="1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>
        <v>1</v>
      </c>
      <c r="AL943" s="8">
        <v>1</v>
      </c>
      <c r="AM943" s="8">
        <v>1</v>
      </c>
      <c r="AN943" s="8">
        <v>1</v>
      </c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1"/>
      <c r="BL943" s="58"/>
      <c r="BP943" t="str">
        <f t="shared" si="34"/>
        <v>WaterDragon</v>
      </c>
      <c r="BQ943" t="s">
        <v>2</v>
      </c>
      <c r="BR943">
        <v>1</v>
      </c>
    </row>
    <row r="944" spans="1:70" x14ac:dyDescent="0.25">
      <c r="A944">
        <f t="shared" si="35"/>
        <v>891</v>
      </c>
      <c r="B944" t="s">
        <v>2193</v>
      </c>
      <c r="D944" s="1" t="s">
        <v>15</v>
      </c>
      <c r="E944" s="1" t="s">
        <v>12</v>
      </c>
      <c r="F944" s="1" t="s">
        <v>50</v>
      </c>
      <c r="G944" s="1" t="s">
        <v>50</v>
      </c>
      <c r="H944" s="1" t="s">
        <v>50</v>
      </c>
      <c r="I944" s="1" t="s">
        <v>50</v>
      </c>
      <c r="J944" s="1" t="s">
        <v>50</v>
      </c>
      <c r="K944" s="1" t="s">
        <v>50</v>
      </c>
      <c r="L944" s="1"/>
      <c r="M944" s="1" t="s">
        <v>104</v>
      </c>
      <c r="N944" s="1" t="s">
        <v>50</v>
      </c>
      <c r="O944" s="1" t="s">
        <v>50</v>
      </c>
      <c r="P944" s="1" t="s">
        <v>2063</v>
      </c>
      <c r="Q944" s="1" t="s">
        <v>104</v>
      </c>
      <c r="R944" s="1" t="s">
        <v>104</v>
      </c>
      <c r="S944" s="1" t="s">
        <v>104</v>
      </c>
      <c r="T944" s="1" t="s">
        <v>104</v>
      </c>
      <c r="U944" s="1" t="s">
        <v>104</v>
      </c>
      <c r="V944" s="1" t="s">
        <v>104</v>
      </c>
      <c r="W944" s="1" t="s">
        <v>104</v>
      </c>
      <c r="X944" s="1" t="s">
        <v>727</v>
      </c>
      <c r="Y944" s="1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>
        <v>1</v>
      </c>
      <c r="AL944" s="8">
        <v>1</v>
      </c>
      <c r="AM944" s="8">
        <v>1</v>
      </c>
      <c r="AN944" s="8">
        <v>1</v>
      </c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1"/>
      <c r="BK944">
        <v>4</v>
      </c>
      <c r="BL944" s="58">
        <v>1</v>
      </c>
      <c r="BP944" t="str">
        <f t="shared" si="34"/>
        <v>WaterDragon</v>
      </c>
      <c r="BR944">
        <v>4</v>
      </c>
    </row>
    <row r="945" spans="1:70" x14ac:dyDescent="0.25">
      <c r="A945">
        <f t="shared" si="35"/>
        <v>892</v>
      </c>
      <c r="B945" t="s">
        <v>2194</v>
      </c>
      <c r="D945" s="1" t="s">
        <v>15</v>
      </c>
      <c r="E945" s="1" t="s">
        <v>14</v>
      </c>
      <c r="F945" s="1" t="s">
        <v>50</v>
      </c>
      <c r="G945" s="1" t="s">
        <v>50</v>
      </c>
      <c r="H945" s="1"/>
      <c r="I945" s="1" t="s">
        <v>50</v>
      </c>
      <c r="J945" s="1" t="s">
        <v>50</v>
      </c>
      <c r="K945" s="1" t="s">
        <v>50</v>
      </c>
      <c r="L945" s="1"/>
      <c r="M945" s="1" t="s">
        <v>50</v>
      </c>
      <c r="N945" s="1" t="s">
        <v>50</v>
      </c>
      <c r="O945" s="1" t="s">
        <v>50</v>
      </c>
      <c r="P945" s="1" t="s">
        <v>818</v>
      </c>
      <c r="Q945" s="1" t="s">
        <v>104</v>
      </c>
      <c r="R945" s="1" t="s">
        <v>104</v>
      </c>
      <c r="S945" s="1" t="s">
        <v>104</v>
      </c>
      <c r="T945" s="1" t="s">
        <v>104</v>
      </c>
      <c r="U945" s="1" t="s">
        <v>104</v>
      </c>
      <c r="V945" s="1" t="s">
        <v>104</v>
      </c>
      <c r="W945" s="1" t="s">
        <v>104</v>
      </c>
      <c r="X945" s="1" t="s">
        <v>2197</v>
      </c>
      <c r="Y945" s="1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>
        <v>1</v>
      </c>
      <c r="AL945" s="8">
        <v>1</v>
      </c>
      <c r="AM945" s="8">
        <v>1</v>
      </c>
      <c r="AN945" s="8">
        <v>1</v>
      </c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1"/>
      <c r="BL945" s="58"/>
      <c r="BP945" t="str">
        <f t="shared" si="34"/>
        <v>WaterGhost</v>
      </c>
      <c r="BQ945" t="s">
        <v>2</v>
      </c>
      <c r="BR945">
        <v>3</v>
      </c>
    </row>
    <row r="946" spans="1:70" x14ac:dyDescent="0.25">
      <c r="A946">
        <f t="shared" si="35"/>
        <v>893</v>
      </c>
      <c r="B946" t="s">
        <v>2195</v>
      </c>
      <c r="D946" s="1" t="s">
        <v>15</v>
      </c>
      <c r="E946" s="1" t="s">
        <v>14</v>
      </c>
      <c r="F946" s="1" t="s">
        <v>50</v>
      </c>
      <c r="G946" s="1" t="s">
        <v>50</v>
      </c>
      <c r="H946" s="1"/>
      <c r="I946" s="1" t="s">
        <v>50</v>
      </c>
      <c r="J946" s="1" t="s">
        <v>50</v>
      </c>
      <c r="K946" s="1" t="s">
        <v>50</v>
      </c>
      <c r="L946" s="1"/>
      <c r="M946" s="1" t="s">
        <v>104</v>
      </c>
      <c r="N946" s="1" t="s">
        <v>50</v>
      </c>
      <c r="O946" s="1" t="s">
        <v>50</v>
      </c>
      <c r="P946" s="1" t="s">
        <v>818</v>
      </c>
      <c r="Q946" s="1" t="s">
        <v>104</v>
      </c>
      <c r="R946" s="1" t="s">
        <v>104</v>
      </c>
      <c r="S946" s="1" t="s">
        <v>104</v>
      </c>
      <c r="T946" s="1" t="s">
        <v>104</v>
      </c>
      <c r="U946" s="1" t="s">
        <v>104</v>
      </c>
      <c r="V946" s="1" t="s">
        <v>104</v>
      </c>
      <c r="W946" s="1" t="s">
        <v>104</v>
      </c>
      <c r="X946" s="1" t="s">
        <v>2197</v>
      </c>
      <c r="Y946" s="1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>
        <v>1</v>
      </c>
      <c r="AL946" s="8">
        <v>1</v>
      </c>
      <c r="AM946" s="8">
        <v>1</v>
      </c>
      <c r="AN946" s="8">
        <v>1</v>
      </c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1"/>
      <c r="BL946" s="58"/>
      <c r="BP946" t="str">
        <f t="shared" si="34"/>
        <v>WaterGhost</v>
      </c>
      <c r="BQ946" t="s">
        <v>2</v>
      </c>
      <c r="BR946">
        <v>3</v>
      </c>
    </row>
    <row r="947" spans="1:70" x14ac:dyDescent="0.25">
      <c r="A947">
        <f t="shared" si="35"/>
        <v>894</v>
      </c>
      <c r="B947" t="s">
        <v>2196</v>
      </c>
      <c r="D947" s="1" t="s">
        <v>15</v>
      </c>
      <c r="E947" s="1" t="s">
        <v>14</v>
      </c>
      <c r="F947" s="1" t="s">
        <v>50</v>
      </c>
      <c r="G947" s="1" t="s">
        <v>50</v>
      </c>
      <c r="H947" s="1" t="s">
        <v>50</v>
      </c>
      <c r="I947" s="1" t="s">
        <v>50</v>
      </c>
      <c r="J947" s="1" t="s">
        <v>50</v>
      </c>
      <c r="K947" s="1" t="s">
        <v>50</v>
      </c>
      <c r="L947" s="1"/>
      <c r="M947" s="1" t="s">
        <v>104</v>
      </c>
      <c r="N947" s="1" t="s">
        <v>50</v>
      </c>
      <c r="O947" s="1" t="s">
        <v>50</v>
      </c>
      <c r="P947" s="1" t="s">
        <v>818</v>
      </c>
      <c r="Q947" s="1" t="s">
        <v>104</v>
      </c>
      <c r="R947" s="1" t="s">
        <v>104</v>
      </c>
      <c r="S947" s="1" t="s">
        <v>104</v>
      </c>
      <c r="T947" s="1" t="s">
        <v>104</v>
      </c>
      <c r="U947" s="1" t="s">
        <v>104</v>
      </c>
      <c r="V947" s="1" t="s">
        <v>104</v>
      </c>
      <c r="W947" s="1" t="s">
        <v>104</v>
      </c>
      <c r="X947" s="1" t="s">
        <v>2197</v>
      </c>
      <c r="Y947" s="1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>
        <v>1</v>
      </c>
      <c r="AL947" s="8">
        <v>1</v>
      </c>
      <c r="AM947" s="8">
        <v>1</v>
      </c>
      <c r="AN947" s="8">
        <v>1</v>
      </c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1"/>
      <c r="BL947" s="58"/>
      <c r="BP947" t="str">
        <f t="shared" si="34"/>
        <v>WaterGhost</v>
      </c>
      <c r="BR947">
        <v>4</v>
      </c>
    </row>
    <row r="948" spans="1:70" x14ac:dyDescent="0.25">
      <c r="A948">
        <f t="shared" si="35"/>
        <v>895</v>
      </c>
      <c r="B948" t="s">
        <v>2198</v>
      </c>
      <c r="D948" s="1" t="s">
        <v>5</v>
      </c>
      <c r="E948" s="1" t="s">
        <v>10</v>
      </c>
      <c r="F948" s="1" t="s">
        <v>50</v>
      </c>
      <c r="G948" s="1" t="s">
        <v>50</v>
      </c>
      <c r="H948" s="1"/>
      <c r="I948" s="1" t="s">
        <v>50</v>
      </c>
      <c r="J948" s="1" t="s">
        <v>50</v>
      </c>
      <c r="K948" s="1" t="s">
        <v>50</v>
      </c>
      <c r="L948" s="1"/>
      <c r="M948" s="1" t="s">
        <v>50</v>
      </c>
      <c r="N948" s="1" t="s">
        <v>50</v>
      </c>
      <c r="O948" s="1" t="s">
        <v>50</v>
      </c>
      <c r="P948" s="1" t="s">
        <v>2070</v>
      </c>
      <c r="Q948" s="1" t="s">
        <v>104</v>
      </c>
      <c r="R948" s="1" t="s">
        <v>104</v>
      </c>
      <c r="S948" s="1" t="s">
        <v>104</v>
      </c>
      <c r="T948" s="1" t="s">
        <v>104</v>
      </c>
      <c r="U948" s="1" t="s">
        <v>104</v>
      </c>
      <c r="V948" s="1" t="s">
        <v>104</v>
      </c>
      <c r="W948" s="1" t="s">
        <v>104</v>
      </c>
      <c r="X948" s="1" t="s">
        <v>2200</v>
      </c>
      <c r="Y948" s="1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>
        <v>1</v>
      </c>
      <c r="AP948" s="8">
        <v>1</v>
      </c>
      <c r="AQ948" s="8"/>
      <c r="AR948" s="8">
        <v>1</v>
      </c>
      <c r="AS948" s="8"/>
      <c r="AT948" s="8"/>
      <c r="AU948" s="8"/>
      <c r="AV948" s="8"/>
      <c r="AW948" s="8"/>
      <c r="AX948" s="8">
        <v>1</v>
      </c>
      <c r="AY948" s="8">
        <v>1</v>
      </c>
      <c r="AZ948" s="8"/>
      <c r="BA948" s="8"/>
      <c r="BB948" s="1"/>
      <c r="BL948" s="58"/>
      <c r="BP948" t="str">
        <f t="shared" si="34"/>
        <v>IcePoison</v>
      </c>
      <c r="BQ948" t="s">
        <v>2</v>
      </c>
      <c r="BR948">
        <v>4</v>
      </c>
    </row>
    <row r="949" spans="1:70" x14ac:dyDescent="0.25">
      <c r="A949">
        <f t="shared" si="35"/>
        <v>896</v>
      </c>
      <c r="B949" t="s">
        <v>2199</v>
      </c>
      <c r="D949" s="1" t="s">
        <v>5</v>
      </c>
      <c r="E949" s="1" t="s">
        <v>10</v>
      </c>
      <c r="F949" s="1" t="s">
        <v>50</v>
      </c>
      <c r="G949" s="1" t="s">
        <v>50</v>
      </c>
      <c r="H949" s="1" t="s">
        <v>50</v>
      </c>
      <c r="I949" s="1" t="s">
        <v>50</v>
      </c>
      <c r="J949" s="1" t="s">
        <v>50</v>
      </c>
      <c r="K949" s="1" t="s">
        <v>50</v>
      </c>
      <c r="L949" s="1"/>
      <c r="M949" s="1" t="s">
        <v>104</v>
      </c>
      <c r="N949" s="1" t="s">
        <v>50</v>
      </c>
      <c r="O949" s="1" t="s">
        <v>50</v>
      </c>
      <c r="P949" s="1" t="s">
        <v>2070</v>
      </c>
      <c r="Q949" s="1" t="s">
        <v>104</v>
      </c>
      <c r="R949" s="1" t="s">
        <v>104</v>
      </c>
      <c r="S949" s="1" t="s">
        <v>104</v>
      </c>
      <c r="T949" s="1" t="s">
        <v>104</v>
      </c>
      <c r="U949" s="1" t="s">
        <v>104</v>
      </c>
      <c r="V949" s="1" t="s">
        <v>104</v>
      </c>
      <c r="W949" s="1" t="s">
        <v>104</v>
      </c>
      <c r="X949" s="1" t="s">
        <v>2200</v>
      </c>
      <c r="Y949" s="1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>
        <v>1</v>
      </c>
      <c r="AP949" s="8">
        <v>1</v>
      </c>
      <c r="AQ949" s="8"/>
      <c r="AR949" s="8">
        <v>1</v>
      </c>
      <c r="AS949" s="8"/>
      <c r="AT949" s="8"/>
      <c r="AU949" s="8"/>
      <c r="AV949" s="8"/>
      <c r="AW949" s="8"/>
      <c r="AX949" s="8">
        <v>1</v>
      </c>
      <c r="AY949" s="8">
        <v>1</v>
      </c>
      <c r="AZ949" s="8"/>
      <c r="BA949" s="8"/>
      <c r="BB949" s="1"/>
      <c r="BL949" s="58"/>
      <c r="BP949" t="str">
        <f t="shared" si="34"/>
        <v>IcePoison</v>
      </c>
      <c r="BR949">
        <v>4</v>
      </c>
    </row>
    <row r="950" spans="1:70" x14ac:dyDescent="0.25">
      <c r="A950">
        <f t="shared" si="35"/>
        <v>897</v>
      </c>
      <c r="B950" t="s">
        <v>2201</v>
      </c>
      <c r="D950" s="1" t="s">
        <v>42</v>
      </c>
      <c r="E950" s="1" t="s">
        <v>4</v>
      </c>
      <c r="F950" s="1" t="s">
        <v>50</v>
      </c>
      <c r="G950" s="1" t="s">
        <v>50</v>
      </c>
      <c r="H950" s="1"/>
      <c r="I950" s="1" t="s">
        <v>50</v>
      </c>
      <c r="J950" s="1" t="s">
        <v>50</v>
      </c>
      <c r="K950" s="1" t="s">
        <v>50</v>
      </c>
      <c r="L950" s="1"/>
      <c r="M950" s="1" t="s">
        <v>50</v>
      </c>
      <c r="N950" s="1" t="s">
        <v>50</v>
      </c>
      <c r="O950" s="1" t="s">
        <v>50</v>
      </c>
      <c r="P950" s="1" t="s">
        <v>810</v>
      </c>
      <c r="Q950" s="1" t="s">
        <v>104</v>
      </c>
      <c r="R950" s="1" t="s">
        <v>104</v>
      </c>
      <c r="S950" s="1" t="s">
        <v>104</v>
      </c>
      <c r="T950" s="1" t="s">
        <v>104</v>
      </c>
      <c r="U950" s="1" t="s">
        <v>104</v>
      </c>
      <c r="V950" s="1" t="s">
        <v>104</v>
      </c>
      <c r="W950" s="1" t="s">
        <v>104</v>
      </c>
      <c r="X950" s="1" t="s">
        <v>727</v>
      </c>
      <c r="Y950" s="1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>
        <v>1</v>
      </c>
      <c r="AL950" s="8">
        <v>1</v>
      </c>
      <c r="AM950" s="8">
        <v>1</v>
      </c>
      <c r="AN950" s="8">
        <v>1</v>
      </c>
      <c r="AO950" s="8"/>
      <c r="AP950" s="8"/>
      <c r="AQ950" s="8"/>
      <c r="AR950" s="8"/>
      <c r="AS950" s="8"/>
      <c r="AT950" s="8"/>
      <c r="AU950" s="8">
        <v>1</v>
      </c>
      <c r="AV950" s="8"/>
      <c r="AW950" s="8"/>
      <c r="AX950" s="8"/>
      <c r="AY950" s="8"/>
      <c r="AZ950" s="8"/>
      <c r="BA950" s="8"/>
      <c r="BB950" s="1"/>
      <c r="BL950" s="58"/>
      <c r="BP950" t="str">
        <f t="shared" si="34"/>
        <v>CosmicPsychic</v>
      </c>
      <c r="BQ950" t="s">
        <v>2</v>
      </c>
      <c r="BR950">
        <v>1</v>
      </c>
    </row>
    <row r="951" spans="1:70" x14ac:dyDescent="0.25">
      <c r="A951">
        <f t="shared" si="35"/>
        <v>898</v>
      </c>
      <c r="B951" t="s">
        <v>2202</v>
      </c>
      <c r="D951" s="1" t="s">
        <v>42</v>
      </c>
      <c r="E951" s="1" t="s">
        <v>4</v>
      </c>
      <c r="F951" s="1" t="s">
        <v>50</v>
      </c>
      <c r="G951" s="1" t="s">
        <v>50</v>
      </c>
      <c r="H951" s="1" t="s">
        <v>50</v>
      </c>
      <c r="I951" s="1" t="s">
        <v>50</v>
      </c>
      <c r="J951" s="1" t="s">
        <v>50</v>
      </c>
      <c r="K951" s="1" t="s">
        <v>50</v>
      </c>
      <c r="L951" s="1"/>
      <c r="M951" s="1" t="s">
        <v>104</v>
      </c>
      <c r="N951" s="1" t="s">
        <v>50</v>
      </c>
      <c r="O951" s="1" t="s">
        <v>50</v>
      </c>
      <c r="P951" s="1" t="s">
        <v>810</v>
      </c>
      <c r="Q951" s="1" t="s">
        <v>104</v>
      </c>
      <c r="R951" s="1" t="s">
        <v>104</v>
      </c>
      <c r="S951" s="1" t="s">
        <v>104</v>
      </c>
      <c r="T951" s="1" t="s">
        <v>104</v>
      </c>
      <c r="U951" s="1" t="s">
        <v>104</v>
      </c>
      <c r="V951" s="1" t="s">
        <v>104</v>
      </c>
      <c r="W951" s="1" t="s">
        <v>104</v>
      </c>
      <c r="X951" s="1" t="s">
        <v>727</v>
      </c>
      <c r="Y951" s="1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>
        <v>1</v>
      </c>
      <c r="AL951" s="8">
        <v>1</v>
      </c>
      <c r="AM951" s="8">
        <v>1</v>
      </c>
      <c r="AN951" s="8">
        <v>1</v>
      </c>
      <c r="AO951" s="8"/>
      <c r="AP951" s="8"/>
      <c r="AQ951" s="8"/>
      <c r="AR951" s="8"/>
      <c r="AS951" s="8"/>
      <c r="AT951" s="8"/>
      <c r="AU951" s="8">
        <v>1</v>
      </c>
      <c r="AV951" s="8"/>
      <c r="AW951" s="8"/>
      <c r="AX951" s="8"/>
      <c r="AY951" s="8"/>
      <c r="AZ951" s="8"/>
      <c r="BA951" s="8"/>
      <c r="BB951" s="1"/>
      <c r="BK951">
        <v>4</v>
      </c>
      <c r="BL951" s="58"/>
      <c r="BP951" t="str">
        <f t="shared" si="34"/>
        <v>CosmicPsychic</v>
      </c>
      <c r="BR951">
        <v>1</v>
      </c>
    </row>
    <row r="952" spans="1:70" x14ac:dyDescent="0.25">
      <c r="A952">
        <f t="shared" ref="A952:A983" si="36">A951+1</f>
        <v>899</v>
      </c>
      <c r="B952" t="s">
        <v>2203</v>
      </c>
      <c r="D952" s="1" t="s">
        <v>42</v>
      </c>
      <c r="E952" s="1" t="s">
        <v>16</v>
      </c>
      <c r="F952" s="1" t="s">
        <v>50</v>
      </c>
      <c r="G952" s="1" t="s">
        <v>50</v>
      </c>
      <c r="H952" s="1"/>
      <c r="I952" s="1" t="s">
        <v>50</v>
      </c>
      <c r="J952" s="1" t="s">
        <v>50</v>
      </c>
      <c r="K952" s="1" t="s">
        <v>50</v>
      </c>
      <c r="L952" s="1"/>
      <c r="M952" s="1" t="s">
        <v>50</v>
      </c>
      <c r="N952" s="1" t="s">
        <v>50</v>
      </c>
      <c r="O952" s="1" t="s">
        <v>50</v>
      </c>
      <c r="P952" s="13" t="s">
        <v>514</v>
      </c>
      <c r="Q952" s="1" t="s">
        <v>104</v>
      </c>
      <c r="R952" s="1" t="s">
        <v>104</v>
      </c>
      <c r="S952" s="1" t="s">
        <v>104</v>
      </c>
      <c r="T952" s="1" t="s">
        <v>104</v>
      </c>
      <c r="U952" s="1" t="s">
        <v>104</v>
      </c>
      <c r="V952" s="1" t="s">
        <v>104</v>
      </c>
      <c r="W952" s="1" t="s">
        <v>104</v>
      </c>
      <c r="X952" s="1" t="s">
        <v>727</v>
      </c>
      <c r="Y952" s="1"/>
      <c r="Z952" s="8"/>
      <c r="AA952" s="8"/>
      <c r="AB952" s="8"/>
      <c r="AC952" s="8"/>
      <c r="AD952" s="8"/>
      <c r="AE952" s="8"/>
      <c r="AF952" s="8"/>
      <c r="AG952" s="8">
        <v>1</v>
      </c>
      <c r="AH952" s="8">
        <v>1</v>
      </c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>
        <v>1</v>
      </c>
      <c r="AV952" s="8"/>
      <c r="AW952" s="8"/>
      <c r="AX952" s="8"/>
      <c r="AY952" s="8"/>
      <c r="AZ952" s="8"/>
      <c r="BA952" s="8"/>
      <c r="BB952" s="1"/>
      <c r="BL952" s="58"/>
      <c r="BP952" t="str">
        <f t="shared" si="34"/>
        <v>CosmicFlying</v>
      </c>
      <c r="BQ952" t="s">
        <v>2</v>
      </c>
      <c r="BR952">
        <v>6</v>
      </c>
    </row>
    <row r="953" spans="1:70" x14ac:dyDescent="0.25">
      <c r="A953">
        <f t="shared" si="36"/>
        <v>900</v>
      </c>
      <c r="B953" t="s">
        <v>2204</v>
      </c>
      <c r="D953" s="1" t="s">
        <v>42</v>
      </c>
      <c r="E953" s="1" t="s">
        <v>16</v>
      </c>
      <c r="F953" s="1" t="s">
        <v>50</v>
      </c>
      <c r="G953" s="1" t="s">
        <v>50</v>
      </c>
      <c r="H953" s="1" t="s">
        <v>50</v>
      </c>
      <c r="I953" s="1" t="s">
        <v>50</v>
      </c>
      <c r="J953" s="1" t="s">
        <v>50</v>
      </c>
      <c r="K953" s="1" t="s">
        <v>50</v>
      </c>
      <c r="L953" s="1"/>
      <c r="M953" s="1" t="s">
        <v>104</v>
      </c>
      <c r="N953" s="1" t="s">
        <v>50</v>
      </c>
      <c r="O953" s="1" t="s">
        <v>50</v>
      </c>
      <c r="P953" s="13" t="s">
        <v>514</v>
      </c>
      <c r="Q953" s="1" t="s">
        <v>104</v>
      </c>
      <c r="R953" s="1" t="s">
        <v>104</v>
      </c>
      <c r="S953" s="1" t="s">
        <v>104</v>
      </c>
      <c r="T953" s="1" t="s">
        <v>104</v>
      </c>
      <c r="U953" s="1" t="s">
        <v>104</v>
      </c>
      <c r="V953" s="1" t="s">
        <v>104</v>
      </c>
      <c r="W953" s="1" t="s">
        <v>104</v>
      </c>
      <c r="X953" s="1" t="s">
        <v>727</v>
      </c>
      <c r="Y953" s="1"/>
      <c r="Z953" s="8"/>
      <c r="AA953" s="8"/>
      <c r="AB953" s="8"/>
      <c r="AC953" s="8"/>
      <c r="AD953" s="8"/>
      <c r="AE953" s="8"/>
      <c r="AF953" s="8"/>
      <c r="AG953" s="8">
        <v>1</v>
      </c>
      <c r="AH953" s="8">
        <v>1</v>
      </c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>
        <v>1</v>
      </c>
      <c r="AV953" s="8"/>
      <c r="AW953" s="8"/>
      <c r="AX953" s="8"/>
      <c r="AY953" s="8"/>
      <c r="AZ953" s="8"/>
      <c r="BA953" s="8"/>
      <c r="BB953" s="1"/>
      <c r="BL953" s="58"/>
      <c r="BP953" t="str">
        <f t="shared" si="34"/>
        <v>CosmicFlying</v>
      </c>
      <c r="BR953">
        <v>6</v>
      </c>
    </row>
    <row r="954" spans="1:70" x14ac:dyDescent="0.25">
      <c r="A954">
        <f t="shared" si="36"/>
        <v>901</v>
      </c>
      <c r="B954" t="s">
        <v>2165</v>
      </c>
      <c r="D954" s="1" t="s">
        <v>6</v>
      </c>
      <c r="E954" s="1" t="s">
        <v>15</v>
      </c>
      <c r="F954" s="1" t="s">
        <v>50</v>
      </c>
      <c r="G954" s="1" t="s">
        <v>50</v>
      </c>
      <c r="H954" s="1" t="s">
        <v>50</v>
      </c>
      <c r="I954" s="1" t="s">
        <v>50</v>
      </c>
      <c r="J954" s="1" t="s">
        <v>50</v>
      </c>
      <c r="K954" s="1" t="s">
        <v>50</v>
      </c>
      <c r="L954" s="1"/>
      <c r="M954" s="1" t="s">
        <v>50</v>
      </c>
      <c r="N954" s="1" t="s">
        <v>50</v>
      </c>
      <c r="O954" s="1" t="s">
        <v>50</v>
      </c>
      <c r="P954" s="1" t="s">
        <v>2070</v>
      </c>
      <c r="Q954" s="1" t="s">
        <v>104</v>
      </c>
      <c r="R954" s="1" t="s">
        <v>104</v>
      </c>
      <c r="S954" s="1" t="s">
        <v>104</v>
      </c>
      <c r="T954" s="1" t="s">
        <v>104</v>
      </c>
      <c r="U954" s="1" t="s">
        <v>104</v>
      </c>
      <c r="V954" s="1" t="s">
        <v>104</v>
      </c>
      <c r="W954" s="1" t="s">
        <v>104</v>
      </c>
      <c r="X954" s="1" t="s">
        <v>2237</v>
      </c>
      <c r="Y954" s="1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>
        <v>1</v>
      </c>
      <c r="AT954" s="8"/>
      <c r="AU954" s="8"/>
      <c r="AV954" s="8"/>
      <c r="AW954" s="8"/>
      <c r="AX954" s="8"/>
      <c r="AY954" s="8"/>
      <c r="AZ954" s="8"/>
      <c r="BA954" s="8"/>
      <c r="BB954" s="1"/>
      <c r="BK954">
        <v>2</v>
      </c>
      <c r="BL954" s="58"/>
      <c r="BP954" t="str">
        <f t="shared" si="34"/>
        <v>SteelWater</v>
      </c>
      <c r="BR954">
        <v>9</v>
      </c>
    </row>
    <row r="955" spans="1:70" x14ac:dyDescent="0.25">
      <c r="A955">
        <f t="shared" si="36"/>
        <v>902</v>
      </c>
      <c r="B955" t="s">
        <v>2228</v>
      </c>
      <c r="D955" s="1" t="s">
        <v>1</v>
      </c>
      <c r="E955" s="1" t="s">
        <v>15</v>
      </c>
      <c r="F955" s="1" t="s">
        <v>50</v>
      </c>
      <c r="G955" s="1" t="s">
        <v>50</v>
      </c>
      <c r="H955" s="1" t="s">
        <v>50</v>
      </c>
      <c r="I955" s="1" t="s">
        <v>50</v>
      </c>
      <c r="J955" s="1" t="s">
        <v>50</v>
      </c>
      <c r="K955" s="1" t="s">
        <v>50</v>
      </c>
      <c r="L955" s="1"/>
      <c r="M955" s="1" t="s">
        <v>50</v>
      </c>
      <c r="N955" s="1" t="s">
        <v>50</v>
      </c>
      <c r="O955" s="1" t="s">
        <v>50</v>
      </c>
      <c r="P955" s="1" t="s">
        <v>2070</v>
      </c>
      <c r="Q955" s="1" t="s">
        <v>104</v>
      </c>
      <c r="R955" s="1" t="s">
        <v>104</v>
      </c>
      <c r="S955" s="1" t="s">
        <v>104</v>
      </c>
      <c r="T955" s="1" t="s">
        <v>104</v>
      </c>
      <c r="U955" s="1" t="s">
        <v>104</v>
      </c>
      <c r="V955" s="1" t="s">
        <v>104</v>
      </c>
      <c r="W955" s="1" t="s">
        <v>104</v>
      </c>
      <c r="X955" s="1" t="s">
        <v>2236</v>
      </c>
      <c r="Y955" s="1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>
        <v>1</v>
      </c>
      <c r="AL955" s="8">
        <v>1</v>
      </c>
      <c r="AM955" s="8">
        <v>1</v>
      </c>
      <c r="AN955" s="8">
        <v>1</v>
      </c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1"/>
      <c r="BK955">
        <v>1</v>
      </c>
      <c r="BL955" s="58"/>
      <c r="BP955" t="str">
        <f t="shared" si="34"/>
        <v>NormalWater</v>
      </c>
      <c r="BR955">
        <v>9</v>
      </c>
    </row>
    <row r="956" spans="1:70" x14ac:dyDescent="0.25">
      <c r="A956">
        <f t="shared" si="36"/>
        <v>903</v>
      </c>
      <c r="B956" t="s">
        <v>2208</v>
      </c>
      <c r="D956" s="1" t="s">
        <v>8</v>
      </c>
      <c r="E956" s="1" t="s">
        <v>18</v>
      </c>
      <c r="F956" s="1" t="s">
        <v>50</v>
      </c>
      <c r="G956" s="1" t="s">
        <v>50</v>
      </c>
      <c r="H956" s="1"/>
      <c r="I956" s="1" t="s">
        <v>50</v>
      </c>
      <c r="J956" s="1" t="s">
        <v>50</v>
      </c>
      <c r="K956" s="1" t="s">
        <v>50</v>
      </c>
      <c r="L956" s="1"/>
      <c r="M956" s="1" t="s">
        <v>50</v>
      </c>
      <c r="N956" s="1" t="s">
        <v>50</v>
      </c>
      <c r="O956" s="1" t="s">
        <v>50</v>
      </c>
      <c r="P956" s="1" t="s">
        <v>811</v>
      </c>
      <c r="Q956" s="1" t="s">
        <v>104</v>
      </c>
      <c r="R956" s="1" t="s">
        <v>104</v>
      </c>
      <c r="S956" s="1" t="s">
        <v>104</v>
      </c>
      <c r="T956" s="1" t="s">
        <v>104</v>
      </c>
      <c r="U956" s="1" t="s">
        <v>104</v>
      </c>
      <c r="V956" s="1" t="s">
        <v>104</v>
      </c>
      <c r="W956" s="1" t="s">
        <v>104</v>
      </c>
      <c r="X956" s="1" t="s">
        <v>2182</v>
      </c>
      <c r="Y956" s="1"/>
      <c r="Z956" s="8"/>
      <c r="AA956" s="8"/>
      <c r="AB956" s="8"/>
      <c r="AC956" s="8"/>
      <c r="AD956" s="8"/>
      <c r="AE956" s="8">
        <v>1</v>
      </c>
      <c r="AF956" s="8">
        <v>1</v>
      </c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>
        <v>1</v>
      </c>
      <c r="AY956" s="8">
        <v>1</v>
      </c>
      <c r="AZ956" s="8"/>
      <c r="BA956" s="8"/>
      <c r="BB956" s="1"/>
      <c r="BL956" s="58"/>
      <c r="BP956" t="str">
        <f t="shared" si="34"/>
        <v>GroundFighting</v>
      </c>
      <c r="BR956">
        <v>6</v>
      </c>
    </row>
    <row r="957" spans="1:70" x14ac:dyDescent="0.25">
      <c r="A957">
        <f t="shared" si="36"/>
        <v>904</v>
      </c>
      <c r="B957" t="s">
        <v>2209</v>
      </c>
      <c r="D957" s="1" t="s">
        <v>8</v>
      </c>
      <c r="E957" s="1" t="s">
        <v>18</v>
      </c>
      <c r="F957" s="1" t="s">
        <v>50</v>
      </c>
      <c r="G957" s="1" t="s">
        <v>50</v>
      </c>
      <c r="H957" s="1" t="s">
        <v>50</v>
      </c>
      <c r="I957" s="1" t="s">
        <v>50</v>
      </c>
      <c r="J957" s="1" t="s">
        <v>50</v>
      </c>
      <c r="K957" s="1" t="s">
        <v>50</v>
      </c>
      <c r="L957" s="1"/>
      <c r="M957" s="1" t="s">
        <v>104</v>
      </c>
      <c r="N957" s="1" t="s">
        <v>50</v>
      </c>
      <c r="O957" s="1" t="s">
        <v>50</v>
      </c>
      <c r="P957" s="1" t="s">
        <v>811</v>
      </c>
      <c r="Q957" s="1" t="s">
        <v>104</v>
      </c>
      <c r="R957" s="1" t="s">
        <v>104</v>
      </c>
      <c r="S957" s="1" t="s">
        <v>104</v>
      </c>
      <c r="T957" s="1" t="s">
        <v>104</v>
      </c>
      <c r="U957" s="1" t="s">
        <v>104</v>
      </c>
      <c r="V957" s="1" t="s">
        <v>104</v>
      </c>
      <c r="W957" s="1" t="s">
        <v>104</v>
      </c>
      <c r="X957" s="1" t="s">
        <v>2182</v>
      </c>
      <c r="Y957" s="1"/>
      <c r="Z957" s="8"/>
      <c r="AA957" s="8"/>
      <c r="AB957" s="8"/>
      <c r="AC957" s="8"/>
      <c r="AD957" s="8"/>
      <c r="AE957" s="8">
        <v>1</v>
      </c>
      <c r="AF957" s="8">
        <v>1</v>
      </c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>
        <v>1</v>
      </c>
      <c r="AY957" s="8">
        <v>1</v>
      </c>
      <c r="AZ957" s="8"/>
      <c r="BA957" s="8"/>
      <c r="BB957" s="1"/>
      <c r="BK957">
        <v>2</v>
      </c>
      <c r="BL957" s="58"/>
      <c r="BP957" t="str">
        <f t="shared" si="34"/>
        <v>GroundFighting</v>
      </c>
      <c r="BR957">
        <v>6</v>
      </c>
    </row>
    <row r="958" spans="1:70" x14ac:dyDescent="0.25">
      <c r="A958">
        <f t="shared" si="36"/>
        <v>905</v>
      </c>
      <c r="B958" t="s">
        <v>2206</v>
      </c>
      <c r="D958" s="1" t="s">
        <v>1</v>
      </c>
      <c r="E958" s="1" t="s">
        <v>42</v>
      </c>
      <c r="F958" s="1" t="s">
        <v>50</v>
      </c>
      <c r="G958" s="1" t="s">
        <v>50</v>
      </c>
      <c r="H958" s="1"/>
      <c r="I958" s="1" t="s">
        <v>50</v>
      </c>
      <c r="J958" s="1" t="s">
        <v>50</v>
      </c>
      <c r="K958" s="1" t="s">
        <v>50</v>
      </c>
      <c r="L958" s="1"/>
      <c r="M958" s="1" t="s">
        <v>50</v>
      </c>
      <c r="N958" s="1" t="s">
        <v>50</v>
      </c>
      <c r="O958" s="1" t="s">
        <v>50</v>
      </c>
      <c r="P958" s="1" t="s">
        <v>2059</v>
      </c>
      <c r="Q958" s="1" t="s">
        <v>104</v>
      </c>
      <c r="R958" s="1" t="s">
        <v>104</v>
      </c>
      <c r="S958" s="1" t="s">
        <v>104</v>
      </c>
      <c r="T958" s="1" t="s">
        <v>104</v>
      </c>
      <c r="U958" s="1" t="s">
        <v>104</v>
      </c>
      <c r="V958" s="1" t="s">
        <v>104</v>
      </c>
      <c r="W958" s="1" t="s">
        <v>104</v>
      </c>
      <c r="X958" s="1" t="s">
        <v>2144</v>
      </c>
      <c r="Y958" s="1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>
        <v>1</v>
      </c>
      <c r="AV958" s="8"/>
      <c r="AW958" s="8"/>
      <c r="AX958" s="8"/>
      <c r="AY958" s="8"/>
      <c r="AZ958" s="8"/>
      <c r="BA958" s="8"/>
      <c r="BB958" s="1"/>
      <c r="BL958" s="58"/>
      <c r="BP958" t="str">
        <f t="shared" si="34"/>
        <v>NormalCosmic</v>
      </c>
      <c r="BR958">
        <v>7</v>
      </c>
    </row>
    <row r="959" spans="1:70" x14ac:dyDescent="0.25">
      <c r="A959">
        <f t="shared" si="36"/>
        <v>906</v>
      </c>
      <c r="B959" t="s">
        <v>2207</v>
      </c>
      <c r="D959" s="1" t="s">
        <v>1</v>
      </c>
      <c r="E959" s="1" t="s">
        <v>42</v>
      </c>
      <c r="F959" s="1" t="s">
        <v>50</v>
      </c>
      <c r="G959" s="1" t="s">
        <v>50</v>
      </c>
      <c r="H959" s="1" t="s">
        <v>50</v>
      </c>
      <c r="I959" s="1" t="s">
        <v>50</v>
      </c>
      <c r="J959" s="1" t="s">
        <v>50</v>
      </c>
      <c r="K959" s="1" t="s">
        <v>50</v>
      </c>
      <c r="L959" s="1"/>
      <c r="M959" s="1" t="s">
        <v>104</v>
      </c>
      <c r="N959" s="1" t="s">
        <v>50</v>
      </c>
      <c r="O959" s="1" t="s">
        <v>50</v>
      </c>
      <c r="P959" s="1" t="s">
        <v>2059</v>
      </c>
      <c r="Q959" s="1" t="s">
        <v>104</v>
      </c>
      <c r="R959" s="1" t="s">
        <v>104</v>
      </c>
      <c r="S959" s="1" t="s">
        <v>104</v>
      </c>
      <c r="T959" s="1" t="s">
        <v>104</v>
      </c>
      <c r="U959" s="1" t="s">
        <v>104</v>
      </c>
      <c r="V959" s="1" t="s">
        <v>104</v>
      </c>
      <c r="W959" s="1" t="s">
        <v>104</v>
      </c>
      <c r="X959" s="1" t="s">
        <v>2144</v>
      </c>
      <c r="Y959" s="1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>
        <v>1</v>
      </c>
      <c r="AV959" s="8"/>
      <c r="AW959" s="8"/>
      <c r="AX959" s="8"/>
      <c r="AY959" s="8"/>
      <c r="AZ959" s="8"/>
      <c r="BA959" s="8"/>
      <c r="BB959" s="1"/>
      <c r="BK959">
        <v>2</v>
      </c>
      <c r="BL959" s="58"/>
      <c r="BP959" t="str">
        <f t="shared" si="34"/>
        <v>NormalCosmic</v>
      </c>
      <c r="BR959">
        <v>7</v>
      </c>
    </row>
    <row r="960" spans="1:70" x14ac:dyDescent="0.25">
      <c r="A960">
        <f t="shared" si="36"/>
        <v>907</v>
      </c>
      <c r="B960" t="s">
        <v>2210</v>
      </c>
      <c r="D960" s="1" t="s">
        <v>3</v>
      </c>
      <c r="E960" s="1" t="s">
        <v>18</v>
      </c>
      <c r="F960" s="1" t="s">
        <v>50</v>
      </c>
      <c r="G960" s="1" t="s">
        <v>50</v>
      </c>
      <c r="H960" s="1"/>
      <c r="I960" s="1" t="s">
        <v>50</v>
      </c>
      <c r="J960" s="1" t="s">
        <v>50</v>
      </c>
      <c r="K960" s="1" t="s">
        <v>50</v>
      </c>
      <c r="L960" s="1"/>
      <c r="M960" s="1" t="s">
        <v>50</v>
      </c>
      <c r="N960" s="1" t="s">
        <v>50</v>
      </c>
      <c r="O960" s="1" t="s">
        <v>50</v>
      </c>
      <c r="P960" s="13" t="s">
        <v>788</v>
      </c>
      <c r="Q960" s="1" t="s">
        <v>104</v>
      </c>
      <c r="R960" s="1" t="s">
        <v>104</v>
      </c>
      <c r="S960" s="1" t="s">
        <v>104</v>
      </c>
      <c r="T960" s="1" t="s">
        <v>104</v>
      </c>
      <c r="U960" s="1" t="s">
        <v>104</v>
      </c>
      <c r="V960" s="1" t="s">
        <v>104</v>
      </c>
      <c r="W960" s="1" t="s">
        <v>104</v>
      </c>
      <c r="X960" s="1" t="s">
        <v>2144</v>
      </c>
      <c r="Y960" s="1"/>
      <c r="Z960" s="8"/>
      <c r="AA960" s="8"/>
      <c r="AB960" s="8"/>
      <c r="AC960" s="8"/>
      <c r="AD960" s="8"/>
      <c r="AE960" s="8">
        <v>1</v>
      </c>
      <c r="AF960" s="8">
        <v>1</v>
      </c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>
        <v>1</v>
      </c>
      <c r="AT960" s="8"/>
      <c r="AU960" s="8"/>
      <c r="AV960" s="8"/>
      <c r="AW960" s="8"/>
      <c r="AX960" s="8">
        <v>1</v>
      </c>
      <c r="AY960" s="8">
        <v>1</v>
      </c>
      <c r="AZ960" s="8"/>
      <c r="BA960" s="8"/>
      <c r="BB960" s="1"/>
      <c r="BL960" s="58"/>
      <c r="BP960" t="str">
        <f t="shared" si="34"/>
        <v>ElectricFighting</v>
      </c>
      <c r="BR960">
        <v>7</v>
      </c>
    </row>
    <row r="961" spans="1:70" x14ac:dyDescent="0.25">
      <c r="A961">
        <f t="shared" si="36"/>
        <v>908</v>
      </c>
      <c r="B961" t="s">
        <v>2211</v>
      </c>
      <c r="D961" s="1" t="s">
        <v>3</v>
      </c>
      <c r="E961" s="1" t="s">
        <v>18</v>
      </c>
      <c r="F961" s="1" t="s">
        <v>50</v>
      </c>
      <c r="G961" s="1" t="s">
        <v>50</v>
      </c>
      <c r="H961" s="1"/>
      <c r="I961" s="1" t="s">
        <v>50</v>
      </c>
      <c r="J961" s="1" t="s">
        <v>50</v>
      </c>
      <c r="K961" s="1" t="s">
        <v>50</v>
      </c>
      <c r="L961" s="1"/>
      <c r="M961" s="1" t="s">
        <v>104</v>
      </c>
      <c r="N961" s="1" t="s">
        <v>50</v>
      </c>
      <c r="O961" s="1" t="s">
        <v>50</v>
      </c>
      <c r="P961" s="13" t="s">
        <v>788</v>
      </c>
      <c r="Q961" s="1" t="s">
        <v>104</v>
      </c>
      <c r="R961" s="1" t="s">
        <v>104</v>
      </c>
      <c r="S961" s="1" t="s">
        <v>104</v>
      </c>
      <c r="T961" s="1" t="s">
        <v>104</v>
      </c>
      <c r="U961" s="1" t="s">
        <v>104</v>
      </c>
      <c r="V961" s="1" t="s">
        <v>104</v>
      </c>
      <c r="W961" s="1" t="s">
        <v>104</v>
      </c>
      <c r="X961" s="1" t="s">
        <v>2144</v>
      </c>
      <c r="Y961" s="1"/>
      <c r="Z961" s="8"/>
      <c r="AA961" s="8"/>
      <c r="AB961" s="8"/>
      <c r="AC961" s="8"/>
      <c r="AD961" s="8"/>
      <c r="AE961" s="8">
        <v>1</v>
      </c>
      <c r="AF961" s="8">
        <v>1</v>
      </c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>
        <v>1</v>
      </c>
      <c r="AT961" s="8"/>
      <c r="AU961" s="8"/>
      <c r="AV961" s="8"/>
      <c r="AW961" s="8"/>
      <c r="AX961" s="8">
        <v>1</v>
      </c>
      <c r="AY961" s="8">
        <v>1</v>
      </c>
      <c r="AZ961" s="8"/>
      <c r="BA961" s="8"/>
      <c r="BB961" s="1"/>
      <c r="BL961" s="58"/>
      <c r="BP961" t="str">
        <f t="shared" si="34"/>
        <v>ElectricFighting</v>
      </c>
      <c r="BR961">
        <v>7</v>
      </c>
    </row>
    <row r="962" spans="1:70" x14ac:dyDescent="0.25">
      <c r="A962">
        <f t="shared" si="36"/>
        <v>909</v>
      </c>
      <c r="B962" t="s">
        <v>2212</v>
      </c>
      <c r="D962" s="1" t="s">
        <v>3</v>
      </c>
      <c r="E962" s="1" t="s">
        <v>18</v>
      </c>
      <c r="F962" s="1" t="s">
        <v>50</v>
      </c>
      <c r="G962" s="1" t="s">
        <v>50</v>
      </c>
      <c r="H962" s="1" t="s">
        <v>50</v>
      </c>
      <c r="I962" s="1" t="s">
        <v>50</v>
      </c>
      <c r="J962" s="1" t="s">
        <v>50</v>
      </c>
      <c r="K962" s="1" t="s">
        <v>50</v>
      </c>
      <c r="L962" s="1"/>
      <c r="M962" s="1" t="s">
        <v>104</v>
      </c>
      <c r="N962" s="1" t="s">
        <v>50</v>
      </c>
      <c r="O962" s="1" t="s">
        <v>50</v>
      </c>
      <c r="P962" s="13" t="s">
        <v>788</v>
      </c>
      <c r="Q962" s="1" t="s">
        <v>104</v>
      </c>
      <c r="R962" s="1" t="s">
        <v>104</v>
      </c>
      <c r="S962" s="1" t="s">
        <v>104</v>
      </c>
      <c r="T962" s="1" t="s">
        <v>104</v>
      </c>
      <c r="U962" s="1" t="s">
        <v>104</v>
      </c>
      <c r="V962" s="1" t="s">
        <v>104</v>
      </c>
      <c r="W962" s="1" t="s">
        <v>104</v>
      </c>
      <c r="X962" s="1" t="s">
        <v>2144</v>
      </c>
      <c r="Y962" s="1"/>
      <c r="Z962" s="8"/>
      <c r="AA962" s="8"/>
      <c r="AB962" s="8"/>
      <c r="AC962" s="8"/>
      <c r="AD962" s="8"/>
      <c r="AE962" s="8">
        <v>1</v>
      </c>
      <c r="AF962" s="8">
        <v>1</v>
      </c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>
        <v>1</v>
      </c>
      <c r="AT962" s="8"/>
      <c r="AU962" s="8"/>
      <c r="AV962" s="8"/>
      <c r="AW962" s="8"/>
      <c r="AX962" s="8">
        <v>1</v>
      </c>
      <c r="AY962" s="8">
        <v>1</v>
      </c>
      <c r="AZ962" s="8"/>
      <c r="BA962" s="8"/>
      <c r="BB962" s="1"/>
      <c r="BK962">
        <v>6</v>
      </c>
      <c r="BL962" s="58"/>
      <c r="BP962" t="str">
        <f t="shared" ref="BP962:BP1025" si="37">D962&amp;E962</f>
        <v>ElectricFighting</v>
      </c>
      <c r="BR962">
        <v>7</v>
      </c>
    </row>
    <row r="963" spans="1:70" x14ac:dyDescent="0.25">
      <c r="A963">
        <f t="shared" si="36"/>
        <v>910</v>
      </c>
      <c r="B963" t="s">
        <v>2213</v>
      </c>
      <c r="D963" s="1" t="s">
        <v>14</v>
      </c>
      <c r="E963" s="1">
        <v>0</v>
      </c>
      <c r="F963" s="1" t="s">
        <v>50</v>
      </c>
      <c r="G963" s="1" t="s">
        <v>50</v>
      </c>
      <c r="H963" s="1"/>
      <c r="I963" s="1" t="s">
        <v>50</v>
      </c>
      <c r="J963" s="1" t="s">
        <v>50</v>
      </c>
      <c r="K963" s="1" t="s">
        <v>50</v>
      </c>
      <c r="L963" s="1"/>
      <c r="M963" s="1" t="s">
        <v>50</v>
      </c>
      <c r="N963" s="1" t="s">
        <v>50</v>
      </c>
      <c r="O963" s="1" t="s">
        <v>50</v>
      </c>
      <c r="P963" s="1" t="s">
        <v>811</v>
      </c>
      <c r="Q963" s="1" t="s">
        <v>104</v>
      </c>
      <c r="R963" s="1" t="s">
        <v>104</v>
      </c>
      <c r="S963" s="1" t="s">
        <v>104</v>
      </c>
      <c r="T963" s="1" t="s">
        <v>104</v>
      </c>
      <c r="U963" s="1" t="s">
        <v>104</v>
      </c>
      <c r="V963" s="1" t="s">
        <v>104</v>
      </c>
      <c r="W963" s="1" t="s">
        <v>104</v>
      </c>
      <c r="X963" s="1" t="s">
        <v>2182</v>
      </c>
      <c r="Y963" s="1"/>
      <c r="Z963" s="8"/>
      <c r="AA963" s="8"/>
      <c r="AB963" s="8"/>
      <c r="AC963" s="8">
        <v>1</v>
      </c>
      <c r="AD963" s="8">
        <v>1</v>
      </c>
      <c r="AE963" s="8"/>
      <c r="AF963" s="8"/>
      <c r="AG963" s="8">
        <v>1</v>
      </c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>
        <v>1</v>
      </c>
      <c r="AT963" s="8">
        <v>1</v>
      </c>
      <c r="AU963" s="8"/>
      <c r="AV963" s="8"/>
      <c r="AW963" s="8"/>
      <c r="AX963" s="8"/>
      <c r="AY963" s="8"/>
      <c r="AZ963" s="8">
        <v>1</v>
      </c>
      <c r="BA963" s="8"/>
      <c r="BB963" s="1"/>
      <c r="BL963" s="58"/>
      <c r="BP963" t="str">
        <f t="shared" si="37"/>
        <v>Ghost0</v>
      </c>
      <c r="BR963">
        <v>1</v>
      </c>
    </row>
    <row r="964" spans="1:70" x14ac:dyDescent="0.25">
      <c r="A964">
        <f t="shared" si="36"/>
        <v>911</v>
      </c>
      <c r="B964" t="s">
        <v>2214</v>
      </c>
      <c r="D964" s="1" t="s">
        <v>14</v>
      </c>
      <c r="E964" s="1">
        <v>0</v>
      </c>
      <c r="F964" s="1" t="s">
        <v>50</v>
      </c>
      <c r="G964" s="1" t="s">
        <v>50</v>
      </c>
      <c r="H964" s="1" t="s">
        <v>50</v>
      </c>
      <c r="I964" s="1" t="s">
        <v>50</v>
      </c>
      <c r="J964" s="1" t="s">
        <v>50</v>
      </c>
      <c r="K964" s="1" t="s">
        <v>50</v>
      </c>
      <c r="L964" s="1"/>
      <c r="M964" s="1" t="s">
        <v>104</v>
      </c>
      <c r="N964" s="1" t="s">
        <v>50</v>
      </c>
      <c r="O964" s="1" t="s">
        <v>50</v>
      </c>
      <c r="P964" s="1" t="s">
        <v>811</v>
      </c>
      <c r="Q964" s="1" t="s">
        <v>104</v>
      </c>
      <c r="R964" s="1" t="s">
        <v>104</v>
      </c>
      <c r="S964" s="1" t="s">
        <v>104</v>
      </c>
      <c r="T964" s="1" t="s">
        <v>104</v>
      </c>
      <c r="U964" s="1" t="s">
        <v>104</v>
      </c>
      <c r="V964" s="1" t="s">
        <v>104</v>
      </c>
      <c r="W964" s="1" t="s">
        <v>104</v>
      </c>
      <c r="X964" s="1" t="s">
        <v>2182</v>
      </c>
      <c r="Y964" s="1"/>
      <c r="Z964" s="8"/>
      <c r="AA964" s="8"/>
      <c r="AB964" s="8"/>
      <c r="AC964" s="8">
        <v>1</v>
      </c>
      <c r="AD964" s="8">
        <v>1</v>
      </c>
      <c r="AE964" s="8"/>
      <c r="AF964" s="8"/>
      <c r="AG964" s="8">
        <v>1</v>
      </c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>
        <v>1</v>
      </c>
      <c r="AT964" s="8">
        <v>1</v>
      </c>
      <c r="AU964" s="8"/>
      <c r="AV964" s="8"/>
      <c r="AW964" s="8"/>
      <c r="AX964" s="8"/>
      <c r="AY964" s="8"/>
      <c r="AZ964" s="8">
        <v>1</v>
      </c>
      <c r="BA964" s="8"/>
      <c r="BB964" s="1"/>
      <c r="BL964" s="58">
        <v>1</v>
      </c>
      <c r="BP964" t="str">
        <f t="shared" si="37"/>
        <v>Ghost0</v>
      </c>
      <c r="BR964">
        <v>4</v>
      </c>
    </row>
    <row r="965" spans="1:70" x14ac:dyDescent="0.25">
      <c r="A965">
        <f t="shared" si="36"/>
        <v>912</v>
      </c>
      <c r="B965" t="s">
        <v>2215</v>
      </c>
      <c r="D965" s="1" t="s">
        <v>10</v>
      </c>
      <c r="E965" s="1" t="s">
        <v>6</v>
      </c>
      <c r="F965" s="1" t="s">
        <v>50</v>
      </c>
      <c r="G965" s="1" t="s">
        <v>50</v>
      </c>
      <c r="H965" s="1"/>
      <c r="I965" s="1" t="s">
        <v>50</v>
      </c>
      <c r="J965" s="1" t="s">
        <v>50</v>
      </c>
      <c r="K965" s="1" t="s">
        <v>50</v>
      </c>
      <c r="L965" s="1"/>
      <c r="M965" s="1" t="s">
        <v>50</v>
      </c>
      <c r="N965" s="1" t="s">
        <v>50</v>
      </c>
      <c r="O965" s="1" t="s">
        <v>50</v>
      </c>
      <c r="P965" s="1" t="s">
        <v>1717</v>
      </c>
      <c r="Q965" s="1" t="s">
        <v>104</v>
      </c>
      <c r="R965" s="1" t="s">
        <v>104</v>
      </c>
      <c r="S965" s="1" t="s">
        <v>104</v>
      </c>
      <c r="T965" s="1" t="s">
        <v>104</v>
      </c>
      <c r="U965" s="1" t="s">
        <v>104</v>
      </c>
      <c r="V965" s="1" t="s">
        <v>104</v>
      </c>
      <c r="W965" s="1" t="s">
        <v>104</v>
      </c>
      <c r="X965" s="1" t="s">
        <v>2119</v>
      </c>
      <c r="Y965" s="1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>
        <v>1</v>
      </c>
      <c r="AT965" s="8">
        <v>1</v>
      </c>
      <c r="AU965" s="8"/>
      <c r="AV965" s="8"/>
      <c r="AW965" s="8"/>
      <c r="AX965" s="8"/>
      <c r="AY965" s="8"/>
      <c r="AZ965" s="8">
        <v>1</v>
      </c>
      <c r="BA965" s="8"/>
      <c r="BB965" s="1"/>
      <c r="BL965" s="58"/>
      <c r="BP965" t="str">
        <f t="shared" si="37"/>
        <v>PoisonSteel</v>
      </c>
      <c r="BR965">
        <v>1</v>
      </c>
    </row>
    <row r="966" spans="1:70" x14ac:dyDescent="0.25">
      <c r="A966">
        <f t="shared" si="36"/>
        <v>913</v>
      </c>
      <c r="B966" t="s">
        <v>2216</v>
      </c>
      <c r="D966" s="1" t="s">
        <v>10</v>
      </c>
      <c r="E966" s="1" t="s">
        <v>6</v>
      </c>
      <c r="F966" s="1" t="s">
        <v>50</v>
      </c>
      <c r="G966" s="1" t="s">
        <v>50</v>
      </c>
      <c r="H966" s="1"/>
      <c r="I966" s="1" t="s">
        <v>50</v>
      </c>
      <c r="J966" s="1" t="s">
        <v>50</v>
      </c>
      <c r="K966" s="1" t="s">
        <v>50</v>
      </c>
      <c r="L966" s="1"/>
      <c r="M966" s="1" t="s">
        <v>104</v>
      </c>
      <c r="N966" s="1" t="s">
        <v>50</v>
      </c>
      <c r="O966" s="1" t="s">
        <v>50</v>
      </c>
      <c r="P966" s="1" t="s">
        <v>1717</v>
      </c>
      <c r="Q966" s="1" t="s">
        <v>104</v>
      </c>
      <c r="R966" s="1" t="s">
        <v>104</v>
      </c>
      <c r="S966" s="1" t="s">
        <v>104</v>
      </c>
      <c r="T966" s="1" t="s">
        <v>104</v>
      </c>
      <c r="U966" s="1" t="s">
        <v>104</v>
      </c>
      <c r="V966" s="1" t="s">
        <v>104</v>
      </c>
      <c r="W966" s="1" t="s">
        <v>104</v>
      </c>
      <c r="X966" s="1" t="s">
        <v>2119</v>
      </c>
      <c r="Y966" s="1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>
        <v>1</v>
      </c>
      <c r="AT966" s="8">
        <v>1</v>
      </c>
      <c r="AU966" s="8"/>
      <c r="AV966" s="8"/>
      <c r="AW966" s="8"/>
      <c r="AX966" s="8"/>
      <c r="AY966" s="8"/>
      <c r="AZ966" s="8">
        <v>1</v>
      </c>
      <c r="BA966" s="8"/>
      <c r="BB966" s="1"/>
      <c r="BL966" s="58"/>
      <c r="BP966" t="str">
        <f t="shared" si="37"/>
        <v>PoisonSteel</v>
      </c>
      <c r="BR966">
        <v>1</v>
      </c>
    </row>
    <row r="967" spans="1:70" x14ac:dyDescent="0.25">
      <c r="A967">
        <f t="shared" si="36"/>
        <v>914</v>
      </c>
      <c r="B967" t="s">
        <v>2217</v>
      </c>
      <c r="D967" s="1" t="s">
        <v>10</v>
      </c>
      <c r="E967" s="1" t="s">
        <v>6</v>
      </c>
      <c r="F967" s="1" t="s">
        <v>50</v>
      </c>
      <c r="G967" s="1" t="s">
        <v>50</v>
      </c>
      <c r="H967" s="1" t="s">
        <v>50</v>
      </c>
      <c r="I967" s="1" t="s">
        <v>50</v>
      </c>
      <c r="J967" s="1" t="s">
        <v>50</v>
      </c>
      <c r="K967" s="1" t="s">
        <v>50</v>
      </c>
      <c r="L967" s="1"/>
      <c r="M967" s="1" t="s">
        <v>104</v>
      </c>
      <c r="N967" s="1" t="s">
        <v>50</v>
      </c>
      <c r="O967" s="1" t="s">
        <v>50</v>
      </c>
      <c r="P967" s="1" t="s">
        <v>1717</v>
      </c>
      <c r="Q967" s="1" t="s">
        <v>50</v>
      </c>
      <c r="R967" s="1" t="s">
        <v>50</v>
      </c>
      <c r="S967" s="1" t="s">
        <v>104</v>
      </c>
      <c r="T967" s="1" t="s">
        <v>50</v>
      </c>
      <c r="U967" s="1" t="s">
        <v>104</v>
      </c>
      <c r="V967" s="1" t="s">
        <v>50</v>
      </c>
      <c r="W967" s="1" t="s">
        <v>50</v>
      </c>
      <c r="X967" s="1" t="s">
        <v>2119</v>
      </c>
      <c r="Y967" s="1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>
        <v>1</v>
      </c>
      <c r="AT967" s="8">
        <v>1</v>
      </c>
      <c r="AU967" s="8"/>
      <c r="AV967" s="8"/>
      <c r="AW967" s="8"/>
      <c r="AX967" s="8"/>
      <c r="AY967" s="8"/>
      <c r="AZ967" s="8">
        <v>1</v>
      </c>
      <c r="BA967" s="8"/>
      <c r="BB967" s="1"/>
      <c r="BK967">
        <v>3</v>
      </c>
      <c r="BL967" s="58"/>
      <c r="BP967" t="str">
        <f t="shared" si="37"/>
        <v>PoisonSteel</v>
      </c>
      <c r="BR967">
        <v>1</v>
      </c>
    </row>
    <row r="968" spans="1:70" x14ac:dyDescent="0.25">
      <c r="A968">
        <f t="shared" si="36"/>
        <v>915</v>
      </c>
      <c r="B968" t="s">
        <v>2218</v>
      </c>
      <c r="D968" s="1" t="s">
        <v>13</v>
      </c>
      <c r="E968" s="1" t="s">
        <v>0</v>
      </c>
      <c r="F968" s="1" t="s">
        <v>50</v>
      </c>
      <c r="G968" s="1" t="s">
        <v>50</v>
      </c>
      <c r="H968" s="1"/>
      <c r="I968" s="1" t="s">
        <v>50</v>
      </c>
      <c r="J968" s="1" t="s">
        <v>50</v>
      </c>
      <c r="K968" s="1" t="s">
        <v>50</v>
      </c>
      <c r="L968" s="1"/>
      <c r="M968" s="1" t="s">
        <v>50</v>
      </c>
      <c r="N968" s="1" t="s">
        <v>50</v>
      </c>
      <c r="O968" s="1" t="s">
        <v>50</v>
      </c>
      <c r="P968" s="13" t="s">
        <v>1726</v>
      </c>
      <c r="Q968" s="1" t="s">
        <v>104</v>
      </c>
      <c r="R968" s="1" t="s">
        <v>104</v>
      </c>
      <c r="S968" s="1" t="s">
        <v>104</v>
      </c>
      <c r="T968" s="1" t="s">
        <v>104</v>
      </c>
      <c r="U968" s="1" t="s">
        <v>104</v>
      </c>
      <c r="V968" s="1" t="s">
        <v>104</v>
      </c>
      <c r="W968" s="1" t="s">
        <v>104</v>
      </c>
      <c r="X968" s="1" t="s">
        <v>2119</v>
      </c>
      <c r="Y968" s="1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>
        <v>1</v>
      </c>
      <c r="AW968" s="8">
        <v>1</v>
      </c>
      <c r="AX968" s="8">
        <v>1</v>
      </c>
      <c r="AY968" s="8">
        <v>1</v>
      </c>
      <c r="AZ968" s="8"/>
      <c r="BA968" s="8"/>
      <c r="BB968" s="1"/>
      <c r="BL968" s="58"/>
      <c r="BP968" t="str">
        <f t="shared" si="37"/>
        <v>FireDark</v>
      </c>
      <c r="BR968">
        <v>3</v>
      </c>
    </row>
    <row r="969" spans="1:70" x14ac:dyDescent="0.25">
      <c r="A969">
        <f t="shared" si="36"/>
        <v>916</v>
      </c>
      <c r="B969" t="s">
        <v>2219</v>
      </c>
      <c r="D969" s="1" t="s">
        <v>13</v>
      </c>
      <c r="E969" s="1" t="s">
        <v>0</v>
      </c>
      <c r="F969" s="1" t="s">
        <v>50</v>
      </c>
      <c r="G969" s="1" t="s">
        <v>50</v>
      </c>
      <c r="H969" s="1" t="s">
        <v>50</v>
      </c>
      <c r="I969" s="1" t="s">
        <v>50</v>
      </c>
      <c r="J969" s="1" t="s">
        <v>50</v>
      </c>
      <c r="K969" s="1" t="s">
        <v>50</v>
      </c>
      <c r="L969" s="1"/>
      <c r="M969" s="1" t="s">
        <v>104</v>
      </c>
      <c r="N969" s="1" t="s">
        <v>50</v>
      </c>
      <c r="O969" s="1" t="s">
        <v>50</v>
      </c>
      <c r="P969" s="13" t="s">
        <v>1726</v>
      </c>
      <c r="Q969" s="1" t="s">
        <v>50</v>
      </c>
      <c r="R969" s="1" t="s">
        <v>50</v>
      </c>
      <c r="S969" s="1" t="s">
        <v>50</v>
      </c>
      <c r="T969" s="1" t="s">
        <v>50</v>
      </c>
      <c r="U969" s="1" t="s">
        <v>50</v>
      </c>
      <c r="V969" s="1" t="s">
        <v>50</v>
      </c>
      <c r="W969" s="1" t="s">
        <v>50</v>
      </c>
      <c r="X969" s="1" t="s">
        <v>2119</v>
      </c>
      <c r="Y969" s="1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>
        <v>1</v>
      </c>
      <c r="AW969" s="8">
        <v>1</v>
      </c>
      <c r="AX969" s="8">
        <v>1</v>
      </c>
      <c r="AY969" s="8">
        <v>1</v>
      </c>
      <c r="AZ969" s="8"/>
      <c r="BA969" s="8"/>
      <c r="BB969" s="1"/>
      <c r="BK969">
        <v>6</v>
      </c>
      <c r="BL969" s="58"/>
      <c r="BP969" t="str">
        <f t="shared" si="37"/>
        <v>FireDark</v>
      </c>
      <c r="BR969">
        <v>3</v>
      </c>
    </row>
    <row r="970" spans="1:70" x14ac:dyDescent="0.25">
      <c r="A970">
        <f t="shared" si="36"/>
        <v>917</v>
      </c>
      <c r="B970" t="s">
        <v>2220</v>
      </c>
      <c r="D970" s="1" t="s">
        <v>11</v>
      </c>
      <c r="E970" s="1" t="s">
        <v>14</v>
      </c>
      <c r="F970" s="1" t="s">
        <v>50</v>
      </c>
      <c r="G970" s="1" t="s">
        <v>50</v>
      </c>
      <c r="H970" s="1"/>
      <c r="I970" s="1" t="s">
        <v>50</v>
      </c>
      <c r="J970" s="1" t="s">
        <v>50</v>
      </c>
      <c r="K970" s="1" t="s">
        <v>50</v>
      </c>
      <c r="L970" s="1"/>
      <c r="M970" s="1" t="s">
        <v>50</v>
      </c>
      <c r="N970" s="1" t="s">
        <v>50</v>
      </c>
      <c r="O970" s="1" t="s">
        <v>50</v>
      </c>
      <c r="P970" s="1" t="s">
        <v>2063</v>
      </c>
      <c r="Q970" s="1" t="s">
        <v>104</v>
      </c>
      <c r="R970" s="1" t="s">
        <v>104</v>
      </c>
      <c r="S970" s="1" t="s">
        <v>104</v>
      </c>
      <c r="T970" s="1" t="s">
        <v>104</v>
      </c>
      <c r="U970" s="1" t="s">
        <v>104</v>
      </c>
      <c r="V970" s="1" t="s">
        <v>104</v>
      </c>
      <c r="W970" s="1" t="s">
        <v>104</v>
      </c>
      <c r="X970" s="1" t="s">
        <v>727</v>
      </c>
      <c r="Y970" s="1"/>
      <c r="Z970" s="8"/>
      <c r="AA970" s="8"/>
      <c r="AB970" s="8">
        <v>1</v>
      </c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>
        <v>1</v>
      </c>
      <c r="AX970" s="8"/>
      <c r="AY970" s="8"/>
      <c r="AZ970" s="8">
        <v>1</v>
      </c>
      <c r="BA970" s="8"/>
      <c r="BB970" s="1"/>
      <c r="BL970" s="58"/>
      <c r="BP970" t="str">
        <f t="shared" si="37"/>
        <v>GrassGhost</v>
      </c>
      <c r="BR970">
        <v>1</v>
      </c>
    </row>
    <row r="971" spans="1:70" x14ac:dyDescent="0.25">
      <c r="A971">
        <f t="shared" si="36"/>
        <v>918</v>
      </c>
      <c r="B971" t="s">
        <v>2221</v>
      </c>
      <c r="D971" s="1" t="s">
        <v>11</v>
      </c>
      <c r="E971" s="1" t="s">
        <v>14</v>
      </c>
      <c r="F971" s="1" t="s">
        <v>50</v>
      </c>
      <c r="G971" s="1" t="s">
        <v>50</v>
      </c>
      <c r="H971" s="1"/>
      <c r="I971" s="1" t="s">
        <v>50</v>
      </c>
      <c r="J971" s="1" t="s">
        <v>50</v>
      </c>
      <c r="K971" s="1" t="s">
        <v>50</v>
      </c>
      <c r="L971" s="1"/>
      <c r="M971" s="1" t="s">
        <v>104</v>
      </c>
      <c r="N971" s="1" t="s">
        <v>50</v>
      </c>
      <c r="O971" s="1" t="s">
        <v>50</v>
      </c>
      <c r="P971" s="1" t="s">
        <v>2063</v>
      </c>
      <c r="Q971" s="1" t="s">
        <v>104</v>
      </c>
      <c r="R971" s="1" t="s">
        <v>104</v>
      </c>
      <c r="S971" s="1" t="s">
        <v>104</v>
      </c>
      <c r="T971" s="1" t="s">
        <v>104</v>
      </c>
      <c r="U971" s="1" t="s">
        <v>104</v>
      </c>
      <c r="V971" s="1" t="s">
        <v>104</v>
      </c>
      <c r="W971" s="1" t="s">
        <v>104</v>
      </c>
      <c r="X971" s="1" t="s">
        <v>727</v>
      </c>
      <c r="Y971" s="1"/>
      <c r="Z971" s="8"/>
      <c r="AA971" s="8"/>
      <c r="AB971" s="8">
        <v>1</v>
      </c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>
        <v>1</v>
      </c>
      <c r="AX971" s="8"/>
      <c r="AY971" s="8"/>
      <c r="AZ971" s="8">
        <v>1</v>
      </c>
      <c r="BA971" s="8"/>
      <c r="BB971" s="1"/>
      <c r="BL971" s="58"/>
      <c r="BP971" t="str">
        <f t="shared" si="37"/>
        <v>GrassGhost</v>
      </c>
      <c r="BR971">
        <v>1</v>
      </c>
    </row>
    <row r="972" spans="1:70" x14ac:dyDescent="0.25">
      <c r="A972">
        <f t="shared" si="36"/>
        <v>919</v>
      </c>
      <c r="B972" t="s">
        <v>2222</v>
      </c>
      <c r="D972" s="1" t="s">
        <v>11</v>
      </c>
      <c r="E972" s="1" t="s">
        <v>14</v>
      </c>
      <c r="F972" s="1" t="s">
        <v>50</v>
      </c>
      <c r="G972" s="1" t="s">
        <v>50</v>
      </c>
      <c r="H972" s="1" t="s">
        <v>50</v>
      </c>
      <c r="I972" s="1" t="s">
        <v>50</v>
      </c>
      <c r="J972" s="1" t="s">
        <v>50</v>
      </c>
      <c r="K972" s="1" t="s">
        <v>50</v>
      </c>
      <c r="L972" s="1"/>
      <c r="M972" s="1" t="s">
        <v>104</v>
      </c>
      <c r="N972" s="1" t="s">
        <v>50</v>
      </c>
      <c r="O972" s="1" t="s">
        <v>50</v>
      </c>
      <c r="P972" s="1" t="s">
        <v>2063</v>
      </c>
      <c r="Q972" s="1" t="s">
        <v>50</v>
      </c>
      <c r="R972" s="1" t="s">
        <v>50</v>
      </c>
      <c r="S972" s="1" t="s">
        <v>50</v>
      </c>
      <c r="T972" s="1" t="s">
        <v>50</v>
      </c>
      <c r="U972" s="1" t="s">
        <v>50</v>
      </c>
      <c r="V972" s="1" t="s">
        <v>50</v>
      </c>
      <c r="W972" s="1" t="s">
        <v>50</v>
      </c>
      <c r="X972" s="1" t="s">
        <v>727</v>
      </c>
      <c r="Y972" s="1"/>
      <c r="Z972" s="8"/>
      <c r="AA972" s="8"/>
      <c r="AB972" s="8">
        <v>1</v>
      </c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>
        <v>1</v>
      </c>
      <c r="AX972" s="8"/>
      <c r="AY972" s="8"/>
      <c r="AZ972" s="8">
        <v>1</v>
      </c>
      <c r="BA972" s="8"/>
      <c r="BB972" s="1"/>
      <c r="BK972">
        <v>1</v>
      </c>
      <c r="BL972" s="58"/>
      <c r="BP972" t="str">
        <f t="shared" si="37"/>
        <v>GrassGhost</v>
      </c>
      <c r="BR972">
        <v>1</v>
      </c>
    </row>
    <row r="973" spans="1:70" x14ac:dyDescent="0.25">
      <c r="A973">
        <f t="shared" si="36"/>
        <v>920</v>
      </c>
      <c r="B973" t="s">
        <v>2223</v>
      </c>
      <c r="D973" s="1" t="s">
        <v>13</v>
      </c>
      <c r="E973" s="1" t="s">
        <v>7</v>
      </c>
      <c r="F973" s="1" t="s">
        <v>50</v>
      </c>
      <c r="G973" s="1" t="s">
        <v>50</v>
      </c>
      <c r="H973" s="1"/>
      <c r="I973" s="1" t="s">
        <v>50</v>
      </c>
      <c r="J973" s="1" t="s">
        <v>50</v>
      </c>
      <c r="K973" s="1" t="s">
        <v>50</v>
      </c>
      <c r="L973" s="1"/>
      <c r="M973" s="1" t="s">
        <v>50</v>
      </c>
      <c r="N973" s="1" t="s">
        <v>50</v>
      </c>
      <c r="O973" s="1" t="s">
        <v>50</v>
      </c>
      <c r="P973" s="1" t="s">
        <v>2063</v>
      </c>
      <c r="Q973" s="1" t="s">
        <v>104</v>
      </c>
      <c r="R973" s="1" t="s">
        <v>104</v>
      </c>
      <c r="S973" s="1" t="s">
        <v>104</v>
      </c>
      <c r="T973" s="1" t="s">
        <v>104</v>
      </c>
      <c r="U973" s="1" t="s">
        <v>104</v>
      </c>
      <c r="V973" s="1" t="s">
        <v>104</v>
      </c>
      <c r="W973" s="1" t="s">
        <v>104</v>
      </c>
      <c r="X973" s="1" t="s">
        <v>727</v>
      </c>
      <c r="Y973" s="8"/>
      <c r="Z973" s="8">
        <v>1</v>
      </c>
      <c r="AA973" s="8">
        <v>1</v>
      </c>
      <c r="AB973" s="8">
        <v>1</v>
      </c>
      <c r="AC973" s="8">
        <v>1</v>
      </c>
      <c r="AD973" s="8"/>
      <c r="AE973" s="8"/>
      <c r="AF973" s="8"/>
      <c r="AG973" s="8"/>
      <c r="AH973" s="8">
        <v>1</v>
      </c>
      <c r="AI973" s="8"/>
      <c r="AJ973" s="8"/>
      <c r="AK973" s="8"/>
      <c r="AL973" s="8"/>
      <c r="AM973" s="8"/>
      <c r="AN973" s="8"/>
      <c r="AO973" s="8">
        <v>1</v>
      </c>
      <c r="AP973" s="8"/>
      <c r="AQ973" s="8"/>
      <c r="AR973" s="8"/>
      <c r="AS973" s="8"/>
      <c r="AT973" s="8"/>
      <c r="AU973" s="8"/>
      <c r="AV973" s="8">
        <v>1</v>
      </c>
      <c r="AW973" s="8"/>
      <c r="AX973" s="8"/>
      <c r="AY973" s="8"/>
      <c r="AZ973" s="8">
        <v>1</v>
      </c>
      <c r="BA973" s="8"/>
      <c r="BB973" s="1"/>
      <c r="BL973" s="58"/>
      <c r="BP973" t="str">
        <f t="shared" si="37"/>
        <v>FireFairy</v>
      </c>
      <c r="BR973">
        <v>5</v>
      </c>
    </row>
    <row r="974" spans="1:70" x14ac:dyDescent="0.25">
      <c r="A974">
        <f t="shared" si="36"/>
        <v>921</v>
      </c>
      <c r="B974" t="s">
        <v>2224</v>
      </c>
      <c r="D974" s="1" t="s">
        <v>13</v>
      </c>
      <c r="E974" s="1" t="s">
        <v>7</v>
      </c>
      <c r="F974" s="1" t="s">
        <v>50</v>
      </c>
      <c r="G974" s="1" t="s">
        <v>50</v>
      </c>
      <c r="H974" s="1" t="s">
        <v>50</v>
      </c>
      <c r="I974" s="1" t="s">
        <v>50</v>
      </c>
      <c r="J974" s="1" t="s">
        <v>50</v>
      </c>
      <c r="K974" s="1" t="s">
        <v>50</v>
      </c>
      <c r="L974" s="1"/>
      <c r="M974" s="1" t="s">
        <v>104</v>
      </c>
      <c r="N974" s="1" t="s">
        <v>50</v>
      </c>
      <c r="O974" s="1" t="s">
        <v>50</v>
      </c>
      <c r="P974" s="1" t="s">
        <v>2063</v>
      </c>
      <c r="Q974" s="1" t="s">
        <v>104</v>
      </c>
      <c r="R974" s="1" t="s">
        <v>104</v>
      </c>
      <c r="S974" s="1" t="s">
        <v>104</v>
      </c>
      <c r="T974" s="1" t="s">
        <v>104</v>
      </c>
      <c r="U974" s="1" t="s">
        <v>104</v>
      </c>
      <c r="V974" s="1" t="s">
        <v>104</v>
      </c>
      <c r="W974" s="1" t="s">
        <v>104</v>
      </c>
      <c r="X974" s="1" t="s">
        <v>727</v>
      </c>
      <c r="Y974" s="8"/>
      <c r="Z974" s="8">
        <v>1</v>
      </c>
      <c r="AA974" s="8">
        <v>1</v>
      </c>
      <c r="AB974" s="8">
        <v>1</v>
      </c>
      <c r="AC974" s="8">
        <v>1</v>
      </c>
      <c r="AD974" s="8"/>
      <c r="AE974" s="8"/>
      <c r="AF974" s="8"/>
      <c r="AG974" s="8"/>
      <c r="AH974" s="8">
        <v>1</v>
      </c>
      <c r="AI974" s="8"/>
      <c r="AJ974" s="8"/>
      <c r="AK974" s="8"/>
      <c r="AL974" s="8"/>
      <c r="AM974" s="8"/>
      <c r="AN974" s="8"/>
      <c r="AO974" s="8">
        <v>1</v>
      </c>
      <c r="AP974" s="8"/>
      <c r="AQ974" s="8"/>
      <c r="AR974" s="8"/>
      <c r="AS974" s="8"/>
      <c r="AT974" s="8"/>
      <c r="AU974" s="8"/>
      <c r="AV974" s="8">
        <v>1</v>
      </c>
      <c r="AW974" s="8"/>
      <c r="AX974" s="8"/>
      <c r="AY974" s="8"/>
      <c r="AZ974" s="8">
        <v>1</v>
      </c>
      <c r="BA974" s="8"/>
      <c r="BB974" s="1"/>
      <c r="BL974" s="58">
        <v>1</v>
      </c>
      <c r="BP974" t="str">
        <f t="shared" si="37"/>
        <v>FireFairy</v>
      </c>
      <c r="BR974">
        <v>5</v>
      </c>
    </row>
    <row r="975" spans="1:70" x14ac:dyDescent="0.25">
      <c r="A975">
        <f t="shared" si="36"/>
        <v>922</v>
      </c>
      <c r="B975" t="s">
        <v>2225</v>
      </c>
      <c r="D975" s="1" t="s">
        <v>42</v>
      </c>
      <c r="E975" s="1" t="s">
        <v>4</v>
      </c>
      <c r="F975" s="1" t="s">
        <v>50</v>
      </c>
      <c r="G975" s="1" t="s">
        <v>50</v>
      </c>
      <c r="H975" s="1"/>
      <c r="I975" s="1" t="s">
        <v>50</v>
      </c>
      <c r="J975" s="1" t="s">
        <v>50</v>
      </c>
      <c r="K975" s="1" t="s">
        <v>50</v>
      </c>
      <c r="L975" s="1"/>
      <c r="M975" s="1" t="s">
        <v>50</v>
      </c>
      <c r="N975" s="1" t="s">
        <v>50</v>
      </c>
      <c r="O975" s="1" t="s">
        <v>50</v>
      </c>
      <c r="P975" s="1" t="s">
        <v>1707</v>
      </c>
      <c r="Q975" s="1" t="s">
        <v>104</v>
      </c>
      <c r="R975" s="1" t="s">
        <v>104</v>
      </c>
      <c r="S975" s="1" t="s">
        <v>104</v>
      </c>
      <c r="T975" s="1" t="s">
        <v>104</v>
      </c>
      <c r="U975" s="1" t="s">
        <v>104</v>
      </c>
      <c r="V975" s="1" t="s">
        <v>104</v>
      </c>
      <c r="W975" s="1" t="s">
        <v>104</v>
      </c>
      <c r="X975" s="1" t="s">
        <v>2227</v>
      </c>
      <c r="Y975" s="1"/>
      <c r="Z975" s="8"/>
      <c r="AA975" s="8"/>
      <c r="AB975" s="8"/>
      <c r="AC975" s="8">
        <v>1</v>
      </c>
      <c r="AD975" s="8"/>
      <c r="AE975" s="8">
        <v>1</v>
      </c>
      <c r="AF975" s="8">
        <v>1</v>
      </c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>
        <v>1</v>
      </c>
      <c r="AT975" s="8"/>
      <c r="AU975" s="8">
        <v>1</v>
      </c>
      <c r="AV975" s="8"/>
      <c r="AW975" s="8"/>
      <c r="AX975" s="8"/>
      <c r="AY975" s="8"/>
      <c r="AZ975" s="8"/>
      <c r="BA975" s="8"/>
      <c r="BB975" s="1"/>
      <c r="BL975" s="58"/>
      <c r="BP975" t="str">
        <f t="shared" si="37"/>
        <v>CosmicPsychic</v>
      </c>
      <c r="BR975">
        <v>7</v>
      </c>
    </row>
    <row r="976" spans="1:70" x14ac:dyDescent="0.25">
      <c r="A976">
        <f t="shared" si="36"/>
        <v>923</v>
      </c>
      <c r="B976" t="s">
        <v>2226</v>
      </c>
      <c r="D976" s="1" t="s">
        <v>42</v>
      </c>
      <c r="E976" s="1" t="s">
        <v>4</v>
      </c>
      <c r="F976" s="1" t="s">
        <v>50</v>
      </c>
      <c r="G976" s="1" t="s">
        <v>50</v>
      </c>
      <c r="H976" s="1" t="s">
        <v>50</v>
      </c>
      <c r="I976" s="1" t="s">
        <v>50</v>
      </c>
      <c r="J976" s="1" t="s">
        <v>50</v>
      </c>
      <c r="K976" s="1" t="s">
        <v>50</v>
      </c>
      <c r="L976" s="1"/>
      <c r="M976" s="1" t="s">
        <v>104</v>
      </c>
      <c r="N976" s="1" t="s">
        <v>50</v>
      </c>
      <c r="O976" s="1" t="s">
        <v>50</v>
      </c>
      <c r="P976" s="1" t="s">
        <v>1707</v>
      </c>
      <c r="Q976" s="1" t="s">
        <v>104</v>
      </c>
      <c r="R976" s="1" t="s">
        <v>104</v>
      </c>
      <c r="S976" s="1" t="s">
        <v>104</v>
      </c>
      <c r="T976" s="1" t="s">
        <v>104</v>
      </c>
      <c r="U976" s="1" t="s">
        <v>104</v>
      </c>
      <c r="V976" s="1" t="s">
        <v>104</v>
      </c>
      <c r="W976" s="1" t="s">
        <v>104</v>
      </c>
      <c r="X976" s="1" t="s">
        <v>2227</v>
      </c>
      <c r="Y976" s="1"/>
      <c r="Z976" s="8"/>
      <c r="AA976" s="8"/>
      <c r="AB976" s="8"/>
      <c r="AC976" s="8">
        <v>1</v>
      </c>
      <c r="AD976" s="8"/>
      <c r="AE976" s="8">
        <v>1</v>
      </c>
      <c r="AF976" s="8">
        <v>1</v>
      </c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>
        <v>1</v>
      </c>
      <c r="AT976" s="8"/>
      <c r="AU976" s="8">
        <v>1</v>
      </c>
      <c r="AV976" s="8"/>
      <c r="AW976" s="8"/>
      <c r="AX976" s="8"/>
      <c r="AY976" s="8"/>
      <c r="AZ976" s="8"/>
      <c r="BA976" s="8"/>
      <c r="BB976" s="1"/>
      <c r="BL976" s="58">
        <v>1</v>
      </c>
      <c r="BP976" t="str">
        <f t="shared" si="37"/>
        <v>CosmicPsychic</v>
      </c>
      <c r="BR976">
        <v>2</v>
      </c>
    </row>
    <row r="977" spans="1:70" x14ac:dyDescent="0.25">
      <c r="A977">
        <f t="shared" si="36"/>
        <v>924</v>
      </c>
      <c r="B977" t="s">
        <v>2232</v>
      </c>
      <c r="D977" s="1" t="s">
        <v>13</v>
      </c>
      <c r="E977" s="1" t="s">
        <v>9</v>
      </c>
      <c r="F977" s="1" t="s">
        <v>50</v>
      </c>
      <c r="G977" s="1" t="s">
        <v>50</v>
      </c>
      <c r="H977" s="1"/>
      <c r="I977" s="1" t="s">
        <v>50</v>
      </c>
      <c r="J977" s="1" t="s">
        <v>50</v>
      </c>
      <c r="K977" s="1" t="s">
        <v>50</v>
      </c>
      <c r="L977" s="1"/>
      <c r="M977" s="1" t="s">
        <v>50</v>
      </c>
      <c r="N977" s="1" t="s">
        <v>50</v>
      </c>
      <c r="O977" s="1" t="s">
        <v>50</v>
      </c>
      <c r="P977" s="1" t="s">
        <v>2059</v>
      </c>
      <c r="Q977" s="1" t="s">
        <v>104</v>
      </c>
      <c r="R977" s="1" t="s">
        <v>104</v>
      </c>
      <c r="S977" s="1" t="s">
        <v>104</v>
      </c>
      <c r="T977" s="1" t="s">
        <v>104</v>
      </c>
      <c r="U977" s="1" t="s">
        <v>104</v>
      </c>
      <c r="V977" s="1" t="s">
        <v>104</v>
      </c>
      <c r="W977" s="1" t="s">
        <v>104</v>
      </c>
      <c r="X977" s="1" t="s">
        <v>2144</v>
      </c>
      <c r="Y977" s="1"/>
      <c r="Z977" s="8"/>
      <c r="AA977" s="8"/>
      <c r="AB977" s="8"/>
      <c r="AC977" s="8"/>
      <c r="AD977" s="8"/>
      <c r="AE977" s="8">
        <v>1</v>
      </c>
      <c r="AF977" s="8">
        <v>1</v>
      </c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>
        <v>1</v>
      </c>
      <c r="AX977" s="8">
        <v>1</v>
      </c>
      <c r="AY977" s="8">
        <v>1</v>
      </c>
      <c r="AZ977" s="8"/>
      <c r="BA977" s="8"/>
      <c r="BB977" s="1"/>
      <c r="BL977" s="58"/>
      <c r="BP977" t="str">
        <f t="shared" si="37"/>
        <v>FireRock</v>
      </c>
      <c r="BR977">
        <v>2</v>
      </c>
    </row>
    <row r="978" spans="1:70" x14ac:dyDescent="0.25">
      <c r="A978">
        <f t="shared" si="36"/>
        <v>925</v>
      </c>
      <c r="B978" t="s">
        <v>2233</v>
      </c>
      <c r="D978" s="1" t="s">
        <v>13</v>
      </c>
      <c r="E978" s="1" t="s">
        <v>9</v>
      </c>
      <c r="F978" s="1" t="s">
        <v>50</v>
      </c>
      <c r="G978" s="1" t="s">
        <v>50</v>
      </c>
      <c r="H978" s="1"/>
      <c r="I978" s="1" t="s">
        <v>50</v>
      </c>
      <c r="J978" s="1" t="s">
        <v>50</v>
      </c>
      <c r="K978" s="1" t="s">
        <v>50</v>
      </c>
      <c r="L978" s="1"/>
      <c r="M978" s="1" t="s">
        <v>104</v>
      </c>
      <c r="N978" s="1" t="s">
        <v>50</v>
      </c>
      <c r="O978" s="1" t="s">
        <v>50</v>
      </c>
      <c r="P978" s="1" t="s">
        <v>2059</v>
      </c>
      <c r="Q978" s="1" t="s">
        <v>104</v>
      </c>
      <c r="R978" s="1" t="s">
        <v>104</v>
      </c>
      <c r="S978" s="1" t="s">
        <v>104</v>
      </c>
      <c r="T978" s="1" t="s">
        <v>104</v>
      </c>
      <c r="U978" s="1" t="s">
        <v>104</v>
      </c>
      <c r="V978" s="1" t="s">
        <v>104</v>
      </c>
      <c r="W978" s="1" t="s">
        <v>104</v>
      </c>
      <c r="X978" s="1" t="s">
        <v>2144</v>
      </c>
      <c r="Y978" s="1"/>
      <c r="Z978" s="8"/>
      <c r="AA978" s="8"/>
      <c r="AB978" s="8"/>
      <c r="AC978" s="8"/>
      <c r="AD978" s="8"/>
      <c r="AE978" s="8">
        <v>1</v>
      </c>
      <c r="AF978" s="8">
        <v>1</v>
      </c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>
        <v>1</v>
      </c>
      <c r="AX978" s="8">
        <v>1</v>
      </c>
      <c r="AY978" s="8">
        <v>1</v>
      </c>
      <c r="AZ978" s="8"/>
      <c r="BA978" s="8"/>
      <c r="BB978" s="1"/>
      <c r="BL978" s="58"/>
      <c r="BP978" t="str">
        <f t="shared" si="37"/>
        <v>FireRock</v>
      </c>
      <c r="BR978">
        <v>1</v>
      </c>
    </row>
    <row r="979" spans="1:70" x14ac:dyDescent="0.25">
      <c r="A979">
        <f t="shared" si="36"/>
        <v>926</v>
      </c>
      <c r="B979" t="s">
        <v>2234</v>
      </c>
      <c r="D979" s="1" t="s">
        <v>13</v>
      </c>
      <c r="E979" s="1" t="s">
        <v>9</v>
      </c>
      <c r="F979" s="1" t="s">
        <v>50</v>
      </c>
      <c r="G979" s="1" t="s">
        <v>50</v>
      </c>
      <c r="H979" s="1" t="s">
        <v>50</v>
      </c>
      <c r="I979" s="1" t="s">
        <v>50</v>
      </c>
      <c r="J979" s="1" t="s">
        <v>50</v>
      </c>
      <c r="K979" s="1" t="s">
        <v>50</v>
      </c>
      <c r="L979" s="1"/>
      <c r="M979" s="1" t="s">
        <v>104</v>
      </c>
      <c r="N979" s="1" t="s">
        <v>50</v>
      </c>
      <c r="O979" s="1" t="s">
        <v>50</v>
      </c>
      <c r="P979" s="1" t="s">
        <v>2059</v>
      </c>
      <c r="Q979" s="1" t="s">
        <v>104</v>
      </c>
      <c r="R979" s="1" t="s">
        <v>104</v>
      </c>
      <c r="S979" s="1" t="s">
        <v>104</v>
      </c>
      <c r="T979" s="1" t="s">
        <v>104</v>
      </c>
      <c r="U979" s="1" t="s">
        <v>104</v>
      </c>
      <c r="V979" s="1" t="s">
        <v>104</v>
      </c>
      <c r="W979" s="1" t="s">
        <v>104</v>
      </c>
      <c r="X979" s="1" t="s">
        <v>2144</v>
      </c>
      <c r="Y979" s="1"/>
      <c r="Z979" s="8"/>
      <c r="AA979" s="8"/>
      <c r="AB979" s="8"/>
      <c r="AC979" s="8"/>
      <c r="AD979" s="8"/>
      <c r="AE979" s="8">
        <v>1</v>
      </c>
      <c r="AF979" s="8">
        <v>1</v>
      </c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>
        <v>1</v>
      </c>
      <c r="AX979" s="8">
        <v>1</v>
      </c>
      <c r="AY979" s="8">
        <v>1</v>
      </c>
      <c r="AZ979" s="8"/>
      <c r="BA979" s="8"/>
      <c r="BB979" s="1"/>
      <c r="BK979">
        <v>1</v>
      </c>
      <c r="BL979" s="58"/>
      <c r="BP979" t="str">
        <f t="shared" si="37"/>
        <v>FireRock</v>
      </c>
      <c r="BR979">
        <v>1</v>
      </c>
    </row>
    <row r="980" spans="1:70" x14ac:dyDescent="0.25">
      <c r="A980">
        <f t="shared" si="36"/>
        <v>927</v>
      </c>
      <c r="B980" t="s">
        <v>2240</v>
      </c>
      <c r="D980" s="1" t="s">
        <v>8</v>
      </c>
      <c r="E980" s="1" t="s">
        <v>1</v>
      </c>
      <c r="F980" s="1" t="s">
        <v>50</v>
      </c>
      <c r="G980" s="1" t="s">
        <v>50</v>
      </c>
      <c r="H980" s="1"/>
      <c r="I980" s="1" t="s">
        <v>50</v>
      </c>
      <c r="J980" s="1" t="s">
        <v>50</v>
      </c>
      <c r="K980" s="1" t="s">
        <v>50</v>
      </c>
      <c r="L980" s="1"/>
      <c r="M980" s="1" t="s">
        <v>50</v>
      </c>
      <c r="N980" s="1" t="s">
        <v>50</v>
      </c>
      <c r="O980" s="1" t="s">
        <v>50</v>
      </c>
      <c r="P980" s="1" t="s">
        <v>810</v>
      </c>
      <c r="Q980" s="1" t="s">
        <v>104</v>
      </c>
      <c r="R980" s="1" t="s">
        <v>104</v>
      </c>
      <c r="S980" s="1" t="s">
        <v>104</v>
      </c>
      <c r="T980" s="1" t="s">
        <v>104</v>
      </c>
      <c r="U980" s="1" t="s">
        <v>104</v>
      </c>
      <c r="V980" s="1" t="s">
        <v>104</v>
      </c>
      <c r="W980" s="1" t="s">
        <v>104</v>
      </c>
      <c r="X980" s="1" t="s">
        <v>2144</v>
      </c>
      <c r="Y980" s="1"/>
      <c r="Z980" s="8"/>
      <c r="AA980" s="8"/>
      <c r="AB980" s="8"/>
      <c r="AC980" s="8"/>
      <c r="AD980" s="8"/>
      <c r="AE980" s="8">
        <v>1</v>
      </c>
      <c r="AF980" s="8">
        <v>1</v>
      </c>
      <c r="AG980" s="8">
        <v>1</v>
      </c>
      <c r="AH980" s="8">
        <v>1</v>
      </c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>
        <v>1</v>
      </c>
      <c r="AY980" s="8">
        <v>1</v>
      </c>
      <c r="AZ980" s="8"/>
      <c r="BA980" s="8"/>
      <c r="BB980" s="1"/>
      <c r="BL980" s="58"/>
      <c r="BP980" t="str">
        <f t="shared" si="37"/>
        <v>GroundNormal</v>
      </c>
      <c r="BR980">
        <v>9</v>
      </c>
    </row>
    <row r="981" spans="1:70" x14ac:dyDescent="0.25">
      <c r="A981">
        <f t="shared" si="36"/>
        <v>928</v>
      </c>
      <c r="B981" t="s">
        <v>2241</v>
      </c>
      <c r="D981" s="1" t="s">
        <v>8</v>
      </c>
      <c r="E981" s="1" t="s">
        <v>1</v>
      </c>
      <c r="F981" s="1" t="s">
        <v>50</v>
      </c>
      <c r="G981" s="1" t="s">
        <v>50</v>
      </c>
      <c r="H981" s="1" t="s">
        <v>50</v>
      </c>
      <c r="I981" s="1" t="s">
        <v>50</v>
      </c>
      <c r="J981" s="1" t="s">
        <v>50</v>
      </c>
      <c r="K981" s="1" t="s">
        <v>50</v>
      </c>
      <c r="L981" s="1"/>
      <c r="M981" s="1" t="s">
        <v>104</v>
      </c>
      <c r="N981" s="1" t="s">
        <v>50</v>
      </c>
      <c r="O981" s="1" t="s">
        <v>50</v>
      </c>
      <c r="P981" s="1" t="s">
        <v>810</v>
      </c>
      <c r="Q981" s="1" t="s">
        <v>104</v>
      </c>
      <c r="R981" s="1" t="s">
        <v>104</v>
      </c>
      <c r="S981" s="1" t="s">
        <v>104</v>
      </c>
      <c r="T981" s="1" t="s">
        <v>104</v>
      </c>
      <c r="U981" s="1" t="s">
        <v>104</v>
      </c>
      <c r="V981" s="1" t="s">
        <v>104</v>
      </c>
      <c r="W981" s="1" t="s">
        <v>104</v>
      </c>
      <c r="X981" s="1" t="s">
        <v>2144</v>
      </c>
      <c r="Y981" s="1"/>
      <c r="Z981" s="8"/>
      <c r="AA981" s="8"/>
      <c r="AB981" s="8"/>
      <c r="AC981" s="8"/>
      <c r="AD981" s="8"/>
      <c r="AE981" s="8">
        <v>1</v>
      </c>
      <c r="AF981" s="8">
        <v>1</v>
      </c>
      <c r="AG981" s="8">
        <v>1</v>
      </c>
      <c r="AH981" s="8">
        <v>1</v>
      </c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>
        <v>1</v>
      </c>
      <c r="AY981" s="8">
        <v>1</v>
      </c>
      <c r="AZ981" s="8"/>
      <c r="BA981" s="8"/>
      <c r="BB981" s="1"/>
      <c r="BL981" s="58">
        <v>1</v>
      </c>
      <c r="BP981" t="str">
        <f t="shared" si="37"/>
        <v>GroundNormal</v>
      </c>
      <c r="BR981">
        <v>9</v>
      </c>
    </row>
    <row r="982" spans="1:70" x14ac:dyDescent="0.25">
      <c r="A982">
        <f t="shared" si="36"/>
        <v>929</v>
      </c>
      <c r="B982" t="s">
        <v>2242</v>
      </c>
      <c r="D982" s="1" t="s">
        <v>42</v>
      </c>
      <c r="E982" s="1" t="s">
        <v>41</v>
      </c>
      <c r="F982" s="1" t="s">
        <v>50</v>
      </c>
      <c r="G982" s="1" t="s">
        <v>50</v>
      </c>
      <c r="H982" s="1" t="s">
        <v>50</v>
      </c>
      <c r="I982" s="1" t="s">
        <v>50</v>
      </c>
      <c r="J982" s="1" t="s">
        <v>50</v>
      </c>
      <c r="K982" s="1" t="s">
        <v>50</v>
      </c>
      <c r="L982" s="1"/>
      <c r="M982" s="1" t="s">
        <v>50</v>
      </c>
      <c r="N982" s="1" t="s">
        <v>50</v>
      </c>
      <c r="O982" s="1" t="s">
        <v>50</v>
      </c>
      <c r="P982" s="13" t="s">
        <v>2428</v>
      </c>
      <c r="Q982" s="1" t="s">
        <v>104</v>
      </c>
      <c r="R982" s="1" t="s">
        <v>104</v>
      </c>
      <c r="S982" s="1" t="s">
        <v>104</v>
      </c>
      <c r="T982" s="1" t="s">
        <v>104</v>
      </c>
      <c r="U982" s="1" t="s">
        <v>104</v>
      </c>
      <c r="V982" s="1" t="s">
        <v>104</v>
      </c>
      <c r="W982" s="1" t="s">
        <v>104</v>
      </c>
      <c r="X982" s="1" t="s">
        <v>2144</v>
      </c>
      <c r="Y982" s="1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>
        <v>1</v>
      </c>
      <c r="AV982" s="8"/>
      <c r="AW982" s="8"/>
      <c r="AX982" s="8"/>
      <c r="AY982" s="8"/>
      <c r="AZ982" s="8"/>
      <c r="BA982" s="8"/>
      <c r="BB982" s="1"/>
      <c r="BK982">
        <v>3</v>
      </c>
      <c r="BL982" s="58"/>
      <c r="BP982" t="str">
        <f t="shared" si="37"/>
        <v>CosmicSound</v>
      </c>
      <c r="BR982">
        <v>7</v>
      </c>
    </row>
    <row r="983" spans="1:70" x14ac:dyDescent="0.25">
      <c r="A983">
        <f t="shared" si="36"/>
        <v>930</v>
      </c>
      <c r="B983" t="s">
        <v>2243</v>
      </c>
      <c r="D983" s="1" t="s">
        <v>3</v>
      </c>
      <c r="E983" s="1" t="s">
        <v>5</v>
      </c>
      <c r="F983" s="1" t="s">
        <v>50</v>
      </c>
      <c r="G983" s="1" t="s">
        <v>50</v>
      </c>
      <c r="H983" s="1" t="s">
        <v>50</v>
      </c>
      <c r="I983" s="1" t="s">
        <v>50</v>
      </c>
      <c r="J983" s="1" t="s">
        <v>50</v>
      </c>
      <c r="K983" s="1" t="s">
        <v>50</v>
      </c>
      <c r="L983" s="1"/>
      <c r="M983" s="1" t="s">
        <v>104</v>
      </c>
      <c r="N983" s="1" t="s">
        <v>50</v>
      </c>
      <c r="O983" s="1" t="s">
        <v>50</v>
      </c>
      <c r="P983" s="1" t="s">
        <v>1733</v>
      </c>
      <c r="Q983" s="1" t="s">
        <v>104</v>
      </c>
      <c r="R983" s="1" t="s">
        <v>104</v>
      </c>
      <c r="S983" s="1" t="s">
        <v>104</v>
      </c>
      <c r="T983" s="1" t="s">
        <v>104</v>
      </c>
      <c r="U983" s="1" t="s">
        <v>104</v>
      </c>
      <c r="V983" s="1" t="s">
        <v>104</v>
      </c>
      <c r="W983" s="1" t="s">
        <v>104</v>
      </c>
      <c r="X983" s="1" t="s">
        <v>2144</v>
      </c>
      <c r="Y983" s="1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>
        <v>1</v>
      </c>
      <c r="AP983" s="8">
        <v>1</v>
      </c>
      <c r="AQ983" s="8">
        <v>1</v>
      </c>
      <c r="AR983" s="8">
        <v>1</v>
      </c>
      <c r="AS983" s="8"/>
      <c r="AT983" s="8"/>
      <c r="AU983" s="8"/>
      <c r="AV983" s="8"/>
      <c r="AW983" s="8"/>
      <c r="AX983" s="8"/>
      <c r="AY983" s="8"/>
      <c r="AZ983" s="8"/>
      <c r="BA983" s="8"/>
      <c r="BB983" s="1"/>
      <c r="BL983" s="58"/>
      <c r="BP983" t="str">
        <f t="shared" si="37"/>
        <v>ElectricIce</v>
      </c>
      <c r="BR983">
        <v>8</v>
      </c>
    </row>
    <row r="984" spans="1:70" x14ac:dyDescent="0.25">
      <c r="A984">
        <f t="shared" ref="A984:A1016" si="38">A983+1</f>
        <v>931</v>
      </c>
      <c r="B984" t="s">
        <v>2244</v>
      </c>
      <c r="D984" s="1" t="s">
        <v>6</v>
      </c>
      <c r="E984" s="1" t="s">
        <v>44</v>
      </c>
      <c r="F984" s="1" t="s">
        <v>50</v>
      </c>
      <c r="G984" s="1" t="s">
        <v>50</v>
      </c>
      <c r="H984" s="1"/>
      <c r="I984" s="1" t="s">
        <v>50</v>
      </c>
      <c r="J984" s="1" t="s">
        <v>50</v>
      </c>
      <c r="K984" s="1" t="s">
        <v>50</v>
      </c>
      <c r="L984" s="1"/>
      <c r="M984" s="1" t="s">
        <v>50</v>
      </c>
      <c r="N984" s="1" t="s">
        <v>50</v>
      </c>
      <c r="O984" s="1" t="s">
        <v>50</v>
      </c>
      <c r="P984" s="1" t="s">
        <v>2380</v>
      </c>
      <c r="Q984" s="1" t="s">
        <v>104</v>
      </c>
      <c r="R984" s="1" t="s">
        <v>104</v>
      </c>
      <c r="S984" s="1" t="s">
        <v>104</v>
      </c>
      <c r="T984" s="1" t="s">
        <v>104</v>
      </c>
      <c r="U984" s="1" t="s">
        <v>104</v>
      </c>
      <c r="V984" s="1" t="s">
        <v>104</v>
      </c>
      <c r="W984" s="1" t="s">
        <v>104</v>
      </c>
      <c r="X984" s="1" t="s">
        <v>2144</v>
      </c>
      <c r="Y984" s="1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>
        <v>1</v>
      </c>
      <c r="AT984" s="8">
        <v>1</v>
      </c>
      <c r="AU984" s="8"/>
      <c r="AV984" s="8"/>
      <c r="AW984" s="8"/>
      <c r="AX984" s="8"/>
      <c r="AY984" s="8"/>
      <c r="AZ984" s="8"/>
      <c r="BA984" s="8"/>
      <c r="BB984" s="1"/>
      <c r="BL984" s="58"/>
      <c r="BP984" t="str">
        <f t="shared" si="37"/>
        <v>SteelLight</v>
      </c>
      <c r="BR984">
        <v>7</v>
      </c>
    </row>
    <row r="985" spans="1:70" x14ac:dyDescent="0.25">
      <c r="A985">
        <f t="shared" si="38"/>
        <v>932</v>
      </c>
      <c r="B985" t="s">
        <v>2245</v>
      </c>
      <c r="D985" s="1" t="s">
        <v>6</v>
      </c>
      <c r="E985" s="1" t="s">
        <v>44</v>
      </c>
      <c r="F985" s="1" t="s">
        <v>50</v>
      </c>
      <c r="G985" s="1" t="s">
        <v>50</v>
      </c>
      <c r="H985" s="1"/>
      <c r="I985" s="1" t="s">
        <v>50</v>
      </c>
      <c r="J985" s="1" t="s">
        <v>50</v>
      </c>
      <c r="K985" s="1" t="s">
        <v>50</v>
      </c>
      <c r="L985" s="1"/>
      <c r="M985" s="1" t="s">
        <v>104</v>
      </c>
      <c r="N985" s="1" t="s">
        <v>50</v>
      </c>
      <c r="O985" s="1" t="s">
        <v>50</v>
      </c>
      <c r="P985" s="1" t="s">
        <v>2380</v>
      </c>
      <c r="Q985" s="1" t="s">
        <v>104</v>
      </c>
      <c r="R985" s="1" t="s">
        <v>104</v>
      </c>
      <c r="S985" s="1" t="s">
        <v>104</v>
      </c>
      <c r="T985" s="1" t="s">
        <v>104</v>
      </c>
      <c r="U985" s="1" t="s">
        <v>104</v>
      </c>
      <c r="V985" s="1" t="s">
        <v>104</v>
      </c>
      <c r="W985" s="1" t="s">
        <v>104</v>
      </c>
      <c r="X985" s="1" t="s">
        <v>2144</v>
      </c>
      <c r="Y985" s="1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>
        <v>1</v>
      </c>
      <c r="AT985" s="8">
        <v>1</v>
      </c>
      <c r="AU985" s="8"/>
      <c r="AV985" s="8"/>
      <c r="AW985" s="8"/>
      <c r="AX985" s="8"/>
      <c r="AY985" s="8"/>
      <c r="AZ985" s="8"/>
      <c r="BA985" s="8"/>
      <c r="BB985" s="1"/>
      <c r="BL985" s="58"/>
      <c r="BP985" t="str">
        <f t="shared" si="37"/>
        <v>SteelLight</v>
      </c>
      <c r="BR985">
        <v>7</v>
      </c>
    </row>
    <row r="986" spans="1:70" x14ac:dyDescent="0.25">
      <c r="A986">
        <f t="shared" si="38"/>
        <v>933</v>
      </c>
      <c r="B986" t="s">
        <v>2246</v>
      </c>
      <c r="D986" s="1" t="s">
        <v>6</v>
      </c>
      <c r="E986" s="1" t="s">
        <v>44</v>
      </c>
      <c r="F986" s="1" t="s">
        <v>50</v>
      </c>
      <c r="G986" s="1" t="s">
        <v>50</v>
      </c>
      <c r="H986" s="1" t="s">
        <v>50</v>
      </c>
      <c r="I986" s="1" t="s">
        <v>50</v>
      </c>
      <c r="J986" s="1" t="s">
        <v>50</v>
      </c>
      <c r="K986" s="1" t="s">
        <v>50</v>
      </c>
      <c r="L986" s="1"/>
      <c r="M986" s="1" t="s">
        <v>104</v>
      </c>
      <c r="N986" s="1" t="s">
        <v>50</v>
      </c>
      <c r="O986" s="1" t="s">
        <v>50</v>
      </c>
      <c r="P986" s="1" t="s">
        <v>2380</v>
      </c>
      <c r="Q986" s="1" t="s">
        <v>104</v>
      </c>
      <c r="R986" s="1" t="s">
        <v>104</v>
      </c>
      <c r="S986" s="1" t="s">
        <v>104</v>
      </c>
      <c r="T986" s="1" t="s">
        <v>104</v>
      </c>
      <c r="U986" s="1" t="s">
        <v>104</v>
      </c>
      <c r="V986" s="1" t="s">
        <v>104</v>
      </c>
      <c r="W986" s="1" t="s">
        <v>104</v>
      </c>
      <c r="X986" s="1" t="s">
        <v>2144</v>
      </c>
      <c r="Y986" s="1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>
        <v>1</v>
      </c>
      <c r="AT986" s="8">
        <v>1</v>
      </c>
      <c r="AU986" s="8"/>
      <c r="AV986" s="8"/>
      <c r="AW986" s="8"/>
      <c r="AX986" s="8"/>
      <c r="AY986" s="8"/>
      <c r="AZ986" s="8"/>
      <c r="BA986" s="8"/>
      <c r="BB986" s="1"/>
      <c r="BL986" s="58"/>
      <c r="BP986" t="str">
        <f t="shared" si="37"/>
        <v>SteelLight</v>
      </c>
      <c r="BR986">
        <v>7</v>
      </c>
    </row>
    <row r="987" spans="1:70" x14ac:dyDescent="0.25">
      <c r="A987">
        <f t="shared" si="38"/>
        <v>934</v>
      </c>
      <c r="B987" t="s">
        <v>2247</v>
      </c>
      <c r="D987" s="1" t="s">
        <v>5</v>
      </c>
      <c r="E987" s="1" t="s">
        <v>10</v>
      </c>
      <c r="F987" s="1" t="s">
        <v>50</v>
      </c>
      <c r="G987" s="1" t="s">
        <v>50</v>
      </c>
      <c r="H987" s="1"/>
      <c r="I987" s="1" t="s">
        <v>50</v>
      </c>
      <c r="J987" s="1" t="s">
        <v>50</v>
      </c>
      <c r="K987" s="1" t="s">
        <v>50</v>
      </c>
      <c r="L987" s="1"/>
      <c r="M987" s="1" t="s">
        <v>50</v>
      </c>
      <c r="N987" s="1" t="s">
        <v>50</v>
      </c>
      <c r="O987" s="1" t="s">
        <v>50</v>
      </c>
      <c r="P987" s="13" t="s">
        <v>2427</v>
      </c>
      <c r="Q987" s="1" t="s">
        <v>104</v>
      </c>
      <c r="R987" s="1" t="s">
        <v>104</v>
      </c>
      <c r="S987" s="1" t="s">
        <v>104</v>
      </c>
      <c r="T987" s="1" t="s">
        <v>104</v>
      </c>
      <c r="U987" s="1" t="s">
        <v>104</v>
      </c>
      <c r="V987" s="1" t="s">
        <v>104</v>
      </c>
      <c r="W987" s="1" t="s">
        <v>104</v>
      </c>
      <c r="X987" s="1" t="s">
        <v>2144</v>
      </c>
      <c r="Y987" s="1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>
        <v>1</v>
      </c>
      <c r="AP987" s="8">
        <v>1</v>
      </c>
      <c r="AQ987" s="8">
        <v>1</v>
      </c>
      <c r="AR987" s="8">
        <v>1</v>
      </c>
      <c r="AS987" s="8"/>
      <c r="AT987" s="8"/>
      <c r="AU987" s="8"/>
      <c r="AV987" s="8"/>
      <c r="AW987" s="8"/>
      <c r="AX987" s="8"/>
      <c r="AY987" s="8"/>
      <c r="AZ987" s="8"/>
      <c r="BA987" s="8"/>
      <c r="BB987" s="1"/>
      <c r="BL987" s="58"/>
      <c r="BP987" t="str">
        <f t="shared" si="37"/>
        <v>IcePoison</v>
      </c>
      <c r="BR987">
        <v>2</v>
      </c>
    </row>
    <row r="988" spans="1:70" x14ac:dyDescent="0.25">
      <c r="A988">
        <f t="shared" si="38"/>
        <v>935</v>
      </c>
      <c r="B988" t="s">
        <v>2248</v>
      </c>
      <c r="D988" s="1" t="s">
        <v>5</v>
      </c>
      <c r="E988" s="1" t="s">
        <v>10</v>
      </c>
      <c r="F988" s="1" t="s">
        <v>50</v>
      </c>
      <c r="G988" s="1" t="s">
        <v>50</v>
      </c>
      <c r="H988" s="1" t="s">
        <v>50</v>
      </c>
      <c r="I988" s="1" t="s">
        <v>50</v>
      </c>
      <c r="J988" s="1" t="s">
        <v>50</v>
      </c>
      <c r="K988" s="1" t="s">
        <v>50</v>
      </c>
      <c r="L988" s="1"/>
      <c r="M988" s="1" t="s">
        <v>104</v>
      </c>
      <c r="N988" s="1" t="s">
        <v>50</v>
      </c>
      <c r="O988" s="1" t="s">
        <v>50</v>
      </c>
      <c r="P988" s="13" t="s">
        <v>2427</v>
      </c>
      <c r="Q988" s="1" t="s">
        <v>104</v>
      </c>
      <c r="R988" s="1" t="s">
        <v>104</v>
      </c>
      <c r="S988" s="1" t="s">
        <v>104</v>
      </c>
      <c r="T988" s="1" t="s">
        <v>104</v>
      </c>
      <c r="U988" s="1" t="s">
        <v>104</v>
      </c>
      <c r="V988" s="1" t="s">
        <v>104</v>
      </c>
      <c r="W988" s="1" t="s">
        <v>104</v>
      </c>
      <c r="X988" s="1" t="s">
        <v>2144</v>
      </c>
      <c r="Y988" s="1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>
        <v>1</v>
      </c>
      <c r="AP988" s="8">
        <v>1</v>
      </c>
      <c r="AQ988" s="8">
        <v>1</v>
      </c>
      <c r="AR988" s="8">
        <v>1</v>
      </c>
      <c r="AS988" s="8"/>
      <c r="AT988" s="8"/>
      <c r="AU988" s="8"/>
      <c r="AV988" s="8"/>
      <c r="AW988" s="8"/>
      <c r="AX988" s="8"/>
      <c r="AY988" s="8"/>
      <c r="AZ988" s="8"/>
      <c r="BA988" s="8"/>
      <c r="BB988" s="1"/>
      <c r="BL988" s="58"/>
      <c r="BP988" t="str">
        <f t="shared" si="37"/>
        <v>IcePoison</v>
      </c>
      <c r="BR988">
        <v>2</v>
      </c>
    </row>
    <row r="989" spans="1:70" x14ac:dyDescent="0.25">
      <c r="A989">
        <f t="shared" si="38"/>
        <v>936</v>
      </c>
      <c r="B989" t="s">
        <v>2249</v>
      </c>
      <c r="D989" s="1" t="s">
        <v>5</v>
      </c>
      <c r="E989" s="1" t="s">
        <v>10</v>
      </c>
      <c r="F989" s="1" t="s">
        <v>50</v>
      </c>
      <c r="G989" s="1" t="s">
        <v>50</v>
      </c>
      <c r="H989" s="1" t="s">
        <v>50</v>
      </c>
      <c r="I989" s="1" t="s">
        <v>50</v>
      </c>
      <c r="J989" s="1" t="s">
        <v>50</v>
      </c>
      <c r="K989" s="1" t="s">
        <v>50</v>
      </c>
      <c r="L989" s="1"/>
      <c r="M989" s="1" t="s">
        <v>104</v>
      </c>
      <c r="N989" s="1" t="s">
        <v>50</v>
      </c>
      <c r="O989" s="1" t="s">
        <v>50</v>
      </c>
      <c r="P989" s="13" t="s">
        <v>2427</v>
      </c>
      <c r="Q989" s="1" t="s">
        <v>50</v>
      </c>
      <c r="R989" s="1" t="s">
        <v>50</v>
      </c>
      <c r="S989" s="1" t="s">
        <v>50</v>
      </c>
      <c r="T989" s="1" t="s">
        <v>50</v>
      </c>
      <c r="U989" s="1" t="s">
        <v>50</v>
      </c>
      <c r="V989" s="1" t="s">
        <v>50</v>
      </c>
      <c r="W989" s="1" t="s">
        <v>50</v>
      </c>
      <c r="X989" s="1" t="s">
        <v>2144</v>
      </c>
      <c r="Y989" s="1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>
        <v>1</v>
      </c>
      <c r="AP989" s="8">
        <v>1</v>
      </c>
      <c r="AQ989" s="8">
        <v>1</v>
      </c>
      <c r="AR989" s="8">
        <v>1</v>
      </c>
      <c r="AS989" s="8"/>
      <c r="AT989" s="8"/>
      <c r="AU989" s="8"/>
      <c r="AV989" s="8"/>
      <c r="AW989" s="8"/>
      <c r="AX989" s="8"/>
      <c r="AY989" s="8"/>
      <c r="AZ989" s="8"/>
      <c r="BA989" s="8"/>
      <c r="BB989" s="1"/>
      <c r="BK989">
        <v>7</v>
      </c>
      <c r="BL989" s="58"/>
      <c r="BP989" t="str">
        <f t="shared" si="37"/>
        <v>IcePoison</v>
      </c>
      <c r="BR989">
        <v>9</v>
      </c>
    </row>
    <row r="990" spans="1:70" x14ac:dyDescent="0.25">
      <c r="A990">
        <f t="shared" si="38"/>
        <v>937</v>
      </c>
      <c r="B990" t="s">
        <v>2250</v>
      </c>
      <c r="D990" s="1" t="s">
        <v>0</v>
      </c>
      <c r="E990" s="1" t="s">
        <v>41</v>
      </c>
      <c r="F990" s="1" t="s">
        <v>50</v>
      </c>
      <c r="G990" s="1" t="s">
        <v>50</v>
      </c>
      <c r="H990" s="1" t="s">
        <v>50</v>
      </c>
      <c r="I990" s="1" t="s">
        <v>50</v>
      </c>
      <c r="J990" s="1" t="s">
        <v>50</v>
      </c>
      <c r="K990" s="1" t="s">
        <v>50</v>
      </c>
      <c r="L990" s="1"/>
      <c r="M990" s="1" t="s">
        <v>104</v>
      </c>
      <c r="N990" s="1" t="s">
        <v>50</v>
      </c>
      <c r="O990" s="1" t="s">
        <v>50</v>
      </c>
      <c r="P990" s="1" t="s">
        <v>1794</v>
      </c>
      <c r="Q990" s="1" t="s">
        <v>104</v>
      </c>
      <c r="R990" s="1" t="s">
        <v>104</v>
      </c>
      <c r="S990" s="1" t="s">
        <v>104</v>
      </c>
      <c r="T990" s="1" t="s">
        <v>104</v>
      </c>
      <c r="U990" s="1" t="s">
        <v>104</v>
      </c>
      <c r="V990" s="1" t="s">
        <v>104</v>
      </c>
      <c r="W990" s="1" t="s">
        <v>104</v>
      </c>
      <c r="X990" s="1" t="s">
        <v>2144</v>
      </c>
      <c r="Y990" s="1"/>
      <c r="Z990" s="8"/>
      <c r="AA990" s="8"/>
      <c r="AB990" s="8">
        <v>1</v>
      </c>
      <c r="AC990" s="8">
        <v>1</v>
      </c>
      <c r="AD990" s="8"/>
      <c r="AE990" s="8"/>
      <c r="AF990" s="8">
        <v>1</v>
      </c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>
        <v>1</v>
      </c>
      <c r="BA990" s="8"/>
      <c r="BB990" s="1"/>
      <c r="BK990">
        <v>2</v>
      </c>
      <c r="BL990" s="58"/>
      <c r="BP990" t="str">
        <f t="shared" si="37"/>
        <v>DarkSound</v>
      </c>
      <c r="BR990">
        <v>8</v>
      </c>
    </row>
    <row r="991" spans="1:70" x14ac:dyDescent="0.25">
      <c r="A991">
        <f t="shared" si="38"/>
        <v>938</v>
      </c>
      <c r="B991" t="s">
        <v>2251</v>
      </c>
      <c r="D991" s="1" t="s">
        <v>44</v>
      </c>
      <c r="E991" s="1" t="s">
        <v>0</v>
      </c>
      <c r="F991" s="1" t="s">
        <v>50</v>
      </c>
      <c r="G991" s="1" t="s">
        <v>50</v>
      </c>
      <c r="H991" s="1"/>
      <c r="I991" s="1" t="s">
        <v>50</v>
      </c>
      <c r="J991" s="1" t="s">
        <v>50</v>
      </c>
      <c r="K991" s="1" t="s">
        <v>50</v>
      </c>
      <c r="L991" s="1"/>
      <c r="M991" s="1" t="s">
        <v>50</v>
      </c>
      <c r="N991" s="1" t="s">
        <v>50</v>
      </c>
      <c r="O991" s="1" t="s">
        <v>50</v>
      </c>
      <c r="P991" s="1" t="s">
        <v>811</v>
      </c>
      <c r="Q991" s="1" t="s">
        <v>104</v>
      </c>
      <c r="R991" s="1" t="s">
        <v>104</v>
      </c>
      <c r="S991" s="1" t="s">
        <v>104</v>
      </c>
      <c r="T991" s="1" t="s">
        <v>104</v>
      </c>
      <c r="U991" s="1" t="s">
        <v>104</v>
      </c>
      <c r="V991" s="1" t="s">
        <v>104</v>
      </c>
      <c r="W991" s="1" t="s">
        <v>104</v>
      </c>
      <c r="X991" s="1" t="s">
        <v>2172</v>
      </c>
      <c r="Y991" s="1"/>
      <c r="Z991" s="8">
        <v>1</v>
      </c>
      <c r="AA991" s="8"/>
      <c r="AB991" s="8"/>
      <c r="AC991" s="8"/>
      <c r="AD991" s="8"/>
      <c r="AE991" s="8"/>
      <c r="AF991" s="8"/>
      <c r="AG991" s="8"/>
      <c r="AH991" s="8">
        <v>1</v>
      </c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>
        <v>1</v>
      </c>
      <c r="AY991" s="8">
        <v>1</v>
      </c>
      <c r="AZ991" s="8"/>
      <c r="BA991" s="8"/>
      <c r="BB991" s="1"/>
      <c r="BL991" s="58"/>
      <c r="BP991" t="str">
        <f t="shared" si="37"/>
        <v>LightDark</v>
      </c>
      <c r="BR991">
        <v>2</v>
      </c>
    </row>
    <row r="992" spans="1:70" x14ac:dyDescent="0.25">
      <c r="A992">
        <f t="shared" si="38"/>
        <v>939</v>
      </c>
      <c r="B992" t="s">
        <v>2252</v>
      </c>
      <c r="D992" s="1" t="s">
        <v>44</v>
      </c>
      <c r="E992" s="1" t="s">
        <v>13</v>
      </c>
      <c r="F992" s="1" t="s">
        <v>50</v>
      </c>
      <c r="G992" s="1" t="s">
        <v>50</v>
      </c>
      <c r="H992" s="1" t="s">
        <v>50</v>
      </c>
      <c r="I992" s="1" t="s">
        <v>50</v>
      </c>
      <c r="J992" s="1" t="s">
        <v>50</v>
      </c>
      <c r="K992" s="1" t="s">
        <v>50</v>
      </c>
      <c r="L992" s="1"/>
      <c r="M992" s="1" t="s">
        <v>104</v>
      </c>
      <c r="N992" s="1" t="s">
        <v>50</v>
      </c>
      <c r="O992" s="1" t="s">
        <v>50</v>
      </c>
      <c r="P992" s="1" t="s">
        <v>811</v>
      </c>
      <c r="Q992" s="1" t="s">
        <v>104</v>
      </c>
      <c r="R992" s="1" t="s">
        <v>104</v>
      </c>
      <c r="S992" s="1" t="s">
        <v>104</v>
      </c>
      <c r="T992" s="1" t="s">
        <v>104</v>
      </c>
      <c r="U992" s="1" t="s">
        <v>104</v>
      </c>
      <c r="V992" s="1" t="s">
        <v>104</v>
      </c>
      <c r="W992" s="1" t="s">
        <v>104</v>
      </c>
      <c r="X992" s="1" t="s">
        <v>2172</v>
      </c>
      <c r="Y992" s="1"/>
      <c r="Z992" s="8">
        <v>1</v>
      </c>
      <c r="AA992" s="8"/>
      <c r="AB992" s="8"/>
      <c r="AC992" s="8"/>
      <c r="AD992" s="8"/>
      <c r="AE992" s="8"/>
      <c r="AF992" s="8"/>
      <c r="AG992" s="8"/>
      <c r="AH992" s="8">
        <v>1</v>
      </c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>
        <v>1</v>
      </c>
      <c r="AY992" s="8">
        <v>1</v>
      </c>
      <c r="AZ992" s="8"/>
      <c r="BA992" s="8"/>
      <c r="BB992" s="1"/>
      <c r="BK992">
        <v>7</v>
      </c>
      <c r="BL992" s="58">
        <v>3</v>
      </c>
      <c r="BP992" t="str">
        <f t="shared" si="37"/>
        <v>LightFire</v>
      </c>
      <c r="BR992">
        <v>4</v>
      </c>
    </row>
    <row r="993" spans="1:70" x14ac:dyDescent="0.25">
      <c r="A993">
        <f t="shared" si="38"/>
        <v>940</v>
      </c>
      <c r="B993" t="s">
        <v>2253</v>
      </c>
      <c r="D993" s="1" t="s">
        <v>0</v>
      </c>
      <c r="E993" s="1" t="s">
        <v>13</v>
      </c>
      <c r="F993" s="1" t="s">
        <v>50</v>
      </c>
      <c r="G993" s="1" t="s">
        <v>50</v>
      </c>
      <c r="H993" s="1" t="s">
        <v>50</v>
      </c>
      <c r="I993" s="1" t="s">
        <v>50</v>
      </c>
      <c r="J993" s="1" t="s">
        <v>50</v>
      </c>
      <c r="K993" s="1" t="s">
        <v>50</v>
      </c>
      <c r="L993" s="1"/>
      <c r="M993" s="1" t="s">
        <v>104</v>
      </c>
      <c r="N993" s="1" t="s">
        <v>50</v>
      </c>
      <c r="O993" s="1" t="s">
        <v>50</v>
      </c>
      <c r="P993" s="1" t="s">
        <v>811</v>
      </c>
      <c r="Q993" s="1" t="s">
        <v>104</v>
      </c>
      <c r="R993" s="1" t="s">
        <v>104</v>
      </c>
      <c r="S993" s="1" t="s">
        <v>104</v>
      </c>
      <c r="T993" s="1" t="s">
        <v>104</v>
      </c>
      <c r="U993" s="1" t="s">
        <v>104</v>
      </c>
      <c r="V993" s="1" t="s">
        <v>104</v>
      </c>
      <c r="W993" s="1" t="s">
        <v>104</v>
      </c>
      <c r="X993" s="1" t="s">
        <v>2172</v>
      </c>
      <c r="Y993" s="1"/>
      <c r="Z993" s="8">
        <v>1</v>
      </c>
      <c r="AA993" s="8"/>
      <c r="AB993" s="8"/>
      <c r="AC993" s="8"/>
      <c r="AD993" s="8"/>
      <c r="AE993" s="8"/>
      <c r="AF993" s="8"/>
      <c r="AG993" s="8"/>
      <c r="AH993" s="8">
        <v>1</v>
      </c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>
        <v>1</v>
      </c>
      <c r="AY993" s="8">
        <v>1</v>
      </c>
      <c r="AZ993" s="8"/>
      <c r="BA993" s="8"/>
      <c r="BB993" s="1"/>
      <c r="BK993">
        <v>2</v>
      </c>
      <c r="BL993" s="58"/>
      <c r="BP993" t="str">
        <f t="shared" si="37"/>
        <v>DarkFire</v>
      </c>
      <c r="BR993">
        <v>8</v>
      </c>
    </row>
    <row r="994" spans="1:70" x14ac:dyDescent="0.25">
      <c r="A994">
        <f t="shared" si="38"/>
        <v>941</v>
      </c>
      <c r="B994" t="s">
        <v>2254</v>
      </c>
      <c r="D994" s="1" t="s">
        <v>6</v>
      </c>
      <c r="E994" s="1" t="s">
        <v>3</v>
      </c>
      <c r="F994" s="1" t="s">
        <v>50</v>
      </c>
      <c r="G994" s="1" t="s">
        <v>50</v>
      </c>
      <c r="H994" s="1" t="s">
        <v>50</v>
      </c>
      <c r="I994" s="1" t="s">
        <v>50</v>
      </c>
      <c r="J994" s="1" t="s">
        <v>50</v>
      </c>
      <c r="K994" s="1" t="s">
        <v>50</v>
      </c>
      <c r="L994" s="1"/>
      <c r="M994" s="1" t="s">
        <v>50</v>
      </c>
      <c r="N994" s="1" t="s">
        <v>50</v>
      </c>
      <c r="O994" s="1" t="s">
        <v>50</v>
      </c>
      <c r="P994" s="1" t="s">
        <v>811</v>
      </c>
      <c r="Q994" s="1" t="s">
        <v>104</v>
      </c>
      <c r="R994" s="1" t="s">
        <v>104</v>
      </c>
      <c r="S994" s="1" t="s">
        <v>104</v>
      </c>
      <c r="T994" s="1" t="s">
        <v>104</v>
      </c>
      <c r="U994" s="1" t="s">
        <v>104</v>
      </c>
      <c r="V994" s="1" t="s">
        <v>104</v>
      </c>
      <c r="W994" s="1" t="s">
        <v>104</v>
      </c>
      <c r="X994" s="1" t="s">
        <v>2258</v>
      </c>
      <c r="Y994" s="1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>
        <v>1</v>
      </c>
      <c r="AT994" s="8">
        <v>1</v>
      </c>
      <c r="AU994" s="8"/>
      <c r="AV994" s="8"/>
      <c r="AW994" s="8"/>
      <c r="AX994" s="8"/>
      <c r="AY994" s="8"/>
      <c r="AZ994" s="8"/>
      <c r="BA994" s="8"/>
      <c r="BB994" s="1"/>
      <c r="BK994">
        <v>1</v>
      </c>
      <c r="BL994" s="58"/>
      <c r="BP994" t="str">
        <f t="shared" si="37"/>
        <v>SteelElectric</v>
      </c>
      <c r="BR994">
        <v>5</v>
      </c>
    </row>
    <row r="995" spans="1:70" x14ac:dyDescent="0.25">
      <c r="A995">
        <f t="shared" si="38"/>
        <v>942</v>
      </c>
      <c r="B995" t="s">
        <v>2255</v>
      </c>
      <c r="D995" s="1" t="s">
        <v>42</v>
      </c>
      <c r="E995" s="1" t="s">
        <v>17</v>
      </c>
      <c r="F995" s="1" t="s">
        <v>50</v>
      </c>
      <c r="G995" s="1" t="s">
        <v>50</v>
      </c>
      <c r="H995" s="1" t="s">
        <v>50</v>
      </c>
      <c r="I995" s="1" t="s">
        <v>50</v>
      </c>
      <c r="J995" s="1" t="s">
        <v>50</v>
      </c>
      <c r="K995" s="1" t="s">
        <v>50</v>
      </c>
      <c r="L995" s="1"/>
      <c r="M995" s="1" t="s">
        <v>50</v>
      </c>
      <c r="N995" s="1" t="s">
        <v>50</v>
      </c>
      <c r="O995" s="1" t="s">
        <v>50</v>
      </c>
      <c r="P995" s="1" t="s">
        <v>811</v>
      </c>
      <c r="Q995" s="1" t="s">
        <v>104</v>
      </c>
      <c r="R995" s="1" t="s">
        <v>104</v>
      </c>
      <c r="S995" s="1" t="s">
        <v>104</v>
      </c>
      <c r="T995" s="1" t="s">
        <v>104</v>
      </c>
      <c r="U995" s="1" t="s">
        <v>104</v>
      </c>
      <c r="V995" s="1" t="s">
        <v>104</v>
      </c>
      <c r="W995" s="1" t="s">
        <v>104</v>
      </c>
      <c r="X995" s="1" t="s">
        <v>2259</v>
      </c>
      <c r="Y995" s="1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>
        <v>1</v>
      </c>
      <c r="AV995" s="8"/>
      <c r="AW995" s="8"/>
      <c r="AX995" s="8"/>
      <c r="AY995" s="8"/>
      <c r="AZ995" s="8"/>
      <c r="BA995" s="8"/>
      <c r="BB995" s="1"/>
      <c r="BK995">
        <v>8</v>
      </c>
      <c r="BL995" s="58"/>
      <c r="BP995" t="str">
        <f t="shared" si="37"/>
        <v>CosmicBug</v>
      </c>
      <c r="BR995">
        <v>2</v>
      </c>
    </row>
    <row r="996" spans="1:70" x14ac:dyDescent="0.25">
      <c r="A996">
        <f t="shared" si="38"/>
        <v>943</v>
      </c>
      <c r="B996" t="s">
        <v>2256</v>
      </c>
      <c r="D996" s="1" t="s">
        <v>5</v>
      </c>
      <c r="E996" s="1" t="s">
        <v>1</v>
      </c>
      <c r="F996" s="1" t="s">
        <v>50</v>
      </c>
      <c r="G996" s="1" t="s">
        <v>50</v>
      </c>
      <c r="H996" s="1"/>
      <c r="I996" s="1" t="s">
        <v>50</v>
      </c>
      <c r="J996" s="1" t="s">
        <v>50</v>
      </c>
      <c r="K996" s="1" t="s">
        <v>50</v>
      </c>
      <c r="L996" s="1"/>
      <c r="M996" s="1" t="s">
        <v>50</v>
      </c>
      <c r="N996" s="1" t="s">
        <v>50</v>
      </c>
      <c r="O996" s="1" t="s">
        <v>50</v>
      </c>
      <c r="P996" s="1" t="s">
        <v>1723</v>
      </c>
      <c r="Q996" s="1" t="s">
        <v>104</v>
      </c>
      <c r="R996" s="1" t="s">
        <v>104</v>
      </c>
      <c r="S996" s="1" t="s">
        <v>104</v>
      </c>
      <c r="T996" s="1" t="s">
        <v>104</v>
      </c>
      <c r="U996" s="1" t="s">
        <v>104</v>
      </c>
      <c r="V996" s="1" t="s">
        <v>104</v>
      </c>
      <c r="W996" s="1" t="s">
        <v>104</v>
      </c>
      <c r="X996" s="1" t="s">
        <v>2259</v>
      </c>
      <c r="Y996" s="1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>
        <v>1</v>
      </c>
      <c r="AQ996" s="8">
        <v>1</v>
      </c>
      <c r="AR996" s="8">
        <v>1</v>
      </c>
      <c r="AS996" s="8"/>
      <c r="AT996" s="8"/>
      <c r="AU996" s="8"/>
      <c r="AV996" s="8"/>
      <c r="AW996" s="8"/>
      <c r="AX996" s="8"/>
      <c r="AY996" s="8"/>
      <c r="AZ996" s="8"/>
      <c r="BA996" s="8"/>
      <c r="BB996" s="1"/>
      <c r="BL996" s="58"/>
      <c r="BP996" t="str">
        <f t="shared" si="37"/>
        <v>IceNormal</v>
      </c>
      <c r="BR996">
        <v>9</v>
      </c>
    </row>
    <row r="997" spans="1:70" x14ac:dyDescent="0.25">
      <c r="A997">
        <f t="shared" si="38"/>
        <v>944</v>
      </c>
      <c r="B997" t="s">
        <v>2257</v>
      </c>
      <c r="D997" s="1" t="s">
        <v>5</v>
      </c>
      <c r="E997" s="1" t="s">
        <v>1</v>
      </c>
      <c r="F997" s="1" t="s">
        <v>50</v>
      </c>
      <c r="G997" s="1" t="s">
        <v>50</v>
      </c>
      <c r="H997" s="1" t="s">
        <v>50</v>
      </c>
      <c r="I997" s="1" t="s">
        <v>50</v>
      </c>
      <c r="J997" s="1" t="s">
        <v>50</v>
      </c>
      <c r="K997" s="1" t="s">
        <v>50</v>
      </c>
      <c r="L997" s="1"/>
      <c r="M997" s="1" t="s">
        <v>104</v>
      </c>
      <c r="N997" s="1" t="s">
        <v>50</v>
      </c>
      <c r="O997" s="1" t="s">
        <v>50</v>
      </c>
      <c r="P997" s="1" t="s">
        <v>1723</v>
      </c>
      <c r="Q997" s="1" t="s">
        <v>104</v>
      </c>
      <c r="R997" s="1" t="s">
        <v>104</v>
      </c>
      <c r="S997" s="1" t="s">
        <v>104</v>
      </c>
      <c r="T997" s="1" t="s">
        <v>104</v>
      </c>
      <c r="U997" s="1" t="s">
        <v>104</v>
      </c>
      <c r="V997" s="1" t="s">
        <v>104</v>
      </c>
      <c r="W997" s="1" t="s">
        <v>104</v>
      </c>
      <c r="X997" s="1" t="s">
        <v>2259</v>
      </c>
      <c r="Y997" s="1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>
        <v>1</v>
      </c>
      <c r="AQ997" s="8">
        <v>1</v>
      </c>
      <c r="AR997" s="8">
        <v>1</v>
      </c>
      <c r="AS997" s="8"/>
      <c r="AT997" s="8"/>
      <c r="AU997" s="8"/>
      <c r="AV997" s="8"/>
      <c r="AW997" s="8"/>
      <c r="AX997" s="8"/>
      <c r="AY997" s="8"/>
      <c r="AZ997" s="8"/>
      <c r="BA997" s="8"/>
      <c r="BB997" s="1"/>
      <c r="BK997">
        <v>3</v>
      </c>
      <c r="BL997" s="58"/>
      <c r="BP997" t="str">
        <f t="shared" si="37"/>
        <v>IceNormal</v>
      </c>
      <c r="BR997">
        <v>9</v>
      </c>
    </row>
    <row r="998" spans="1:70" x14ac:dyDescent="0.25">
      <c r="A998">
        <f t="shared" si="38"/>
        <v>945</v>
      </c>
      <c r="B998" t="s">
        <v>2264</v>
      </c>
      <c r="D998" s="1" t="s">
        <v>42</v>
      </c>
      <c r="E998" s="1" t="s">
        <v>44</v>
      </c>
      <c r="F998" s="1" t="s">
        <v>50</v>
      </c>
      <c r="G998" s="1" t="s">
        <v>50</v>
      </c>
      <c r="H998" s="1" t="s">
        <v>50</v>
      </c>
      <c r="I998" s="1" t="s">
        <v>50</v>
      </c>
      <c r="J998" s="1" t="s">
        <v>50</v>
      </c>
      <c r="K998" s="1" t="s">
        <v>50</v>
      </c>
      <c r="L998" s="1"/>
      <c r="M998" s="1" t="s">
        <v>50</v>
      </c>
      <c r="N998" s="1" t="s">
        <v>50</v>
      </c>
      <c r="O998" s="1" t="s">
        <v>50</v>
      </c>
      <c r="P998" s="1" t="s">
        <v>1723</v>
      </c>
      <c r="Q998" s="1" t="s">
        <v>104</v>
      </c>
      <c r="R998" s="1" t="s">
        <v>104</v>
      </c>
      <c r="S998" s="1" t="s">
        <v>104</v>
      </c>
      <c r="T998" s="1" t="s">
        <v>104</v>
      </c>
      <c r="U998" s="1" t="s">
        <v>104</v>
      </c>
      <c r="V998" s="1" t="s">
        <v>104</v>
      </c>
      <c r="W998" s="1" t="s">
        <v>104</v>
      </c>
      <c r="X998" s="1" t="s">
        <v>2144</v>
      </c>
      <c r="Y998" s="1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>
        <v>1</v>
      </c>
      <c r="AQ998" s="8">
        <v>1</v>
      </c>
      <c r="AR998" s="8">
        <v>1</v>
      </c>
      <c r="AS998" s="8"/>
      <c r="AT998" s="8"/>
      <c r="AU998" s="8"/>
      <c r="AV998" s="8"/>
      <c r="AW998" s="8"/>
      <c r="AX998" s="8"/>
      <c r="AY998" s="8"/>
      <c r="AZ998" s="8"/>
      <c r="BA998" s="8"/>
      <c r="BB998" s="1"/>
      <c r="BK998">
        <v>1</v>
      </c>
      <c r="BL998" s="58"/>
      <c r="BP998" t="str">
        <f t="shared" si="37"/>
        <v>CosmicLight</v>
      </c>
      <c r="BR998">
        <v>7</v>
      </c>
    </row>
    <row r="999" spans="1:70" x14ac:dyDescent="0.25">
      <c r="A999">
        <f t="shared" si="38"/>
        <v>946</v>
      </c>
      <c r="B999" t="s">
        <v>2265</v>
      </c>
      <c r="D999" s="1" t="s">
        <v>42</v>
      </c>
      <c r="E999" s="1" t="s">
        <v>4</v>
      </c>
      <c r="F999" s="1" t="s">
        <v>50</v>
      </c>
      <c r="G999" s="1" t="s">
        <v>50</v>
      </c>
      <c r="H999" s="1" t="s">
        <v>50</v>
      </c>
      <c r="I999" s="1" t="s">
        <v>50</v>
      </c>
      <c r="J999" s="1" t="s">
        <v>50</v>
      </c>
      <c r="K999" s="1" t="s">
        <v>50</v>
      </c>
      <c r="L999" s="1"/>
      <c r="M999" s="1" t="s">
        <v>50</v>
      </c>
      <c r="N999" s="1" t="s">
        <v>50</v>
      </c>
      <c r="O999" s="1" t="s">
        <v>50</v>
      </c>
      <c r="P999" s="1" t="s">
        <v>811</v>
      </c>
      <c r="Q999" s="1" t="s">
        <v>104</v>
      </c>
      <c r="R999" s="1" t="s">
        <v>104</v>
      </c>
      <c r="S999" s="1" t="s">
        <v>104</v>
      </c>
      <c r="T999" s="1" t="s">
        <v>104</v>
      </c>
      <c r="U999" s="1" t="s">
        <v>104</v>
      </c>
      <c r="V999" s="1" t="s">
        <v>104</v>
      </c>
      <c r="W999" s="1" t="s">
        <v>104</v>
      </c>
      <c r="X999" s="1" t="s">
        <v>2172</v>
      </c>
      <c r="Y999" s="1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>
        <v>1</v>
      </c>
      <c r="AQ999" s="8">
        <v>1</v>
      </c>
      <c r="AR999" s="8">
        <v>1</v>
      </c>
      <c r="AS999" s="8"/>
      <c r="AT999" s="8"/>
      <c r="AU999" s="8"/>
      <c r="AV999" s="8"/>
      <c r="AW999" s="8"/>
      <c r="AX999" s="8"/>
      <c r="AY999" s="8"/>
      <c r="AZ999" s="8"/>
      <c r="BA999" s="8"/>
      <c r="BB999" s="1"/>
      <c r="BL999" s="58"/>
      <c r="BP999" t="str">
        <f t="shared" si="37"/>
        <v>CosmicPsychic</v>
      </c>
      <c r="BR999">
        <v>7</v>
      </c>
    </row>
    <row r="1000" spans="1:70" x14ac:dyDescent="0.25">
      <c r="A1000">
        <f t="shared" si="38"/>
        <v>947</v>
      </c>
      <c r="B1000" t="s">
        <v>2266</v>
      </c>
      <c r="D1000" s="1" t="s">
        <v>42</v>
      </c>
      <c r="E1000" s="1" t="s">
        <v>8</v>
      </c>
      <c r="F1000" s="1" t="s">
        <v>50</v>
      </c>
      <c r="G1000" s="1" t="s">
        <v>50</v>
      </c>
      <c r="H1000" s="1"/>
      <c r="I1000" s="1" t="s">
        <v>50</v>
      </c>
      <c r="J1000" s="1" t="s">
        <v>50</v>
      </c>
      <c r="K1000" s="1" t="s">
        <v>50</v>
      </c>
      <c r="L1000" s="1"/>
      <c r="M1000" s="1" t="s">
        <v>50</v>
      </c>
      <c r="N1000" s="1" t="s">
        <v>50</v>
      </c>
      <c r="O1000" s="1" t="s">
        <v>50</v>
      </c>
      <c r="P1000" s="1" t="s">
        <v>811</v>
      </c>
      <c r="Q1000" s="1" t="s">
        <v>104</v>
      </c>
      <c r="R1000" s="1" t="s">
        <v>104</v>
      </c>
      <c r="S1000" s="1" t="s">
        <v>104</v>
      </c>
      <c r="T1000" s="1" t="s">
        <v>104</v>
      </c>
      <c r="U1000" s="1" t="s">
        <v>104</v>
      </c>
      <c r="V1000" s="1" t="s">
        <v>104</v>
      </c>
      <c r="W1000" s="1" t="s">
        <v>104</v>
      </c>
      <c r="X1000" s="1" t="s">
        <v>2119</v>
      </c>
      <c r="Y1000" s="1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>
        <v>1</v>
      </c>
      <c r="AQ1000" s="8">
        <v>1</v>
      </c>
      <c r="AR1000" s="8">
        <v>1</v>
      </c>
      <c r="AS1000" s="8"/>
      <c r="AT1000" s="8"/>
      <c r="AU1000" s="8"/>
      <c r="AV1000" s="8"/>
      <c r="AW1000" s="8"/>
      <c r="AX1000" s="8"/>
      <c r="AY1000" s="8"/>
      <c r="AZ1000" s="8"/>
      <c r="BA1000" s="8"/>
      <c r="BB1000" s="1"/>
      <c r="BL1000" s="58"/>
      <c r="BP1000" t="str">
        <f t="shared" si="37"/>
        <v>CosmicGround</v>
      </c>
      <c r="BR1000">
        <v>9</v>
      </c>
    </row>
    <row r="1001" spans="1:70" x14ac:dyDescent="0.25">
      <c r="A1001">
        <f t="shared" si="38"/>
        <v>948</v>
      </c>
      <c r="B1001" t="s">
        <v>2267</v>
      </c>
      <c r="D1001" s="1" t="s">
        <v>42</v>
      </c>
      <c r="E1001" s="1" t="s">
        <v>8</v>
      </c>
      <c r="F1001" s="1" t="s">
        <v>50</v>
      </c>
      <c r="G1001" s="1" t="s">
        <v>50</v>
      </c>
      <c r="H1001" s="1" t="s">
        <v>50</v>
      </c>
      <c r="I1001" s="1" t="s">
        <v>50</v>
      </c>
      <c r="J1001" s="1" t="s">
        <v>50</v>
      </c>
      <c r="K1001" s="1" t="s">
        <v>50</v>
      </c>
      <c r="L1001" s="1"/>
      <c r="M1001" s="1" t="s">
        <v>104</v>
      </c>
      <c r="N1001" s="1" t="s">
        <v>50</v>
      </c>
      <c r="O1001" s="1" t="s">
        <v>50</v>
      </c>
      <c r="P1001" s="1" t="s">
        <v>811</v>
      </c>
      <c r="Q1001" s="1" t="s">
        <v>104</v>
      </c>
      <c r="R1001" s="1" t="s">
        <v>104</v>
      </c>
      <c r="S1001" s="1" t="s">
        <v>104</v>
      </c>
      <c r="T1001" s="1" t="s">
        <v>104</v>
      </c>
      <c r="U1001" s="1" t="s">
        <v>104</v>
      </c>
      <c r="V1001" s="1" t="s">
        <v>104</v>
      </c>
      <c r="W1001" s="1" t="s">
        <v>104</v>
      </c>
      <c r="X1001" s="1" t="s">
        <v>2119</v>
      </c>
      <c r="Y1001" s="1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>
        <v>1</v>
      </c>
      <c r="AQ1001" s="8">
        <v>1</v>
      </c>
      <c r="AR1001" s="8">
        <v>1</v>
      </c>
      <c r="AS1001" s="8"/>
      <c r="AT1001" s="8"/>
      <c r="AU1001" s="8"/>
      <c r="AV1001" s="8"/>
      <c r="AW1001" s="8"/>
      <c r="AX1001" s="8"/>
      <c r="AY1001" s="8"/>
      <c r="AZ1001" s="8"/>
      <c r="BA1001" s="8"/>
      <c r="BB1001" s="1"/>
      <c r="BK1001">
        <v>5</v>
      </c>
      <c r="BL1001" s="58">
        <v>1</v>
      </c>
      <c r="BP1001" t="str">
        <f t="shared" si="37"/>
        <v>CosmicGround</v>
      </c>
      <c r="BR1001">
        <v>9</v>
      </c>
    </row>
    <row r="1002" spans="1:70" x14ac:dyDescent="0.25">
      <c r="A1002">
        <f t="shared" si="38"/>
        <v>949</v>
      </c>
      <c r="B1002" t="s">
        <v>2268</v>
      </c>
      <c r="D1002" s="1" t="s">
        <v>3</v>
      </c>
      <c r="E1002" s="1" t="s">
        <v>17</v>
      </c>
      <c r="F1002" s="1" t="s">
        <v>50</v>
      </c>
      <c r="G1002" s="1" t="s">
        <v>50</v>
      </c>
      <c r="H1002" s="1" t="s">
        <v>50</v>
      </c>
      <c r="I1002" s="1" t="s">
        <v>50</v>
      </c>
      <c r="J1002" s="1" t="s">
        <v>50</v>
      </c>
      <c r="K1002" s="1" t="s">
        <v>50</v>
      </c>
      <c r="L1002" s="1"/>
      <c r="M1002" s="1" t="s">
        <v>50</v>
      </c>
      <c r="N1002" s="1" t="s">
        <v>50</v>
      </c>
      <c r="O1002" s="1" t="s">
        <v>50</v>
      </c>
      <c r="P1002" s="1" t="s">
        <v>811</v>
      </c>
      <c r="Q1002" s="1" t="s">
        <v>104</v>
      </c>
      <c r="R1002" s="1" t="s">
        <v>104</v>
      </c>
      <c r="S1002" s="1" t="s">
        <v>104</v>
      </c>
      <c r="T1002" s="1" t="s">
        <v>104</v>
      </c>
      <c r="U1002" s="1" t="s">
        <v>104</v>
      </c>
      <c r="V1002" s="1" t="s">
        <v>104</v>
      </c>
      <c r="W1002" s="1" t="s">
        <v>104</v>
      </c>
      <c r="X1002" s="1" t="s">
        <v>2172</v>
      </c>
      <c r="Y1002" s="1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>
        <v>1</v>
      </c>
      <c r="AT1002" s="8"/>
      <c r="AU1002" s="8"/>
      <c r="AV1002" s="8"/>
      <c r="AW1002" s="8"/>
      <c r="AX1002" s="8"/>
      <c r="AY1002" s="8"/>
      <c r="AZ1002" s="8"/>
      <c r="BA1002" s="8"/>
      <c r="BB1002" s="1"/>
      <c r="BK1002">
        <v>1</v>
      </c>
      <c r="BL1002" s="58"/>
      <c r="BP1002" t="str">
        <f t="shared" si="37"/>
        <v>ElectricBug</v>
      </c>
      <c r="BR1002">
        <v>1</v>
      </c>
    </row>
    <row r="1003" spans="1:70" x14ac:dyDescent="0.25">
      <c r="A1003">
        <f t="shared" si="38"/>
        <v>950</v>
      </c>
      <c r="B1003" t="s">
        <v>2269</v>
      </c>
      <c r="D1003" s="1" t="s">
        <v>3</v>
      </c>
      <c r="E1003" s="1" t="s">
        <v>17</v>
      </c>
      <c r="F1003" s="1" t="s">
        <v>50</v>
      </c>
      <c r="G1003" s="1" t="s">
        <v>50</v>
      </c>
      <c r="H1003" s="1" t="s">
        <v>50</v>
      </c>
      <c r="I1003" s="1" t="s">
        <v>50</v>
      </c>
      <c r="J1003" s="1" t="s">
        <v>50</v>
      </c>
      <c r="K1003" s="1" t="s">
        <v>50</v>
      </c>
      <c r="L1003" s="1"/>
      <c r="M1003" s="1" t="s">
        <v>104</v>
      </c>
      <c r="N1003" s="1" t="s">
        <v>50</v>
      </c>
      <c r="O1003" s="1" t="s">
        <v>50</v>
      </c>
      <c r="P1003" s="1" t="s">
        <v>811</v>
      </c>
      <c r="Q1003" s="1" t="s">
        <v>104</v>
      </c>
      <c r="R1003" s="1" t="s">
        <v>104</v>
      </c>
      <c r="S1003" s="1" t="s">
        <v>104</v>
      </c>
      <c r="T1003" s="1" t="s">
        <v>104</v>
      </c>
      <c r="U1003" s="1" t="s">
        <v>104</v>
      </c>
      <c r="V1003" s="1" t="s">
        <v>104</v>
      </c>
      <c r="W1003" s="1" t="s">
        <v>104</v>
      </c>
      <c r="X1003" s="1" t="s">
        <v>2172</v>
      </c>
      <c r="Y1003" s="1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>
        <v>1</v>
      </c>
      <c r="AT1003" s="8"/>
      <c r="AU1003" s="8"/>
      <c r="AV1003" s="8"/>
      <c r="AW1003" s="8"/>
      <c r="AX1003" s="8"/>
      <c r="AY1003" s="8"/>
      <c r="AZ1003" s="8"/>
      <c r="BA1003" s="8"/>
      <c r="BB1003" s="1"/>
      <c r="BK1003">
        <v>7</v>
      </c>
      <c r="BL1003" s="58"/>
      <c r="BP1003" t="str">
        <f t="shared" si="37"/>
        <v>ElectricBug</v>
      </c>
      <c r="BR1003">
        <v>2</v>
      </c>
    </row>
    <row r="1004" spans="1:70" x14ac:dyDescent="0.25">
      <c r="A1004">
        <f t="shared" si="38"/>
        <v>951</v>
      </c>
      <c r="B1004" t="s">
        <v>2270</v>
      </c>
      <c r="D1004" s="1" t="s">
        <v>8</v>
      </c>
      <c r="E1004" s="1" t="s">
        <v>14</v>
      </c>
      <c r="F1004" s="1" t="s">
        <v>50</v>
      </c>
      <c r="G1004" s="1" t="s">
        <v>50</v>
      </c>
      <c r="H1004" s="1"/>
      <c r="I1004" s="1" t="s">
        <v>50</v>
      </c>
      <c r="J1004" s="1" t="s">
        <v>50</v>
      </c>
      <c r="K1004" s="1" t="s">
        <v>50</v>
      </c>
      <c r="L1004" s="1"/>
      <c r="M1004" s="1" t="s">
        <v>50</v>
      </c>
      <c r="N1004" s="1" t="s">
        <v>50</v>
      </c>
      <c r="O1004" s="1" t="s">
        <v>50</v>
      </c>
      <c r="P1004" s="1" t="s">
        <v>2425</v>
      </c>
      <c r="Q1004" s="1" t="s">
        <v>104</v>
      </c>
      <c r="R1004" s="1" t="s">
        <v>104</v>
      </c>
      <c r="S1004" s="1" t="s">
        <v>104</v>
      </c>
      <c r="T1004" s="1" t="s">
        <v>104</v>
      </c>
      <c r="U1004" s="1" t="s">
        <v>104</v>
      </c>
      <c r="V1004" s="1" t="s">
        <v>104</v>
      </c>
      <c r="W1004" s="1" t="s">
        <v>104</v>
      </c>
      <c r="X1004" s="1" t="s">
        <v>727</v>
      </c>
      <c r="Y1004" s="1"/>
      <c r="Z1004" s="8"/>
      <c r="AA1004" s="8"/>
      <c r="AB1004" s="8"/>
      <c r="AC1004" s="8"/>
      <c r="AD1004" s="8"/>
      <c r="AE1004" s="8">
        <v>1</v>
      </c>
      <c r="AF1004" s="8">
        <v>1</v>
      </c>
      <c r="AG1004" s="8">
        <v>1</v>
      </c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1"/>
      <c r="BL1004" s="58"/>
      <c r="BP1004" t="str">
        <f t="shared" si="37"/>
        <v>GroundGhost</v>
      </c>
      <c r="BR1004">
        <v>5</v>
      </c>
    </row>
    <row r="1005" spans="1:70" x14ac:dyDescent="0.25">
      <c r="A1005">
        <f t="shared" si="38"/>
        <v>952</v>
      </c>
      <c r="B1005" t="s">
        <v>2271</v>
      </c>
      <c r="D1005" s="1" t="s">
        <v>8</v>
      </c>
      <c r="E1005" s="1" t="s">
        <v>14</v>
      </c>
      <c r="F1005" s="1" t="s">
        <v>50</v>
      </c>
      <c r="G1005" s="1" t="s">
        <v>50</v>
      </c>
      <c r="H1005" s="1" t="s">
        <v>50</v>
      </c>
      <c r="I1005" s="1" t="s">
        <v>50</v>
      </c>
      <c r="J1005" s="1" t="s">
        <v>50</v>
      </c>
      <c r="K1005" s="1" t="s">
        <v>50</v>
      </c>
      <c r="L1005" s="1"/>
      <c r="M1005" s="1" t="s">
        <v>104</v>
      </c>
      <c r="N1005" s="1" t="s">
        <v>50</v>
      </c>
      <c r="O1005" s="1" t="s">
        <v>50</v>
      </c>
      <c r="P1005" s="1" t="s">
        <v>2425</v>
      </c>
      <c r="Q1005" s="1" t="s">
        <v>104</v>
      </c>
      <c r="R1005" s="1" t="s">
        <v>104</v>
      </c>
      <c r="S1005" s="1" t="s">
        <v>104</v>
      </c>
      <c r="T1005" s="1" t="s">
        <v>104</v>
      </c>
      <c r="U1005" s="1" t="s">
        <v>104</v>
      </c>
      <c r="V1005" s="1" t="s">
        <v>104</v>
      </c>
      <c r="W1005" s="1" t="s">
        <v>104</v>
      </c>
      <c r="X1005" s="1" t="s">
        <v>727</v>
      </c>
      <c r="Y1005" s="1"/>
      <c r="Z1005" s="8"/>
      <c r="AA1005" s="8"/>
      <c r="AB1005" s="8"/>
      <c r="AC1005" s="8"/>
      <c r="AD1005" s="8"/>
      <c r="AE1005" s="8">
        <v>1</v>
      </c>
      <c r="AF1005" s="8">
        <v>1</v>
      </c>
      <c r="AG1005" s="8">
        <v>1</v>
      </c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1"/>
      <c r="BL1005" s="58">
        <v>1</v>
      </c>
      <c r="BP1005" t="str">
        <f t="shared" si="37"/>
        <v>GroundGhost</v>
      </c>
      <c r="BR1005">
        <v>5</v>
      </c>
    </row>
    <row r="1006" spans="1:70" x14ac:dyDescent="0.25">
      <c r="A1006">
        <f t="shared" si="38"/>
        <v>953</v>
      </c>
      <c r="B1006" t="s">
        <v>2272</v>
      </c>
      <c r="D1006" s="1" t="s">
        <v>15</v>
      </c>
      <c r="E1006" s="1" t="s">
        <v>18</v>
      </c>
      <c r="F1006" s="1" t="s">
        <v>50</v>
      </c>
      <c r="G1006" s="1" t="s">
        <v>50</v>
      </c>
      <c r="H1006" s="1"/>
      <c r="I1006" s="1" t="s">
        <v>50</v>
      </c>
      <c r="J1006" s="1" t="s">
        <v>50</v>
      </c>
      <c r="K1006" s="1" t="s">
        <v>50</v>
      </c>
      <c r="L1006" s="1"/>
      <c r="M1006" s="1" t="s">
        <v>50</v>
      </c>
      <c r="N1006" s="1" t="s">
        <v>50</v>
      </c>
      <c r="O1006" s="1" t="s">
        <v>50</v>
      </c>
      <c r="P1006" s="1" t="s">
        <v>2070</v>
      </c>
      <c r="Q1006" s="1" t="s">
        <v>104</v>
      </c>
      <c r="R1006" s="1" t="s">
        <v>104</v>
      </c>
      <c r="S1006" s="1" t="s">
        <v>104</v>
      </c>
      <c r="T1006" s="1" t="s">
        <v>104</v>
      </c>
      <c r="U1006" s="1" t="s">
        <v>104</v>
      </c>
      <c r="V1006" s="1" t="s">
        <v>104</v>
      </c>
      <c r="W1006" s="1" t="s">
        <v>104</v>
      </c>
      <c r="X1006" s="1" t="s">
        <v>727</v>
      </c>
      <c r="Y1006" s="1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>
        <v>1</v>
      </c>
      <c r="AK1006" s="8">
        <v>1</v>
      </c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1"/>
      <c r="BL1006" s="58"/>
      <c r="BP1006" t="str">
        <f t="shared" si="37"/>
        <v>WaterFighting</v>
      </c>
      <c r="BR1006">
        <v>2</v>
      </c>
    </row>
    <row r="1007" spans="1:70" x14ac:dyDescent="0.25">
      <c r="A1007">
        <f t="shared" si="38"/>
        <v>954</v>
      </c>
      <c r="B1007" t="s">
        <v>2273</v>
      </c>
      <c r="D1007" s="1" t="s">
        <v>15</v>
      </c>
      <c r="E1007" s="1" t="s">
        <v>18</v>
      </c>
      <c r="F1007" s="1" t="s">
        <v>50</v>
      </c>
      <c r="G1007" s="1" t="s">
        <v>50</v>
      </c>
      <c r="H1007" s="1" t="s">
        <v>50</v>
      </c>
      <c r="I1007" s="1" t="s">
        <v>50</v>
      </c>
      <c r="J1007" s="1" t="s">
        <v>50</v>
      </c>
      <c r="K1007" s="1" t="s">
        <v>50</v>
      </c>
      <c r="L1007" s="1"/>
      <c r="M1007" s="1" t="s">
        <v>104</v>
      </c>
      <c r="N1007" s="1" t="s">
        <v>50</v>
      </c>
      <c r="O1007" s="1" t="s">
        <v>50</v>
      </c>
      <c r="P1007" s="1" t="s">
        <v>2070</v>
      </c>
      <c r="Q1007" s="1" t="s">
        <v>104</v>
      </c>
      <c r="R1007" s="1" t="s">
        <v>104</v>
      </c>
      <c r="S1007" s="1" t="s">
        <v>104</v>
      </c>
      <c r="T1007" s="1" t="s">
        <v>104</v>
      </c>
      <c r="U1007" s="1" t="s">
        <v>104</v>
      </c>
      <c r="V1007" s="1" t="s">
        <v>104</v>
      </c>
      <c r="W1007" s="1" t="s">
        <v>104</v>
      </c>
      <c r="X1007" s="1" t="s">
        <v>2120</v>
      </c>
      <c r="Y1007" s="1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>
        <v>1</v>
      </c>
      <c r="AK1007" s="8">
        <v>1</v>
      </c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1"/>
      <c r="BL1007" s="58"/>
      <c r="BP1007" t="str">
        <f t="shared" si="37"/>
        <v>WaterFighting</v>
      </c>
      <c r="BR1007">
        <v>2</v>
      </c>
    </row>
    <row r="1008" spans="1:70" x14ac:dyDescent="0.25">
      <c r="A1008">
        <f t="shared" si="38"/>
        <v>955</v>
      </c>
      <c r="B1008" t="s">
        <v>2274</v>
      </c>
      <c r="D1008" s="1" t="s">
        <v>9</v>
      </c>
      <c r="E1008" s="1" t="s">
        <v>6</v>
      </c>
      <c r="F1008" s="1" t="s">
        <v>50</v>
      </c>
      <c r="G1008" s="1" t="s">
        <v>50</v>
      </c>
      <c r="H1008" s="1"/>
      <c r="I1008" s="1" t="s">
        <v>50</v>
      </c>
      <c r="J1008" s="1" t="s">
        <v>50</v>
      </c>
      <c r="K1008" s="1" t="s">
        <v>50</v>
      </c>
      <c r="L1008" s="1"/>
      <c r="M1008" s="1" t="s">
        <v>50</v>
      </c>
      <c r="N1008" s="1" t="s">
        <v>50</v>
      </c>
      <c r="O1008" s="1" t="s">
        <v>50</v>
      </c>
      <c r="P1008" s="1" t="s">
        <v>1717</v>
      </c>
      <c r="Q1008" s="1" t="s">
        <v>104</v>
      </c>
      <c r="R1008" s="1" t="s">
        <v>104</v>
      </c>
      <c r="S1008" s="1" t="s">
        <v>104</v>
      </c>
      <c r="T1008" s="1" t="s">
        <v>104</v>
      </c>
      <c r="U1008" s="1" t="s">
        <v>104</v>
      </c>
      <c r="V1008" s="1" t="s">
        <v>104</v>
      </c>
      <c r="W1008" s="1" t="s">
        <v>104</v>
      </c>
      <c r="X1008" s="1" t="s">
        <v>727</v>
      </c>
      <c r="Y1008" s="1"/>
      <c r="Z1008" s="8"/>
      <c r="AA1008" s="8"/>
      <c r="AB1008" s="8"/>
      <c r="AC1008" s="8"/>
      <c r="AD1008" s="8">
        <v>1</v>
      </c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>
        <v>1</v>
      </c>
      <c r="AY1008" s="8">
        <v>1</v>
      </c>
      <c r="AZ1008" s="8"/>
      <c r="BA1008" s="8"/>
      <c r="BB1008" s="1"/>
      <c r="BL1008" s="58"/>
      <c r="BP1008" t="str">
        <f t="shared" si="37"/>
        <v>RockSteel</v>
      </c>
      <c r="BR1008">
        <v>8</v>
      </c>
    </row>
    <row r="1009" spans="1:70" x14ac:dyDescent="0.25">
      <c r="A1009">
        <f t="shared" si="38"/>
        <v>956</v>
      </c>
      <c r="B1009" t="s">
        <v>2275</v>
      </c>
      <c r="D1009" s="1" t="s">
        <v>9</v>
      </c>
      <c r="E1009" s="1" t="s">
        <v>6</v>
      </c>
      <c r="F1009" s="1" t="s">
        <v>50</v>
      </c>
      <c r="G1009" s="1" t="s">
        <v>50</v>
      </c>
      <c r="H1009" s="1" t="s">
        <v>50</v>
      </c>
      <c r="I1009" s="1" t="s">
        <v>50</v>
      </c>
      <c r="J1009" s="1" t="s">
        <v>50</v>
      </c>
      <c r="K1009" s="1" t="s">
        <v>50</v>
      </c>
      <c r="L1009" s="1"/>
      <c r="M1009" s="1" t="s">
        <v>104</v>
      </c>
      <c r="N1009" s="1" t="s">
        <v>50</v>
      </c>
      <c r="O1009" s="1" t="s">
        <v>50</v>
      </c>
      <c r="P1009" s="1" t="s">
        <v>1717</v>
      </c>
      <c r="Q1009" s="1" t="s">
        <v>50</v>
      </c>
      <c r="R1009" s="1" t="s">
        <v>50</v>
      </c>
      <c r="S1009" s="1" t="s">
        <v>50</v>
      </c>
      <c r="T1009" s="1" t="s">
        <v>50</v>
      </c>
      <c r="U1009" s="1" t="s">
        <v>50</v>
      </c>
      <c r="V1009" s="1" t="s">
        <v>50</v>
      </c>
      <c r="W1009" s="1" t="s">
        <v>50</v>
      </c>
      <c r="X1009" s="1" t="s">
        <v>727</v>
      </c>
      <c r="Y1009" s="1"/>
      <c r="Z1009" s="8"/>
      <c r="AA1009" s="8"/>
      <c r="AB1009" s="8"/>
      <c r="AC1009" s="8"/>
      <c r="AD1009" s="8">
        <v>1</v>
      </c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>
        <v>1</v>
      </c>
      <c r="AY1009" s="8">
        <v>1</v>
      </c>
      <c r="AZ1009" s="8"/>
      <c r="BA1009" s="8"/>
      <c r="BB1009" s="1"/>
      <c r="BK1009">
        <v>3</v>
      </c>
      <c r="BL1009" s="58"/>
      <c r="BP1009" t="str">
        <f t="shared" si="37"/>
        <v>RockSteel</v>
      </c>
      <c r="BR1009">
        <v>8</v>
      </c>
    </row>
    <row r="1010" spans="1:70" x14ac:dyDescent="0.25">
      <c r="A1010">
        <f t="shared" si="38"/>
        <v>957</v>
      </c>
      <c r="B1010" t="s">
        <v>2279</v>
      </c>
      <c r="D1010" s="1" t="s">
        <v>16</v>
      </c>
      <c r="E1010" s="1">
        <v>0</v>
      </c>
      <c r="F1010" s="1" t="s">
        <v>50</v>
      </c>
      <c r="G1010" s="1" t="s">
        <v>50</v>
      </c>
      <c r="H1010" s="1"/>
      <c r="I1010" s="1" t="s">
        <v>50</v>
      </c>
      <c r="J1010" s="1" t="s">
        <v>50</v>
      </c>
      <c r="K1010" s="1" t="s">
        <v>50</v>
      </c>
      <c r="L1010" s="1"/>
      <c r="M1010" s="1" t="s">
        <v>50</v>
      </c>
      <c r="N1010" s="1" t="s">
        <v>50</v>
      </c>
      <c r="O1010" s="1" t="s">
        <v>50</v>
      </c>
      <c r="P1010" s="1" t="s">
        <v>2070</v>
      </c>
      <c r="Q1010" s="1" t="s">
        <v>104</v>
      </c>
      <c r="R1010" s="1" t="s">
        <v>104</v>
      </c>
      <c r="S1010" s="1" t="s">
        <v>104</v>
      </c>
      <c r="T1010" s="1" t="s">
        <v>104</v>
      </c>
      <c r="U1010" s="1" t="s">
        <v>104</v>
      </c>
      <c r="V1010" s="1" t="s">
        <v>104</v>
      </c>
      <c r="W1010" s="1" t="s">
        <v>104</v>
      </c>
      <c r="X1010" s="1" t="s">
        <v>2283</v>
      </c>
      <c r="Y1010" s="1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>
        <v>1</v>
      </c>
      <c r="AQ1010" s="8">
        <v>1</v>
      </c>
      <c r="AR1010" s="8">
        <v>1</v>
      </c>
      <c r="AS1010" s="8"/>
      <c r="AT1010" s="8"/>
      <c r="AU1010" s="8"/>
      <c r="AV1010" s="8"/>
      <c r="AW1010" s="8"/>
      <c r="AX1010" s="8"/>
      <c r="AY1010" s="8"/>
      <c r="AZ1010" s="8"/>
      <c r="BA1010" s="8"/>
      <c r="BB1010" s="1"/>
      <c r="BL1010" s="58"/>
      <c r="BP1010" t="str">
        <f t="shared" si="37"/>
        <v>Flying0</v>
      </c>
      <c r="BR1010">
        <v>6</v>
      </c>
    </row>
    <row r="1011" spans="1:70" x14ac:dyDescent="0.25">
      <c r="A1011">
        <f t="shared" si="38"/>
        <v>958</v>
      </c>
      <c r="B1011" t="s">
        <v>2280</v>
      </c>
      <c r="D1011" s="1" t="s">
        <v>16</v>
      </c>
      <c r="E1011" s="1">
        <v>0</v>
      </c>
      <c r="F1011" s="1" t="s">
        <v>50</v>
      </c>
      <c r="G1011" s="1" t="s">
        <v>50</v>
      </c>
      <c r="H1011" s="1" t="s">
        <v>50</v>
      </c>
      <c r="I1011" s="1" t="s">
        <v>50</v>
      </c>
      <c r="J1011" s="1" t="s">
        <v>50</v>
      </c>
      <c r="K1011" s="1" t="s">
        <v>50</v>
      </c>
      <c r="L1011" s="1"/>
      <c r="M1011" s="1" t="s">
        <v>104</v>
      </c>
      <c r="N1011" s="1" t="s">
        <v>50</v>
      </c>
      <c r="O1011" s="1" t="s">
        <v>50</v>
      </c>
      <c r="P1011" s="1" t="s">
        <v>2070</v>
      </c>
      <c r="Q1011" s="1" t="s">
        <v>104</v>
      </c>
      <c r="R1011" s="1" t="s">
        <v>104</v>
      </c>
      <c r="S1011" s="1" t="s">
        <v>104</v>
      </c>
      <c r="T1011" s="1" t="s">
        <v>104</v>
      </c>
      <c r="U1011" s="1" t="s">
        <v>104</v>
      </c>
      <c r="V1011" s="1" t="s">
        <v>104</v>
      </c>
      <c r="W1011" s="1" t="s">
        <v>104</v>
      </c>
      <c r="X1011" s="1" t="s">
        <v>2283</v>
      </c>
      <c r="Y1011" s="1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>
        <v>1</v>
      </c>
      <c r="AQ1011" s="8">
        <v>1</v>
      </c>
      <c r="AR1011" s="8">
        <v>1</v>
      </c>
      <c r="AS1011" s="8"/>
      <c r="AT1011" s="8"/>
      <c r="AU1011" s="8"/>
      <c r="AV1011" s="8"/>
      <c r="AW1011" s="8"/>
      <c r="AX1011" s="8"/>
      <c r="AY1011" s="8"/>
      <c r="AZ1011" s="8"/>
      <c r="BA1011" s="8"/>
      <c r="BB1011" s="1"/>
      <c r="BK1011">
        <v>2</v>
      </c>
      <c r="BL1011" s="58"/>
      <c r="BP1011" t="str">
        <f t="shared" si="37"/>
        <v>Flying0</v>
      </c>
      <c r="BR1011">
        <v>6</v>
      </c>
    </row>
    <row r="1012" spans="1:70" x14ac:dyDescent="0.25">
      <c r="A1012">
        <f t="shared" si="38"/>
        <v>959</v>
      </c>
      <c r="B1012" t="s">
        <v>2281</v>
      </c>
      <c r="D1012" s="1" t="s">
        <v>13</v>
      </c>
      <c r="E1012" s="1" t="s">
        <v>16</v>
      </c>
      <c r="F1012" s="1" t="s">
        <v>50</v>
      </c>
      <c r="G1012" s="1" t="s">
        <v>50</v>
      </c>
      <c r="H1012" s="1" t="s">
        <v>50</v>
      </c>
      <c r="I1012" s="1" t="s">
        <v>50</v>
      </c>
      <c r="J1012" s="1" t="s">
        <v>50</v>
      </c>
      <c r="K1012" s="1" t="s">
        <v>50</v>
      </c>
      <c r="L1012" s="1"/>
      <c r="M1012" s="1" t="s">
        <v>50</v>
      </c>
      <c r="N1012" s="1" t="s">
        <v>50</v>
      </c>
      <c r="O1012" s="1" t="s">
        <v>50</v>
      </c>
      <c r="P1012" s="1" t="s">
        <v>2070</v>
      </c>
      <c r="Q1012" s="1" t="s">
        <v>104</v>
      </c>
      <c r="R1012" s="1" t="s">
        <v>104</v>
      </c>
      <c r="S1012" s="1" t="s">
        <v>104</v>
      </c>
      <c r="T1012" s="1" t="s">
        <v>104</v>
      </c>
      <c r="U1012" s="1" t="s">
        <v>104</v>
      </c>
      <c r="V1012" s="1" t="s">
        <v>104</v>
      </c>
      <c r="W1012" s="1" t="s">
        <v>104</v>
      </c>
      <c r="X1012" s="1" t="s">
        <v>2259</v>
      </c>
      <c r="Y1012" s="1"/>
      <c r="Z1012" s="8"/>
      <c r="AA1012" s="8"/>
      <c r="AB1012" s="8"/>
      <c r="AC1012" s="8"/>
      <c r="AD1012" s="8"/>
      <c r="AE1012" s="8">
        <v>1</v>
      </c>
      <c r="AF1012" s="8">
        <v>1</v>
      </c>
      <c r="AG1012" s="8">
        <v>1</v>
      </c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>
        <v>1</v>
      </c>
      <c r="AX1012" s="8">
        <v>1</v>
      </c>
      <c r="AY1012" s="8">
        <v>1</v>
      </c>
      <c r="AZ1012" s="8"/>
      <c r="BA1012" s="8"/>
      <c r="BB1012" s="1"/>
      <c r="BK1012">
        <v>1</v>
      </c>
      <c r="BL1012" s="58"/>
      <c r="BP1012" t="str">
        <f t="shared" si="37"/>
        <v>FireFlying</v>
      </c>
      <c r="BR1012">
        <v>5</v>
      </c>
    </row>
    <row r="1013" spans="1:70" x14ac:dyDescent="0.25">
      <c r="A1013">
        <f t="shared" si="38"/>
        <v>960</v>
      </c>
      <c r="B1013" t="s">
        <v>2282</v>
      </c>
      <c r="D1013" s="1" t="s">
        <v>5</v>
      </c>
      <c r="E1013" s="1" t="s">
        <v>10</v>
      </c>
      <c r="F1013" s="1" t="s">
        <v>50</v>
      </c>
      <c r="G1013" s="1" t="s">
        <v>50</v>
      </c>
      <c r="H1013" s="1" t="s">
        <v>50</v>
      </c>
      <c r="I1013" s="1" t="s">
        <v>50</v>
      </c>
      <c r="J1013" s="1" t="s">
        <v>50</v>
      </c>
      <c r="K1013" s="1" t="s">
        <v>50</v>
      </c>
      <c r="L1013" s="1"/>
      <c r="M1013" s="1" t="s">
        <v>50</v>
      </c>
      <c r="N1013" s="1" t="s">
        <v>50</v>
      </c>
      <c r="O1013" s="1" t="s">
        <v>50</v>
      </c>
      <c r="P1013" s="1" t="s">
        <v>2070</v>
      </c>
      <c r="Q1013" s="1" t="s">
        <v>104</v>
      </c>
      <c r="R1013" s="1" t="s">
        <v>104</v>
      </c>
      <c r="S1013" s="1" t="s">
        <v>104</v>
      </c>
      <c r="T1013" s="1" t="s">
        <v>104</v>
      </c>
      <c r="U1013" s="1" t="s">
        <v>104</v>
      </c>
      <c r="V1013" s="1" t="s">
        <v>104</v>
      </c>
      <c r="W1013" s="1" t="s">
        <v>104</v>
      </c>
      <c r="X1013" s="1" t="s">
        <v>726</v>
      </c>
      <c r="Y1013" s="1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>
        <v>1</v>
      </c>
      <c r="AQ1013" s="8">
        <v>1</v>
      </c>
      <c r="AR1013" s="8">
        <v>1</v>
      </c>
      <c r="AS1013" s="8"/>
      <c r="AT1013" s="8"/>
      <c r="AU1013" s="8"/>
      <c r="AV1013" s="8"/>
      <c r="AW1013" s="8"/>
      <c r="AX1013" s="8"/>
      <c r="AY1013" s="8"/>
      <c r="AZ1013" s="8"/>
      <c r="BA1013" s="8"/>
      <c r="BB1013" s="1"/>
      <c r="BK1013">
        <v>1</v>
      </c>
      <c r="BL1013" s="58"/>
      <c r="BP1013" t="str">
        <f t="shared" si="37"/>
        <v>IcePoison</v>
      </c>
      <c r="BR1013">
        <v>9</v>
      </c>
    </row>
    <row r="1014" spans="1:70" x14ac:dyDescent="0.25">
      <c r="A1014">
        <f t="shared" si="38"/>
        <v>961</v>
      </c>
      <c r="B1014" t="s">
        <v>2284</v>
      </c>
      <c r="D1014" s="1" t="s">
        <v>44</v>
      </c>
      <c r="E1014" s="1" t="s">
        <v>17</v>
      </c>
      <c r="F1014" s="1" t="s">
        <v>50</v>
      </c>
      <c r="G1014" s="1" t="s">
        <v>50</v>
      </c>
      <c r="H1014" s="1"/>
      <c r="I1014" s="1" t="s">
        <v>50</v>
      </c>
      <c r="J1014" s="1" t="s">
        <v>50</v>
      </c>
      <c r="K1014" s="1" t="s">
        <v>50</v>
      </c>
      <c r="L1014" s="1"/>
      <c r="M1014" s="1" t="s">
        <v>50</v>
      </c>
      <c r="N1014" s="1" t="s">
        <v>50</v>
      </c>
      <c r="O1014" s="1" t="s">
        <v>50</v>
      </c>
      <c r="P1014" s="1" t="s">
        <v>1788</v>
      </c>
      <c r="Q1014" s="1" t="s">
        <v>104</v>
      </c>
      <c r="R1014" s="1" t="s">
        <v>104</v>
      </c>
      <c r="S1014" s="1" t="s">
        <v>104</v>
      </c>
      <c r="T1014" s="1" t="s">
        <v>104</v>
      </c>
      <c r="U1014" s="1" t="s">
        <v>104</v>
      </c>
      <c r="V1014" s="1" t="s">
        <v>104</v>
      </c>
      <c r="W1014" s="1" t="s">
        <v>104</v>
      </c>
      <c r="X1014" s="1" t="s">
        <v>727</v>
      </c>
      <c r="Y1014" s="1"/>
      <c r="Z1014" s="8"/>
      <c r="AA1014" s="8"/>
      <c r="AB1014" s="8"/>
      <c r="AC1014" s="8"/>
      <c r="AD1014" s="8">
        <v>1</v>
      </c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1"/>
      <c r="BL1014" s="58"/>
      <c r="BP1014" t="str">
        <f t="shared" si="37"/>
        <v>LightBug</v>
      </c>
      <c r="BQ1014" t="s">
        <v>2</v>
      </c>
      <c r="BR1014">
        <v>4</v>
      </c>
    </row>
    <row r="1015" spans="1:70" x14ac:dyDescent="0.25">
      <c r="A1015">
        <f t="shared" si="38"/>
        <v>962</v>
      </c>
      <c r="B1015" t="s">
        <v>2285</v>
      </c>
      <c r="D1015" s="1" t="s">
        <v>44</v>
      </c>
      <c r="E1015" s="1" t="s">
        <v>17</v>
      </c>
      <c r="F1015" s="1" t="s">
        <v>50</v>
      </c>
      <c r="G1015" s="1" t="s">
        <v>50</v>
      </c>
      <c r="H1015" s="1" t="s">
        <v>50</v>
      </c>
      <c r="I1015" s="1" t="s">
        <v>50</v>
      </c>
      <c r="J1015" s="1" t="s">
        <v>50</v>
      </c>
      <c r="K1015" s="1" t="s">
        <v>50</v>
      </c>
      <c r="L1015" s="1"/>
      <c r="M1015" s="1" t="s">
        <v>104</v>
      </c>
      <c r="N1015" s="1" t="s">
        <v>50</v>
      </c>
      <c r="O1015" s="1" t="s">
        <v>50</v>
      </c>
      <c r="P1015" s="1" t="s">
        <v>1788</v>
      </c>
      <c r="Q1015" s="1" t="s">
        <v>104</v>
      </c>
      <c r="R1015" s="1" t="s">
        <v>104</v>
      </c>
      <c r="S1015" s="1" t="s">
        <v>104</v>
      </c>
      <c r="T1015" s="1" t="s">
        <v>104</v>
      </c>
      <c r="U1015" s="1" t="s">
        <v>104</v>
      </c>
      <c r="V1015" s="1" t="s">
        <v>104</v>
      </c>
      <c r="W1015" s="1" t="s">
        <v>104</v>
      </c>
      <c r="X1015" s="1" t="s">
        <v>727</v>
      </c>
      <c r="Y1015" s="1"/>
      <c r="Z1015" s="8"/>
      <c r="AA1015" s="8"/>
      <c r="AB1015" s="8"/>
      <c r="AC1015" s="8"/>
      <c r="AD1015" s="8">
        <v>1</v>
      </c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1"/>
      <c r="BL1015" s="58"/>
      <c r="BP1015" t="str">
        <f t="shared" si="37"/>
        <v>LightBug</v>
      </c>
      <c r="BR1015">
        <v>4</v>
      </c>
    </row>
    <row r="1016" spans="1:70" x14ac:dyDescent="0.25">
      <c r="A1016">
        <f t="shared" si="38"/>
        <v>963</v>
      </c>
      <c r="B1016" t="s">
        <v>2286</v>
      </c>
      <c r="D1016" s="1" t="s">
        <v>44</v>
      </c>
      <c r="E1016" s="1" t="s">
        <v>17</v>
      </c>
      <c r="F1016" s="1" t="s">
        <v>50</v>
      </c>
      <c r="G1016" s="1" t="s">
        <v>50</v>
      </c>
      <c r="H1016" s="1" t="s">
        <v>50</v>
      </c>
      <c r="I1016" s="1" t="s">
        <v>50</v>
      </c>
      <c r="J1016" s="1" t="s">
        <v>50</v>
      </c>
      <c r="K1016" s="1" t="s">
        <v>50</v>
      </c>
      <c r="L1016" s="1"/>
      <c r="M1016" s="1" t="s">
        <v>104</v>
      </c>
      <c r="N1016" s="1" t="s">
        <v>50</v>
      </c>
      <c r="O1016" s="1" t="s">
        <v>50</v>
      </c>
      <c r="P1016" s="1" t="s">
        <v>1788</v>
      </c>
      <c r="Q1016" s="1" t="s">
        <v>104</v>
      </c>
      <c r="R1016" s="1" t="s">
        <v>104</v>
      </c>
      <c r="S1016" s="1" t="s">
        <v>104</v>
      </c>
      <c r="T1016" s="1" t="s">
        <v>104</v>
      </c>
      <c r="U1016" s="1" t="s">
        <v>104</v>
      </c>
      <c r="V1016" s="1" t="s">
        <v>104</v>
      </c>
      <c r="W1016" s="1" t="s">
        <v>104</v>
      </c>
      <c r="X1016" s="1" t="s">
        <v>727</v>
      </c>
      <c r="Y1016" s="1"/>
      <c r="Z1016" s="8"/>
      <c r="AA1016" s="8"/>
      <c r="AB1016" s="8"/>
      <c r="AC1016" s="8"/>
      <c r="AD1016" s="8">
        <v>1</v>
      </c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1"/>
      <c r="BK1016">
        <v>1</v>
      </c>
      <c r="BL1016" s="58"/>
      <c r="BP1016" t="str">
        <f t="shared" si="37"/>
        <v>LightBug</v>
      </c>
      <c r="BR1016">
        <v>4</v>
      </c>
    </row>
    <row r="1017" spans="1:70" x14ac:dyDescent="0.25">
      <c r="A1017" s="1" t="s">
        <v>50</v>
      </c>
      <c r="B1017" t="s">
        <v>2284</v>
      </c>
      <c r="C1017" t="s">
        <v>2287</v>
      </c>
      <c r="D1017" s="1" t="s">
        <v>9</v>
      </c>
      <c r="E1017" s="1" t="s">
        <v>17</v>
      </c>
      <c r="F1017" s="1" t="s">
        <v>50</v>
      </c>
      <c r="G1017" s="1" t="s">
        <v>50</v>
      </c>
      <c r="H1017" s="1"/>
      <c r="I1017" s="1" t="s">
        <v>50</v>
      </c>
      <c r="J1017" s="1" t="s">
        <v>50</v>
      </c>
      <c r="K1017" s="1" t="s">
        <v>50</v>
      </c>
      <c r="L1017" s="1"/>
      <c r="M1017" s="1" t="s">
        <v>50</v>
      </c>
      <c r="N1017" s="1" t="s">
        <v>50</v>
      </c>
      <c r="O1017" s="1" t="s">
        <v>50</v>
      </c>
      <c r="P1017" s="13" t="s">
        <v>831</v>
      </c>
      <c r="Q1017" s="1" t="s">
        <v>104</v>
      </c>
      <c r="R1017" s="1" t="s">
        <v>104</v>
      </c>
      <c r="S1017" s="1" t="s">
        <v>104</v>
      </c>
      <c r="T1017" s="1" t="s">
        <v>104</v>
      </c>
      <c r="U1017" s="1" t="s">
        <v>104</v>
      </c>
      <c r="V1017" s="1" t="s">
        <v>104</v>
      </c>
      <c r="W1017" s="1" t="s">
        <v>104</v>
      </c>
      <c r="X1017" s="1" t="s">
        <v>727</v>
      </c>
      <c r="Y1017" s="1"/>
      <c r="Z1017" s="8"/>
      <c r="AA1017" s="8"/>
      <c r="AB1017" s="8"/>
      <c r="AC1017" s="8"/>
      <c r="AD1017" s="8">
        <v>1</v>
      </c>
      <c r="AE1017" s="8"/>
      <c r="AF1017" s="8"/>
      <c r="AG1017" s="8"/>
      <c r="AH1017" s="8"/>
      <c r="AI1017" s="8"/>
      <c r="AJ1017" s="8">
        <v>1</v>
      </c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>
        <v>1</v>
      </c>
      <c r="AY1017" s="8">
        <v>1</v>
      </c>
      <c r="AZ1017" s="8"/>
      <c r="BA1017" s="8"/>
      <c r="BB1017" s="1"/>
      <c r="BL1017" s="58"/>
      <c r="BP1017" t="str">
        <f t="shared" si="37"/>
        <v>RockBug</v>
      </c>
      <c r="BQ1017" t="s">
        <v>2</v>
      </c>
      <c r="BR1017" s="1">
        <v>4</v>
      </c>
    </row>
    <row r="1018" spans="1:70" x14ac:dyDescent="0.25">
      <c r="A1018" s="1" t="s">
        <v>50</v>
      </c>
      <c r="B1018" t="s">
        <v>2285</v>
      </c>
      <c r="C1018" t="s">
        <v>2287</v>
      </c>
      <c r="D1018" s="1" t="s">
        <v>9</v>
      </c>
      <c r="E1018" s="1" t="s">
        <v>17</v>
      </c>
      <c r="F1018" s="1" t="s">
        <v>50</v>
      </c>
      <c r="G1018" s="1" t="s">
        <v>50</v>
      </c>
      <c r="H1018" s="1" t="s">
        <v>50</v>
      </c>
      <c r="I1018" s="1" t="s">
        <v>50</v>
      </c>
      <c r="J1018" s="1" t="s">
        <v>50</v>
      </c>
      <c r="K1018" s="1" t="s">
        <v>50</v>
      </c>
      <c r="L1018" s="1"/>
      <c r="M1018" s="1" t="s">
        <v>104</v>
      </c>
      <c r="N1018" s="1" t="s">
        <v>50</v>
      </c>
      <c r="O1018" s="1" t="s">
        <v>50</v>
      </c>
      <c r="P1018" s="13" t="s">
        <v>831</v>
      </c>
      <c r="Q1018" s="1" t="s">
        <v>104</v>
      </c>
      <c r="R1018" s="1" t="s">
        <v>104</v>
      </c>
      <c r="S1018" s="1" t="s">
        <v>104</v>
      </c>
      <c r="T1018" s="1" t="s">
        <v>104</v>
      </c>
      <c r="U1018" s="1" t="s">
        <v>104</v>
      </c>
      <c r="V1018" s="1" t="s">
        <v>104</v>
      </c>
      <c r="W1018" s="1" t="s">
        <v>104</v>
      </c>
      <c r="X1018" s="1" t="s">
        <v>727</v>
      </c>
      <c r="Y1018" s="1"/>
      <c r="Z1018" s="8"/>
      <c r="AA1018" s="8"/>
      <c r="AB1018" s="8"/>
      <c r="AC1018" s="8"/>
      <c r="AD1018" s="8">
        <v>1</v>
      </c>
      <c r="AE1018" s="8"/>
      <c r="AF1018" s="8"/>
      <c r="AG1018" s="8"/>
      <c r="AH1018" s="8"/>
      <c r="AI1018" s="8"/>
      <c r="AJ1018" s="8">
        <v>1</v>
      </c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>
        <v>1</v>
      </c>
      <c r="AY1018" s="8">
        <v>1</v>
      </c>
      <c r="AZ1018" s="8"/>
      <c r="BA1018" s="8"/>
      <c r="BB1018" s="1"/>
      <c r="BL1018" s="58"/>
      <c r="BP1018" t="str">
        <f t="shared" si="37"/>
        <v>RockBug</v>
      </c>
      <c r="BR1018" s="1">
        <v>4</v>
      </c>
    </row>
    <row r="1019" spans="1:70" x14ac:dyDescent="0.25">
      <c r="A1019" s="1" t="s">
        <v>50</v>
      </c>
      <c r="B1019" t="s">
        <v>2286</v>
      </c>
      <c r="C1019" t="s">
        <v>2287</v>
      </c>
      <c r="D1019" s="1" t="s">
        <v>9</v>
      </c>
      <c r="E1019" s="1" t="s">
        <v>17</v>
      </c>
      <c r="F1019" s="1" t="s">
        <v>50</v>
      </c>
      <c r="G1019" s="1" t="s">
        <v>50</v>
      </c>
      <c r="H1019" s="1" t="s">
        <v>50</v>
      </c>
      <c r="I1019" s="1" t="s">
        <v>50</v>
      </c>
      <c r="J1019" s="1" t="s">
        <v>50</v>
      </c>
      <c r="K1019" s="1" t="s">
        <v>50</v>
      </c>
      <c r="L1019" s="1"/>
      <c r="M1019" s="1" t="s">
        <v>104</v>
      </c>
      <c r="N1019" s="1" t="s">
        <v>50</v>
      </c>
      <c r="O1019" s="1" t="s">
        <v>50</v>
      </c>
      <c r="P1019" s="13" t="s">
        <v>831</v>
      </c>
      <c r="Q1019" s="1" t="s">
        <v>104</v>
      </c>
      <c r="R1019" s="1" t="s">
        <v>104</v>
      </c>
      <c r="S1019" s="1" t="s">
        <v>104</v>
      </c>
      <c r="T1019" s="1" t="s">
        <v>104</v>
      </c>
      <c r="U1019" s="1" t="s">
        <v>104</v>
      </c>
      <c r="V1019" s="1" t="s">
        <v>104</v>
      </c>
      <c r="W1019" s="1" t="s">
        <v>104</v>
      </c>
      <c r="X1019" s="1" t="s">
        <v>727</v>
      </c>
      <c r="Y1019" s="1"/>
      <c r="Z1019" s="8"/>
      <c r="AA1019" s="8"/>
      <c r="AB1019" s="8"/>
      <c r="AC1019" s="8"/>
      <c r="AD1019" s="8">
        <v>1</v>
      </c>
      <c r="AE1019" s="8"/>
      <c r="AF1019" s="8"/>
      <c r="AG1019" s="8"/>
      <c r="AH1019" s="8"/>
      <c r="AI1019" s="8"/>
      <c r="AJ1019" s="8">
        <v>1</v>
      </c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>
        <v>1</v>
      </c>
      <c r="AY1019" s="8">
        <v>1</v>
      </c>
      <c r="AZ1019" s="8"/>
      <c r="BA1019" s="8"/>
      <c r="BB1019" s="1"/>
      <c r="BL1019" s="58"/>
      <c r="BP1019" t="str">
        <f t="shared" si="37"/>
        <v>RockBug</v>
      </c>
      <c r="BR1019" s="1">
        <v>4</v>
      </c>
    </row>
    <row r="1020" spans="1:70" x14ac:dyDescent="0.25">
      <c r="A1020" s="1" t="s">
        <v>50</v>
      </c>
      <c r="B1020" t="s">
        <v>2284</v>
      </c>
      <c r="C1020" t="s">
        <v>2288</v>
      </c>
      <c r="D1020" s="1" t="s">
        <v>5</v>
      </c>
      <c r="E1020" s="1" t="s">
        <v>17</v>
      </c>
      <c r="F1020" s="1" t="s">
        <v>50</v>
      </c>
      <c r="G1020" s="1" t="s">
        <v>50</v>
      </c>
      <c r="H1020" s="1"/>
      <c r="I1020" s="1" t="s">
        <v>50</v>
      </c>
      <c r="J1020" s="1" t="s">
        <v>50</v>
      </c>
      <c r="K1020" s="1" t="s">
        <v>50</v>
      </c>
      <c r="L1020" s="1"/>
      <c r="M1020" s="1" t="s">
        <v>50</v>
      </c>
      <c r="N1020" s="1" t="s">
        <v>50</v>
      </c>
      <c r="O1020" s="1" t="s">
        <v>50</v>
      </c>
      <c r="P1020" s="13" t="s">
        <v>1716</v>
      </c>
      <c r="Q1020" s="1" t="s">
        <v>104</v>
      </c>
      <c r="R1020" s="1" t="s">
        <v>104</v>
      </c>
      <c r="S1020" s="1" t="s">
        <v>104</v>
      </c>
      <c r="T1020" s="1" t="s">
        <v>104</v>
      </c>
      <c r="U1020" s="1" t="s">
        <v>104</v>
      </c>
      <c r="V1020" s="1" t="s">
        <v>104</v>
      </c>
      <c r="W1020" s="1" t="s">
        <v>104</v>
      </c>
      <c r="X1020" s="1" t="s">
        <v>727</v>
      </c>
      <c r="Y1020" s="1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>
        <v>1</v>
      </c>
      <c r="AP1020" s="8"/>
      <c r="AQ1020" s="8"/>
      <c r="AR1020" s="8">
        <v>1</v>
      </c>
      <c r="AS1020" s="8"/>
      <c r="AT1020" s="8"/>
      <c r="AU1020" s="8"/>
      <c r="AV1020" s="8"/>
      <c r="AW1020" s="8"/>
      <c r="AX1020" s="8"/>
      <c r="AY1020" s="8"/>
      <c r="AZ1020" s="8"/>
      <c r="BA1020" s="8"/>
      <c r="BB1020" s="1"/>
      <c r="BL1020" s="58"/>
      <c r="BP1020" t="str">
        <f t="shared" si="37"/>
        <v>IceBug</v>
      </c>
      <c r="BQ1020" t="s">
        <v>2</v>
      </c>
      <c r="BR1020" s="1">
        <v>4</v>
      </c>
    </row>
    <row r="1021" spans="1:70" x14ac:dyDescent="0.25">
      <c r="A1021" s="1" t="s">
        <v>50</v>
      </c>
      <c r="B1021" t="s">
        <v>2285</v>
      </c>
      <c r="C1021" t="s">
        <v>2288</v>
      </c>
      <c r="D1021" s="1" t="s">
        <v>5</v>
      </c>
      <c r="E1021" s="1" t="s">
        <v>17</v>
      </c>
      <c r="F1021" s="1" t="s">
        <v>50</v>
      </c>
      <c r="G1021" s="1" t="s">
        <v>50</v>
      </c>
      <c r="H1021" s="1" t="s">
        <v>50</v>
      </c>
      <c r="I1021" s="1" t="s">
        <v>50</v>
      </c>
      <c r="J1021" s="1" t="s">
        <v>50</v>
      </c>
      <c r="K1021" s="1" t="s">
        <v>50</v>
      </c>
      <c r="L1021" s="1"/>
      <c r="M1021" s="1" t="s">
        <v>104</v>
      </c>
      <c r="N1021" s="1" t="s">
        <v>50</v>
      </c>
      <c r="O1021" s="1" t="s">
        <v>50</v>
      </c>
      <c r="P1021" s="13" t="s">
        <v>1716</v>
      </c>
      <c r="Q1021" s="1" t="s">
        <v>104</v>
      </c>
      <c r="R1021" s="1" t="s">
        <v>104</v>
      </c>
      <c r="S1021" s="1" t="s">
        <v>104</v>
      </c>
      <c r="T1021" s="1" t="s">
        <v>104</v>
      </c>
      <c r="U1021" s="1" t="s">
        <v>104</v>
      </c>
      <c r="V1021" s="1" t="s">
        <v>104</v>
      </c>
      <c r="W1021" s="1" t="s">
        <v>104</v>
      </c>
      <c r="X1021" s="1" t="s">
        <v>727</v>
      </c>
      <c r="Y1021" s="1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>
        <v>1</v>
      </c>
      <c r="AP1021" s="8"/>
      <c r="AQ1021" s="8"/>
      <c r="AR1021" s="8">
        <v>1</v>
      </c>
      <c r="AS1021" s="8"/>
      <c r="AT1021" s="8"/>
      <c r="AU1021" s="8"/>
      <c r="AV1021" s="8"/>
      <c r="AW1021" s="8"/>
      <c r="AX1021" s="8"/>
      <c r="AY1021" s="8"/>
      <c r="AZ1021" s="8"/>
      <c r="BA1021" s="8"/>
      <c r="BB1021" s="1"/>
      <c r="BL1021" s="58"/>
      <c r="BP1021" t="str">
        <f t="shared" si="37"/>
        <v>IceBug</v>
      </c>
      <c r="BR1021" s="1">
        <v>4</v>
      </c>
    </row>
    <row r="1022" spans="1:70" x14ac:dyDescent="0.25">
      <c r="A1022" s="1" t="s">
        <v>50</v>
      </c>
      <c r="B1022" t="s">
        <v>2286</v>
      </c>
      <c r="C1022" t="s">
        <v>2288</v>
      </c>
      <c r="D1022" s="1" t="s">
        <v>5</v>
      </c>
      <c r="E1022" s="1" t="s">
        <v>17</v>
      </c>
      <c r="F1022" s="1" t="s">
        <v>50</v>
      </c>
      <c r="G1022" s="1" t="s">
        <v>50</v>
      </c>
      <c r="H1022" s="1" t="s">
        <v>50</v>
      </c>
      <c r="I1022" s="1" t="s">
        <v>50</v>
      </c>
      <c r="J1022" s="1" t="s">
        <v>50</v>
      </c>
      <c r="K1022" s="1" t="s">
        <v>50</v>
      </c>
      <c r="L1022" s="1"/>
      <c r="M1022" s="1" t="s">
        <v>104</v>
      </c>
      <c r="N1022" s="1" t="s">
        <v>50</v>
      </c>
      <c r="O1022" s="1" t="s">
        <v>50</v>
      </c>
      <c r="P1022" s="13" t="s">
        <v>1716</v>
      </c>
      <c r="Q1022" s="1" t="s">
        <v>104</v>
      </c>
      <c r="R1022" s="1" t="s">
        <v>104</v>
      </c>
      <c r="S1022" s="1" t="s">
        <v>104</v>
      </c>
      <c r="T1022" s="1" t="s">
        <v>104</v>
      </c>
      <c r="U1022" s="1" t="s">
        <v>104</v>
      </c>
      <c r="V1022" s="1" t="s">
        <v>104</v>
      </c>
      <c r="W1022" s="1" t="s">
        <v>104</v>
      </c>
      <c r="X1022" s="1" t="s">
        <v>727</v>
      </c>
      <c r="Y1022" s="1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>
        <v>1</v>
      </c>
      <c r="AP1022" s="8"/>
      <c r="AQ1022" s="8"/>
      <c r="AR1022" s="8">
        <v>1</v>
      </c>
      <c r="AS1022" s="8"/>
      <c r="AT1022" s="8"/>
      <c r="AU1022" s="8"/>
      <c r="AV1022" s="8"/>
      <c r="AW1022" s="8"/>
      <c r="AX1022" s="8"/>
      <c r="AY1022" s="8"/>
      <c r="AZ1022" s="8"/>
      <c r="BA1022" s="8"/>
      <c r="BB1022" s="1"/>
      <c r="BL1022" s="58"/>
      <c r="BP1022" t="str">
        <f t="shared" si="37"/>
        <v>IceBug</v>
      </c>
      <c r="BR1022" s="1">
        <v>4</v>
      </c>
    </row>
    <row r="1023" spans="1:70" x14ac:dyDescent="0.25">
      <c r="A1023">
        <f>A1016+1</f>
        <v>964</v>
      </c>
      <c r="B1023" t="s">
        <v>2289</v>
      </c>
      <c r="D1023" s="1" t="s">
        <v>4</v>
      </c>
      <c r="E1023" s="1" t="s">
        <v>7</v>
      </c>
      <c r="F1023" s="1" t="s">
        <v>50</v>
      </c>
      <c r="G1023" s="1" t="s">
        <v>50</v>
      </c>
      <c r="H1023" s="1"/>
      <c r="I1023" s="1" t="s">
        <v>50</v>
      </c>
      <c r="J1023" s="1" t="s">
        <v>50</v>
      </c>
      <c r="K1023" s="1" t="s">
        <v>50</v>
      </c>
      <c r="L1023" s="1"/>
      <c r="M1023" s="1" t="s">
        <v>50</v>
      </c>
      <c r="N1023" s="1" t="s">
        <v>50</v>
      </c>
      <c r="O1023" s="1" t="s">
        <v>50</v>
      </c>
      <c r="P1023" s="1" t="s">
        <v>2070</v>
      </c>
      <c r="Q1023" s="1" t="s">
        <v>104</v>
      </c>
      <c r="R1023" s="1" t="s">
        <v>104</v>
      </c>
      <c r="S1023" s="1" t="s">
        <v>104</v>
      </c>
      <c r="T1023" s="1" t="s">
        <v>104</v>
      </c>
      <c r="U1023" s="1" t="s">
        <v>104</v>
      </c>
      <c r="V1023" s="1" t="s">
        <v>104</v>
      </c>
      <c r="W1023" s="1" t="s">
        <v>104</v>
      </c>
      <c r="X1023" s="1" t="s">
        <v>727</v>
      </c>
      <c r="Y1023" s="1"/>
      <c r="Z1023" s="8">
        <v>1</v>
      </c>
      <c r="AA1023" s="8"/>
      <c r="AB1023" s="8"/>
      <c r="AC1023" s="8"/>
      <c r="AD1023" s="8"/>
      <c r="AE1023" s="8"/>
      <c r="AF1023" s="8"/>
      <c r="AG1023" s="8">
        <v>1</v>
      </c>
      <c r="AH1023" s="8">
        <v>1</v>
      </c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>
        <v>1</v>
      </c>
      <c r="AT1023" s="8"/>
      <c r="AU1023" s="8">
        <v>1</v>
      </c>
      <c r="AV1023" s="8"/>
      <c r="AW1023" s="8"/>
      <c r="AX1023" s="8"/>
      <c r="AY1023" s="8"/>
      <c r="AZ1023" s="8"/>
      <c r="BA1023" s="8"/>
      <c r="BB1023" s="1"/>
      <c r="BL1023" s="58"/>
      <c r="BP1023" t="str">
        <f t="shared" si="37"/>
        <v>PsychicFairy</v>
      </c>
      <c r="BR1023">
        <v>9</v>
      </c>
    </row>
    <row r="1024" spans="1:70" x14ac:dyDescent="0.25">
      <c r="A1024">
        <f t="shared" ref="A1024:A1055" si="39">A1023+1</f>
        <v>965</v>
      </c>
      <c r="B1024" t="s">
        <v>2290</v>
      </c>
      <c r="D1024" s="1" t="s">
        <v>4</v>
      </c>
      <c r="E1024" s="1" t="s">
        <v>7</v>
      </c>
      <c r="F1024" s="1" t="s">
        <v>50</v>
      </c>
      <c r="G1024" s="1" t="s">
        <v>50</v>
      </c>
      <c r="H1024" s="1"/>
      <c r="I1024" s="1" t="s">
        <v>50</v>
      </c>
      <c r="J1024" s="1" t="s">
        <v>50</v>
      </c>
      <c r="K1024" s="1" t="s">
        <v>50</v>
      </c>
      <c r="L1024" s="1"/>
      <c r="M1024" s="1" t="s">
        <v>104</v>
      </c>
      <c r="N1024" s="1" t="s">
        <v>50</v>
      </c>
      <c r="O1024" s="1" t="s">
        <v>50</v>
      </c>
      <c r="P1024" s="1" t="s">
        <v>2070</v>
      </c>
      <c r="Q1024" s="1" t="s">
        <v>104</v>
      </c>
      <c r="R1024" s="1" t="s">
        <v>104</v>
      </c>
      <c r="S1024" s="1" t="s">
        <v>104</v>
      </c>
      <c r="T1024" s="1" t="s">
        <v>104</v>
      </c>
      <c r="U1024" s="1" t="s">
        <v>104</v>
      </c>
      <c r="V1024" s="1" t="s">
        <v>104</v>
      </c>
      <c r="W1024" s="1" t="s">
        <v>104</v>
      </c>
      <c r="X1024" s="1" t="s">
        <v>727</v>
      </c>
      <c r="Y1024" s="1"/>
      <c r="Z1024" s="8">
        <v>1</v>
      </c>
      <c r="AA1024" s="8"/>
      <c r="AB1024" s="8"/>
      <c r="AC1024" s="8"/>
      <c r="AD1024" s="8"/>
      <c r="AE1024" s="8"/>
      <c r="AF1024" s="8"/>
      <c r="AG1024" s="8">
        <v>1</v>
      </c>
      <c r="AH1024" s="8">
        <v>1</v>
      </c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>
        <v>1</v>
      </c>
      <c r="AT1024" s="8"/>
      <c r="AU1024" s="8">
        <v>1</v>
      </c>
      <c r="AV1024" s="8"/>
      <c r="AW1024" s="8"/>
      <c r="AX1024" s="8"/>
      <c r="AY1024" s="8"/>
      <c r="AZ1024" s="8"/>
      <c r="BA1024" s="8"/>
      <c r="BB1024" s="1"/>
      <c r="BL1024" s="58"/>
      <c r="BP1024" t="str">
        <f t="shared" si="37"/>
        <v>PsychicFairy</v>
      </c>
      <c r="BR1024">
        <v>9</v>
      </c>
    </row>
    <row r="1025" spans="1:70" x14ac:dyDescent="0.25">
      <c r="A1025">
        <f t="shared" si="39"/>
        <v>966</v>
      </c>
      <c r="B1025" t="s">
        <v>2291</v>
      </c>
      <c r="D1025" s="1" t="s">
        <v>4</v>
      </c>
      <c r="E1025" s="1" t="s">
        <v>7</v>
      </c>
      <c r="F1025" s="1" t="s">
        <v>50</v>
      </c>
      <c r="G1025" s="1" t="s">
        <v>50</v>
      </c>
      <c r="H1025" s="1" t="s">
        <v>50</v>
      </c>
      <c r="I1025" s="1" t="s">
        <v>50</v>
      </c>
      <c r="J1025" s="1" t="s">
        <v>50</v>
      </c>
      <c r="K1025" s="1" t="s">
        <v>50</v>
      </c>
      <c r="L1025" s="1"/>
      <c r="M1025" s="1" t="s">
        <v>104</v>
      </c>
      <c r="N1025" s="1" t="s">
        <v>50</v>
      </c>
      <c r="O1025" s="1" t="s">
        <v>50</v>
      </c>
      <c r="P1025" s="1" t="s">
        <v>2070</v>
      </c>
      <c r="Q1025" s="1" t="s">
        <v>104</v>
      </c>
      <c r="R1025" s="1" t="s">
        <v>104</v>
      </c>
      <c r="S1025" s="1" t="s">
        <v>104</v>
      </c>
      <c r="T1025" s="1" t="s">
        <v>104</v>
      </c>
      <c r="U1025" s="1" t="s">
        <v>104</v>
      </c>
      <c r="V1025" s="1" t="s">
        <v>104</v>
      </c>
      <c r="W1025" s="1" t="s">
        <v>104</v>
      </c>
      <c r="X1025" s="1" t="s">
        <v>727</v>
      </c>
      <c r="Y1025" s="1"/>
      <c r="Z1025" s="8">
        <v>1</v>
      </c>
      <c r="AA1025" s="8"/>
      <c r="AB1025" s="8"/>
      <c r="AC1025" s="8"/>
      <c r="AD1025" s="8"/>
      <c r="AE1025" s="8"/>
      <c r="AF1025" s="8"/>
      <c r="AG1025" s="8">
        <v>1</v>
      </c>
      <c r="AH1025" s="8">
        <v>1</v>
      </c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>
        <v>1</v>
      </c>
      <c r="AT1025" s="8"/>
      <c r="AU1025" s="8">
        <v>1</v>
      </c>
      <c r="AV1025" s="8"/>
      <c r="AW1025" s="8"/>
      <c r="AX1025" s="8"/>
      <c r="AY1025" s="8"/>
      <c r="AZ1025" s="8"/>
      <c r="BA1025" s="8"/>
      <c r="BB1025" s="1"/>
      <c r="BK1025">
        <v>6</v>
      </c>
      <c r="BL1025" s="58"/>
      <c r="BP1025" t="str">
        <f t="shared" si="37"/>
        <v>PsychicFairy</v>
      </c>
      <c r="BR1025">
        <v>9</v>
      </c>
    </row>
    <row r="1026" spans="1:70" x14ac:dyDescent="0.25">
      <c r="A1026">
        <f t="shared" si="39"/>
        <v>967</v>
      </c>
      <c r="B1026" t="s">
        <v>2292</v>
      </c>
      <c r="D1026" s="1" t="s">
        <v>14</v>
      </c>
      <c r="E1026" s="1" t="s">
        <v>15</v>
      </c>
      <c r="F1026" s="1" t="s">
        <v>50</v>
      </c>
      <c r="G1026" s="1" t="s">
        <v>50</v>
      </c>
      <c r="H1026" s="1" t="s">
        <v>50</v>
      </c>
      <c r="I1026" s="1" t="s">
        <v>50</v>
      </c>
      <c r="J1026" s="1" t="s">
        <v>50</v>
      </c>
      <c r="K1026" s="1" t="s">
        <v>50</v>
      </c>
      <c r="L1026" s="1"/>
      <c r="M1026" s="1" t="s">
        <v>50</v>
      </c>
      <c r="N1026" s="1" t="s">
        <v>50</v>
      </c>
      <c r="O1026" s="1" t="s">
        <v>50</v>
      </c>
      <c r="P1026" s="1" t="s">
        <v>2070</v>
      </c>
      <c r="Q1026" s="1" t="s">
        <v>104</v>
      </c>
      <c r="R1026" s="1" t="s">
        <v>104</v>
      </c>
      <c r="S1026" s="1" t="s">
        <v>104</v>
      </c>
      <c r="T1026" s="1" t="s">
        <v>104</v>
      </c>
      <c r="U1026" s="1" t="s">
        <v>104</v>
      </c>
      <c r="V1026" s="1" t="s">
        <v>104</v>
      </c>
      <c r="W1026" s="1" t="s">
        <v>104</v>
      </c>
      <c r="X1026" s="1" t="s">
        <v>727</v>
      </c>
      <c r="Y1026" s="1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>
        <v>1</v>
      </c>
      <c r="AJ1026" s="8">
        <v>1</v>
      </c>
      <c r="AK1026" s="8">
        <v>1</v>
      </c>
      <c r="AL1026" s="8">
        <v>1</v>
      </c>
      <c r="AM1026" s="8">
        <v>1</v>
      </c>
      <c r="AN1026" s="8">
        <v>1</v>
      </c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1"/>
      <c r="BL1026" s="58"/>
      <c r="BP1026" t="str">
        <f t="shared" ref="BP1026:BP1089" si="40">D1026&amp;E1026</f>
        <v>GhostWater</v>
      </c>
      <c r="BR1026">
        <v>9</v>
      </c>
    </row>
    <row r="1027" spans="1:70" x14ac:dyDescent="0.25">
      <c r="A1027">
        <f t="shared" si="39"/>
        <v>968</v>
      </c>
      <c r="B1027" t="s">
        <v>2293</v>
      </c>
      <c r="D1027" s="1" t="s">
        <v>42</v>
      </c>
      <c r="E1027" s="1" t="s">
        <v>11</v>
      </c>
      <c r="F1027" s="1" t="s">
        <v>50</v>
      </c>
      <c r="G1027" s="1" t="s">
        <v>50</v>
      </c>
      <c r="H1027" s="1"/>
      <c r="I1027" s="1" t="s">
        <v>50</v>
      </c>
      <c r="J1027" s="1" t="s">
        <v>50</v>
      </c>
      <c r="K1027" s="1" t="s">
        <v>50</v>
      </c>
      <c r="L1027" s="1"/>
      <c r="M1027" s="1" t="s">
        <v>50</v>
      </c>
      <c r="N1027" s="1" t="s">
        <v>50</v>
      </c>
      <c r="O1027" s="1" t="s">
        <v>50</v>
      </c>
      <c r="P1027" s="1" t="s">
        <v>1707</v>
      </c>
      <c r="Q1027" s="1" t="s">
        <v>104</v>
      </c>
      <c r="R1027" s="1" t="s">
        <v>104</v>
      </c>
      <c r="S1027" s="1" t="s">
        <v>104</v>
      </c>
      <c r="T1027" s="1" t="s">
        <v>104</v>
      </c>
      <c r="U1027" s="1" t="s">
        <v>104</v>
      </c>
      <c r="V1027" s="1" t="s">
        <v>104</v>
      </c>
      <c r="W1027" s="1" t="s">
        <v>104</v>
      </c>
      <c r="X1027" s="1" t="s">
        <v>2378</v>
      </c>
      <c r="Y1027" s="1"/>
      <c r="Z1027" s="8">
        <v>1</v>
      </c>
      <c r="AA1027" s="8">
        <v>1</v>
      </c>
      <c r="AB1027" s="8">
        <v>1</v>
      </c>
      <c r="AC1027" s="8"/>
      <c r="AD1027" s="8"/>
      <c r="AE1027" s="8"/>
      <c r="AF1027" s="8"/>
      <c r="AG1027" s="8"/>
      <c r="AH1027" s="8"/>
      <c r="AI1027" s="8">
        <v>1</v>
      </c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>
        <v>1</v>
      </c>
      <c r="BA1027" s="8"/>
      <c r="BB1027" s="1"/>
      <c r="BL1027" s="58"/>
      <c r="BP1027" t="str">
        <f t="shared" si="40"/>
        <v>CosmicGrass</v>
      </c>
      <c r="BR1027">
        <v>9</v>
      </c>
    </row>
    <row r="1028" spans="1:70" x14ac:dyDescent="0.25">
      <c r="A1028">
        <f t="shared" si="39"/>
        <v>969</v>
      </c>
      <c r="B1028" t="s">
        <v>2294</v>
      </c>
      <c r="D1028" s="1" t="s">
        <v>42</v>
      </c>
      <c r="E1028" s="1" t="s">
        <v>11</v>
      </c>
      <c r="F1028" s="1" t="s">
        <v>50</v>
      </c>
      <c r="G1028" s="1" t="s">
        <v>50</v>
      </c>
      <c r="H1028" s="1" t="s">
        <v>50</v>
      </c>
      <c r="I1028" s="1" t="s">
        <v>50</v>
      </c>
      <c r="J1028" s="1" t="s">
        <v>50</v>
      </c>
      <c r="K1028" s="1" t="s">
        <v>50</v>
      </c>
      <c r="L1028" s="1"/>
      <c r="M1028" s="1" t="s">
        <v>104</v>
      </c>
      <c r="N1028" s="1" t="s">
        <v>50</v>
      </c>
      <c r="O1028" s="1" t="s">
        <v>50</v>
      </c>
      <c r="P1028" s="1" t="s">
        <v>1707</v>
      </c>
      <c r="Q1028" s="1" t="s">
        <v>104</v>
      </c>
      <c r="R1028" s="1" t="s">
        <v>104</v>
      </c>
      <c r="S1028" s="1" t="s">
        <v>104</v>
      </c>
      <c r="T1028" s="1" t="s">
        <v>104</v>
      </c>
      <c r="U1028" s="1" t="s">
        <v>104</v>
      </c>
      <c r="V1028" s="1" t="s">
        <v>104</v>
      </c>
      <c r="W1028" s="1" t="s">
        <v>104</v>
      </c>
      <c r="X1028" s="1" t="s">
        <v>2378</v>
      </c>
      <c r="Y1028" s="1"/>
      <c r="Z1028" s="8">
        <v>1</v>
      </c>
      <c r="AA1028" s="8">
        <v>1</v>
      </c>
      <c r="AB1028" s="8">
        <v>1</v>
      </c>
      <c r="AC1028" s="8"/>
      <c r="AD1028" s="8"/>
      <c r="AE1028" s="8"/>
      <c r="AF1028" s="8"/>
      <c r="AG1028" s="8"/>
      <c r="AH1028" s="8"/>
      <c r="AI1028" s="8">
        <v>1</v>
      </c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>
        <v>1</v>
      </c>
      <c r="BA1028" s="8"/>
      <c r="BB1028" s="1"/>
      <c r="BL1028" s="58">
        <v>1</v>
      </c>
      <c r="BP1028" t="str">
        <f t="shared" si="40"/>
        <v>CosmicGrass</v>
      </c>
      <c r="BR1028">
        <v>9</v>
      </c>
    </row>
    <row r="1029" spans="1:70" x14ac:dyDescent="0.25">
      <c r="A1029">
        <f t="shared" si="39"/>
        <v>970</v>
      </c>
      <c r="B1029" t="s">
        <v>2295</v>
      </c>
      <c r="D1029" s="1" t="s">
        <v>6</v>
      </c>
      <c r="E1029" s="1" t="s">
        <v>0</v>
      </c>
      <c r="F1029" s="1" t="s">
        <v>50</v>
      </c>
      <c r="G1029" s="1" t="s">
        <v>50</v>
      </c>
      <c r="H1029" s="1" t="s">
        <v>50</v>
      </c>
      <c r="I1029" s="1" t="s">
        <v>50</v>
      </c>
      <c r="J1029" s="1" t="s">
        <v>50</v>
      </c>
      <c r="K1029" s="1" t="s">
        <v>50</v>
      </c>
      <c r="L1029" s="1"/>
      <c r="M1029" s="1" t="s">
        <v>50</v>
      </c>
      <c r="N1029" s="1" t="s">
        <v>50</v>
      </c>
      <c r="O1029" s="1" t="s">
        <v>50</v>
      </c>
      <c r="P1029" s="1" t="s">
        <v>2070</v>
      </c>
      <c r="Q1029" s="1" t="s">
        <v>104</v>
      </c>
      <c r="R1029" s="1" t="s">
        <v>104</v>
      </c>
      <c r="S1029" s="1" t="s">
        <v>104</v>
      </c>
      <c r="T1029" s="1" t="s">
        <v>104</v>
      </c>
      <c r="U1029" s="1" t="s">
        <v>104</v>
      </c>
      <c r="V1029" s="1" t="s">
        <v>104</v>
      </c>
      <c r="W1029" s="1" t="s">
        <v>104</v>
      </c>
      <c r="X1029" s="1" t="s">
        <v>2076</v>
      </c>
      <c r="Y1029" s="1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>
        <v>1</v>
      </c>
      <c r="AT1029" s="8">
        <v>1</v>
      </c>
      <c r="AU1029" s="8"/>
      <c r="AV1029" s="8"/>
      <c r="AW1029" s="8"/>
      <c r="AX1029" s="8"/>
      <c r="AY1029" s="8"/>
      <c r="AZ1029" s="8"/>
      <c r="BA1029" s="8"/>
      <c r="BB1029" s="1"/>
      <c r="BK1029">
        <v>1</v>
      </c>
      <c r="BL1029" s="58"/>
      <c r="BP1029" t="str">
        <f t="shared" si="40"/>
        <v>SteelDark</v>
      </c>
      <c r="BR1029">
        <v>5</v>
      </c>
    </row>
    <row r="1030" spans="1:70" x14ac:dyDescent="0.25">
      <c r="A1030">
        <f t="shared" si="39"/>
        <v>971</v>
      </c>
      <c r="B1030" t="s">
        <v>2296</v>
      </c>
      <c r="D1030" s="1" t="s">
        <v>15</v>
      </c>
      <c r="E1030" s="1" t="s">
        <v>6</v>
      </c>
      <c r="F1030" s="1" t="s">
        <v>50</v>
      </c>
      <c r="G1030" s="1" t="s">
        <v>50</v>
      </c>
      <c r="H1030" s="1" t="s">
        <v>50</v>
      </c>
      <c r="I1030" s="1" t="s">
        <v>50</v>
      </c>
      <c r="J1030" s="1" t="s">
        <v>50</v>
      </c>
      <c r="K1030" s="1" t="s">
        <v>50</v>
      </c>
      <c r="L1030" s="1"/>
      <c r="M1030" s="1" t="s">
        <v>50</v>
      </c>
      <c r="N1030" s="1" t="s">
        <v>50</v>
      </c>
      <c r="O1030" s="1" t="s">
        <v>50</v>
      </c>
      <c r="P1030" s="1" t="s">
        <v>2070</v>
      </c>
      <c r="Q1030" s="1" t="s">
        <v>104</v>
      </c>
      <c r="R1030" s="1" t="s">
        <v>104</v>
      </c>
      <c r="S1030" s="1" t="s">
        <v>104</v>
      </c>
      <c r="T1030" s="1" t="s">
        <v>104</v>
      </c>
      <c r="U1030" s="1" t="s">
        <v>104</v>
      </c>
      <c r="V1030" s="1" t="s">
        <v>104</v>
      </c>
      <c r="W1030" s="1" t="s">
        <v>104</v>
      </c>
      <c r="X1030" s="1" t="s">
        <v>2144</v>
      </c>
      <c r="Y1030" s="1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>
        <v>1</v>
      </c>
      <c r="AL1030" s="8"/>
      <c r="AM1030" s="8"/>
      <c r="AN1030" s="8">
        <v>1</v>
      </c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1"/>
      <c r="BK1030">
        <v>3</v>
      </c>
      <c r="BL1030" s="58"/>
      <c r="BP1030" t="str">
        <f t="shared" si="40"/>
        <v>WaterSteel</v>
      </c>
      <c r="BR1030">
        <v>9</v>
      </c>
    </row>
    <row r="1031" spans="1:70" x14ac:dyDescent="0.25">
      <c r="A1031">
        <f t="shared" si="39"/>
        <v>972</v>
      </c>
      <c r="B1031" t="s">
        <v>2297</v>
      </c>
      <c r="D1031" s="1" t="s">
        <v>15</v>
      </c>
      <c r="E1031" s="1" t="s">
        <v>9</v>
      </c>
      <c r="F1031" s="1" t="s">
        <v>50</v>
      </c>
      <c r="G1031" s="1" t="s">
        <v>50</v>
      </c>
      <c r="H1031" s="1"/>
      <c r="I1031" s="1" t="s">
        <v>50</v>
      </c>
      <c r="J1031" s="1" t="s">
        <v>50</v>
      </c>
      <c r="K1031" s="1" t="s">
        <v>50</v>
      </c>
      <c r="L1031" s="1"/>
      <c r="M1031" s="1" t="s">
        <v>50</v>
      </c>
      <c r="N1031" s="1" t="s">
        <v>50</v>
      </c>
      <c r="O1031" s="1" t="s">
        <v>50</v>
      </c>
      <c r="P1031" s="1" t="s">
        <v>810</v>
      </c>
      <c r="Q1031" s="1" t="s">
        <v>104</v>
      </c>
      <c r="R1031" s="1" t="s">
        <v>104</v>
      </c>
      <c r="S1031" s="1" t="s">
        <v>104</v>
      </c>
      <c r="T1031" s="1" t="s">
        <v>104</v>
      </c>
      <c r="U1031" s="1" t="s">
        <v>104</v>
      </c>
      <c r="V1031" s="1" t="s">
        <v>104</v>
      </c>
      <c r="W1031" s="1" t="s">
        <v>104</v>
      </c>
      <c r="X1031" s="1" t="s">
        <v>727</v>
      </c>
      <c r="Y1031" s="1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>
        <v>1</v>
      </c>
      <c r="AM1031" s="8">
        <v>1</v>
      </c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1"/>
      <c r="BL1031" s="58"/>
      <c r="BP1031" t="str">
        <f t="shared" si="40"/>
        <v>WaterRock</v>
      </c>
      <c r="BR1031">
        <v>9</v>
      </c>
    </row>
    <row r="1032" spans="1:70" x14ac:dyDescent="0.25">
      <c r="A1032">
        <f t="shared" si="39"/>
        <v>973</v>
      </c>
      <c r="B1032" t="s">
        <v>2298</v>
      </c>
      <c r="D1032" s="1" t="s">
        <v>15</v>
      </c>
      <c r="E1032" s="1" t="s">
        <v>9</v>
      </c>
      <c r="F1032" s="1" t="s">
        <v>50</v>
      </c>
      <c r="G1032" s="1" t="s">
        <v>50</v>
      </c>
      <c r="H1032" s="1" t="s">
        <v>50</v>
      </c>
      <c r="I1032" s="1" t="s">
        <v>50</v>
      </c>
      <c r="J1032" s="1" t="s">
        <v>50</v>
      </c>
      <c r="K1032" s="1" t="s">
        <v>50</v>
      </c>
      <c r="L1032" s="1"/>
      <c r="M1032" s="1" t="s">
        <v>104</v>
      </c>
      <c r="N1032" s="1" t="s">
        <v>50</v>
      </c>
      <c r="O1032" s="1" t="s">
        <v>50</v>
      </c>
      <c r="P1032" s="1" t="s">
        <v>810</v>
      </c>
      <c r="Q1032" s="1" t="s">
        <v>104</v>
      </c>
      <c r="R1032" s="1" t="s">
        <v>104</v>
      </c>
      <c r="S1032" s="1" t="s">
        <v>104</v>
      </c>
      <c r="T1032" s="1" t="s">
        <v>104</v>
      </c>
      <c r="U1032" s="1" t="s">
        <v>104</v>
      </c>
      <c r="V1032" s="1" t="s">
        <v>104</v>
      </c>
      <c r="W1032" s="1" t="s">
        <v>104</v>
      </c>
      <c r="X1032" s="1" t="s">
        <v>727</v>
      </c>
      <c r="Y1032" s="1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>
        <v>1</v>
      </c>
      <c r="AM1032" s="8">
        <v>1</v>
      </c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1"/>
      <c r="BL1032" s="58"/>
      <c r="BP1032" t="str">
        <f t="shared" si="40"/>
        <v>WaterRock</v>
      </c>
      <c r="BR1032">
        <v>9</v>
      </c>
    </row>
    <row r="1033" spans="1:70" x14ac:dyDescent="0.25">
      <c r="A1033">
        <f t="shared" si="39"/>
        <v>974</v>
      </c>
      <c r="B1033" t="s">
        <v>2299</v>
      </c>
      <c r="D1033" s="1" t="s">
        <v>1</v>
      </c>
      <c r="E1033" s="1" t="s">
        <v>44</v>
      </c>
      <c r="F1033" s="1" t="s">
        <v>50</v>
      </c>
      <c r="G1033" s="1" t="s">
        <v>50</v>
      </c>
      <c r="H1033" s="1"/>
      <c r="I1033" s="1" t="s">
        <v>50</v>
      </c>
      <c r="J1033" s="1" t="s">
        <v>50</v>
      </c>
      <c r="K1033" s="1" t="s">
        <v>50</v>
      </c>
      <c r="L1033" s="1"/>
      <c r="M1033" s="1" t="s">
        <v>50</v>
      </c>
      <c r="N1033" s="1" t="s">
        <v>50</v>
      </c>
      <c r="O1033" s="1" t="s">
        <v>50</v>
      </c>
      <c r="P1033" s="1" t="s">
        <v>2070</v>
      </c>
      <c r="Q1033" s="1" t="s">
        <v>104</v>
      </c>
      <c r="R1033" s="1" t="s">
        <v>104</v>
      </c>
      <c r="S1033" s="1" t="s">
        <v>104</v>
      </c>
      <c r="T1033" s="1" t="s">
        <v>104</v>
      </c>
      <c r="U1033" s="1" t="s">
        <v>104</v>
      </c>
      <c r="V1033" s="1" t="s">
        <v>104</v>
      </c>
      <c r="W1033" s="1" t="s">
        <v>104</v>
      </c>
      <c r="X1033" s="1" t="s">
        <v>2301</v>
      </c>
      <c r="Y1033" s="1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>
        <v>1</v>
      </c>
      <c r="AT1033" s="8">
        <v>1</v>
      </c>
      <c r="AU1033" s="8"/>
      <c r="AV1033" s="8"/>
      <c r="AW1033" s="8"/>
      <c r="AX1033" s="8"/>
      <c r="AY1033" s="8"/>
      <c r="AZ1033" s="8"/>
      <c r="BA1033" s="8"/>
      <c r="BB1033" s="1"/>
      <c r="BL1033" s="58"/>
      <c r="BP1033" t="str">
        <f t="shared" si="40"/>
        <v>NormalLight</v>
      </c>
      <c r="BR1033">
        <v>9</v>
      </c>
    </row>
    <row r="1034" spans="1:70" x14ac:dyDescent="0.25">
      <c r="A1034">
        <f t="shared" si="39"/>
        <v>975</v>
      </c>
      <c r="B1034" t="s">
        <v>2300</v>
      </c>
      <c r="D1034" s="1" t="s">
        <v>1</v>
      </c>
      <c r="E1034" s="1" t="s">
        <v>44</v>
      </c>
      <c r="F1034" s="1" t="s">
        <v>50</v>
      </c>
      <c r="G1034" s="1" t="s">
        <v>50</v>
      </c>
      <c r="H1034" s="1" t="s">
        <v>50</v>
      </c>
      <c r="I1034" s="1" t="s">
        <v>50</v>
      </c>
      <c r="J1034" s="1" t="s">
        <v>50</v>
      </c>
      <c r="K1034" s="1" t="s">
        <v>50</v>
      </c>
      <c r="L1034" s="1"/>
      <c r="M1034" s="1" t="s">
        <v>104</v>
      </c>
      <c r="N1034" s="1" t="s">
        <v>50</v>
      </c>
      <c r="O1034" s="1" t="s">
        <v>50</v>
      </c>
      <c r="P1034" s="1" t="s">
        <v>2070</v>
      </c>
      <c r="Q1034" s="1" t="s">
        <v>104</v>
      </c>
      <c r="R1034" s="1" t="s">
        <v>104</v>
      </c>
      <c r="S1034" s="1" t="s">
        <v>104</v>
      </c>
      <c r="T1034" s="1" t="s">
        <v>104</v>
      </c>
      <c r="U1034" s="1" t="s">
        <v>104</v>
      </c>
      <c r="V1034" s="1" t="s">
        <v>104</v>
      </c>
      <c r="W1034" s="1" t="s">
        <v>104</v>
      </c>
      <c r="X1034" s="1" t="s">
        <v>2301</v>
      </c>
      <c r="Y1034" s="1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>
        <v>1</v>
      </c>
      <c r="AT1034" s="8">
        <v>1</v>
      </c>
      <c r="AU1034" s="8"/>
      <c r="AV1034" s="8"/>
      <c r="AW1034" s="8"/>
      <c r="AX1034" s="8"/>
      <c r="AY1034" s="8"/>
      <c r="AZ1034" s="8"/>
      <c r="BA1034" s="8"/>
      <c r="BB1034" s="1"/>
      <c r="BK1034">
        <v>1</v>
      </c>
      <c r="BL1034" s="58"/>
      <c r="BP1034" t="str">
        <f t="shared" si="40"/>
        <v>NormalLight</v>
      </c>
      <c r="BR1034">
        <v>9</v>
      </c>
    </row>
    <row r="1035" spans="1:70" x14ac:dyDescent="0.25">
      <c r="A1035">
        <f t="shared" si="39"/>
        <v>976</v>
      </c>
      <c r="B1035" t="s">
        <v>2302</v>
      </c>
      <c r="D1035" s="1" t="s">
        <v>1</v>
      </c>
      <c r="E1035" s="1" t="s">
        <v>41</v>
      </c>
      <c r="F1035" s="1" t="s">
        <v>50</v>
      </c>
      <c r="G1035" s="1" t="s">
        <v>50</v>
      </c>
      <c r="H1035" s="1" t="s">
        <v>50</v>
      </c>
      <c r="I1035" s="1" t="s">
        <v>50</v>
      </c>
      <c r="J1035" s="1" t="s">
        <v>50</v>
      </c>
      <c r="K1035" s="1" t="s">
        <v>50</v>
      </c>
      <c r="L1035" s="1"/>
      <c r="M1035" s="1" t="s">
        <v>50</v>
      </c>
      <c r="N1035" s="1" t="s">
        <v>50</v>
      </c>
      <c r="O1035" s="1" t="s">
        <v>50</v>
      </c>
      <c r="P1035" s="1" t="s">
        <v>2070</v>
      </c>
      <c r="Q1035" s="1" t="s">
        <v>104</v>
      </c>
      <c r="R1035" s="1" t="s">
        <v>104</v>
      </c>
      <c r="S1035" s="1" t="s">
        <v>104</v>
      </c>
      <c r="T1035" s="1" t="s">
        <v>104</v>
      </c>
      <c r="U1035" s="1" t="s">
        <v>104</v>
      </c>
      <c r="V1035" s="1" t="s">
        <v>104</v>
      </c>
      <c r="W1035" s="1" t="s">
        <v>104</v>
      </c>
      <c r="X1035" s="1" t="s">
        <v>2076</v>
      </c>
      <c r="Y1035" s="1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1"/>
      <c r="BL1035" s="58"/>
      <c r="BP1035" t="str">
        <f t="shared" si="40"/>
        <v>NormalSound</v>
      </c>
      <c r="BR1035">
        <v>5</v>
      </c>
    </row>
    <row r="1036" spans="1:70" x14ac:dyDescent="0.25">
      <c r="A1036">
        <f t="shared" si="39"/>
        <v>977</v>
      </c>
      <c r="B1036" t="s">
        <v>2304</v>
      </c>
      <c r="D1036" s="1" t="s">
        <v>10</v>
      </c>
      <c r="E1036" s="1" t="s">
        <v>3</v>
      </c>
      <c r="F1036" s="1" t="s">
        <v>50</v>
      </c>
      <c r="G1036" s="1" t="s">
        <v>50</v>
      </c>
      <c r="H1036" s="1"/>
      <c r="I1036" s="1" t="s">
        <v>50</v>
      </c>
      <c r="J1036" s="1" t="s">
        <v>50</v>
      </c>
      <c r="K1036" s="1" t="s">
        <v>50</v>
      </c>
      <c r="L1036" s="1"/>
      <c r="M1036" s="1" t="s">
        <v>50</v>
      </c>
      <c r="N1036" s="1" t="s">
        <v>50</v>
      </c>
      <c r="O1036" s="1" t="s">
        <v>50</v>
      </c>
      <c r="P1036" s="1" t="s">
        <v>2070</v>
      </c>
      <c r="Q1036" s="1" t="s">
        <v>104</v>
      </c>
      <c r="R1036" s="1" t="s">
        <v>104</v>
      </c>
      <c r="S1036" s="1" t="s">
        <v>104</v>
      </c>
      <c r="T1036" s="1" t="s">
        <v>104</v>
      </c>
      <c r="U1036" s="1" t="s">
        <v>104</v>
      </c>
      <c r="V1036" s="1" t="s">
        <v>104</v>
      </c>
      <c r="W1036" s="1" t="s">
        <v>104</v>
      </c>
      <c r="X1036" s="1" t="s">
        <v>726</v>
      </c>
      <c r="Y1036" s="1"/>
      <c r="Z1036" s="8"/>
      <c r="AA1036" s="8"/>
      <c r="AB1036" s="8">
        <v>1</v>
      </c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>
        <v>1</v>
      </c>
      <c r="AV1036" s="8"/>
      <c r="AW1036" s="8"/>
      <c r="AX1036" s="8"/>
      <c r="AY1036" s="8"/>
      <c r="AZ1036" s="8">
        <v>1</v>
      </c>
      <c r="BA1036" s="8"/>
      <c r="BB1036" s="1"/>
      <c r="BL1036" s="58"/>
      <c r="BP1036" t="str">
        <f t="shared" si="40"/>
        <v>PoisonElectric</v>
      </c>
      <c r="BR1036">
        <v>9</v>
      </c>
    </row>
    <row r="1037" spans="1:70" x14ac:dyDescent="0.25">
      <c r="A1037">
        <f t="shared" si="39"/>
        <v>978</v>
      </c>
      <c r="B1037" t="s">
        <v>2305</v>
      </c>
      <c r="D1037" s="1" t="s">
        <v>10</v>
      </c>
      <c r="E1037" s="1" t="s">
        <v>3</v>
      </c>
      <c r="F1037" s="1" t="s">
        <v>50</v>
      </c>
      <c r="G1037" s="1" t="s">
        <v>50</v>
      </c>
      <c r="H1037" s="1" t="s">
        <v>50</v>
      </c>
      <c r="I1037" s="1" t="s">
        <v>50</v>
      </c>
      <c r="J1037" s="1" t="s">
        <v>50</v>
      </c>
      <c r="K1037" s="1" t="s">
        <v>50</v>
      </c>
      <c r="L1037" s="1"/>
      <c r="M1037" s="1" t="s">
        <v>104</v>
      </c>
      <c r="N1037" s="1" t="s">
        <v>50</v>
      </c>
      <c r="O1037" s="1" t="s">
        <v>50</v>
      </c>
      <c r="P1037" s="1" t="s">
        <v>2070</v>
      </c>
      <c r="Q1037" s="1" t="s">
        <v>104</v>
      </c>
      <c r="R1037" s="1" t="s">
        <v>104</v>
      </c>
      <c r="S1037" s="1" t="s">
        <v>104</v>
      </c>
      <c r="T1037" s="1" t="s">
        <v>104</v>
      </c>
      <c r="U1037" s="1" t="s">
        <v>104</v>
      </c>
      <c r="V1037" s="1" t="s">
        <v>104</v>
      </c>
      <c r="W1037" s="1" t="s">
        <v>104</v>
      </c>
      <c r="X1037" s="1" t="s">
        <v>726</v>
      </c>
      <c r="Y1037" s="1"/>
      <c r="Z1037" s="8"/>
      <c r="AA1037" s="8"/>
      <c r="AB1037" s="8">
        <v>1</v>
      </c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>
        <v>1</v>
      </c>
      <c r="AV1037" s="8"/>
      <c r="AW1037" s="8"/>
      <c r="AX1037" s="8"/>
      <c r="AY1037" s="8"/>
      <c r="AZ1037" s="8">
        <v>1</v>
      </c>
      <c r="BA1037" s="8"/>
      <c r="BB1037" s="1"/>
      <c r="BL1037" s="58"/>
      <c r="BP1037" t="str">
        <f t="shared" si="40"/>
        <v>PoisonElectric</v>
      </c>
      <c r="BR1037">
        <v>9</v>
      </c>
    </row>
    <row r="1038" spans="1:70" x14ac:dyDescent="0.25">
      <c r="A1038">
        <f t="shared" si="39"/>
        <v>979</v>
      </c>
      <c r="B1038" t="s">
        <v>2306</v>
      </c>
      <c r="D1038" s="1" t="s">
        <v>1</v>
      </c>
      <c r="E1038" s="1" t="s">
        <v>41</v>
      </c>
      <c r="F1038" s="1" t="s">
        <v>50</v>
      </c>
      <c r="G1038" s="1" t="s">
        <v>50</v>
      </c>
      <c r="H1038" s="1"/>
      <c r="I1038" s="1" t="s">
        <v>50</v>
      </c>
      <c r="J1038" s="1" t="s">
        <v>50</v>
      </c>
      <c r="K1038" s="1" t="s">
        <v>50</v>
      </c>
      <c r="L1038" s="1"/>
      <c r="M1038" s="1" t="s">
        <v>50</v>
      </c>
      <c r="N1038" s="1" t="s">
        <v>50</v>
      </c>
      <c r="O1038" s="1" t="s">
        <v>50</v>
      </c>
      <c r="P1038" s="1" t="s">
        <v>2070</v>
      </c>
      <c r="Q1038" s="1" t="s">
        <v>104</v>
      </c>
      <c r="R1038" s="1" t="s">
        <v>104</v>
      </c>
      <c r="S1038" s="1" t="s">
        <v>104</v>
      </c>
      <c r="T1038" s="1" t="s">
        <v>104</v>
      </c>
      <c r="U1038" s="1" t="s">
        <v>104</v>
      </c>
      <c r="V1038" s="1" t="s">
        <v>104</v>
      </c>
      <c r="W1038" s="1" t="s">
        <v>104</v>
      </c>
      <c r="X1038" s="1" t="s">
        <v>2144</v>
      </c>
      <c r="Y1038" s="1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>
        <v>1</v>
      </c>
      <c r="AT1038" s="8">
        <v>1</v>
      </c>
      <c r="AU1038" s="8"/>
      <c r="AV1038" s="8"/>
      <c r="AW1038" s="8"/>
      <c r="AX1038" s="8"/>
      <c r="AY1038" s="8"/>
      <c r="AZ1038" s="8"/>
      <c r="BA1038" s="8"/>
      <c r="BB1038" s="1"/>
      <c r="BL1038" s="58"/>
      <c r="BP1038" t="str">
        <f t="shared" si="40"/>
        <v>NormalSound</v>
      </c>
      <c r="BR1038">
        <v>9</v>
      </c>
    </row>
    <row r="1039" spans="1:70" x14ac:dyDescent="0.25">
      <c r="A1039">
        <f t="shared" si="39"/>
        <v>980</v>
      </c>
      <c r="B1039" t="s">
        <v>2307</v>
      </c>
      <c r="D1039" s="1" t="s">
        <v>1</v>
      </c>
      <c r="E1039" s="1" t="s">
        <v>41</v>
      </c>
      <c r="F1039" s="1" t="s">
        <v>50</v>
      </c>
      <c r="G1039" s="1" t="s">
        <v>50</v>
      </c>
      <c r="H1039" s="1"/>
      <c r="I1039" s="1" t="s">
        <v>50</v>
      </c>
      <c r="J1039" s="1" t="s">
        <v>50</v>
      </c>
      <c r="K1039" s="1" t="s">
        <v>50</v>
      </c>
      <c r="L1039" s="1"/>
      <c r="M1039" s="1" t="s">
        <v>104</v>
      </c>
      <c r="N1039" s="1" t="s">
        <v>50</v>
      </c>
      <c r="O1039" s="1" t="s">
        <v>50</v>
      </c>
      <c r="P1039" s="1" t="s">
        <v>2070</v>
      </c>
      <c r="Q1039" s="1" t="s">
        <v>104</v>
      </c>
      <c r="R1039" s="1" t="s">
        <v>104</v>
      </c>
      <c r="S1039" s="1" t="s">
        <v>104</v>
      </c>
      <c r="T1039" s="1" t="s">
        <v>104</v>
      </c>
      <c r="U1039" s="1" t="s">
        <v>104</v>
      </c>
      <c r="V1039" s="1" t="s">
        <v>104</v>
      </c>
      <c r="W1039" s="1" t="s">
        <v>104</v>
      </c>
      <c r="X1039" s="1" t="s">
        <v>2144</v>
      </c>
      <c r="Y1039" s="1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>
        <v>1</v>
      </c>
      <c r="AT1039" s="8">
        <v>1</v>
      </c>
      <c r="AU1039" s="8"/>
      <c r="AV1039" s="8"/>
      <c r="AW1039" s="8"/>
      <c r="AX1039" s="8"/>
      <c r="AY1039" s="8"/>
      <c r="AZ1039" s="8"/>
      <c r="BA1039" s="8"/>
      <c r="BB1039" s="1"/>
      <c r="BL1039" s="58"/>
      <c r="BP1039" t="str">
        <f t="shared" si="40"/>
        <v>NormalSound</v>
      </c>
      <c r="BR1039">
        <v>9</v>
      </c>
    </row>
    <row r="1040" spans="1:70" x14ac:dyDescent="0.25">
      <c r="A1040">
        <f t="shared" si="39"/>
        <v>981</v>
      </c>
      <c r="B1040" t="s">
        <v>2308</v>
      </c>
      <c r="D1040" s="1" t="s">
        <v>1</v>
      </c>
      <c r="E1040" s="1" t="s">
        <v>41</v>
      </c>
      <c r="F1040" s="1" t="s">
        <v>50</v>
      </c>
      <c r="G1040" s="1" t="s">
        <v>50</v>
      </c>
      <c r="H1040" s="1" t="s">
        <v>50</v>
      </c>
      <c r="I1040" s="1" t="s">
        <v>50</v>
      </c>
      <c r="J1040" s="1" t="s">
        <v>50</v>
      </c>
      <c r="K1040" s="1" t="s">
        <v>50</v>
      </c>
      <c r="L1040" s="1"/>
      <c r="M1040" s="1" t="s">
        <v>104</v>
      </c>
      <c r="N1040" s="1" t="s">
        <v>50</v>
      </c>
      <c r="O1040" s="1" t="s">
        <v>50</v>
      </c>
      <c r="P1040" s="1" t="s">
        <v>2070</v>
      </c>
      <c r="Q1040" s="1" t="s">
        <v>104</v>
      </c>
      <c r="R1040" s="1" t="s">
        <v>104</v>
      </c>
      <c r="S1040" s="1" t="s">
        <v>104</v>
      </c>
      <c r="T1040" s="1" t="s">
        <v>104</v>
      </c>
      <c r="U1040" s="1" t="s">
        <v>104</v>
      </c>
      <c r="V1040" s="1" t="s">
        <v>104</v>
      </c>
      <c r="W1040" s="1" t="s">
        <v>104</v>
      </c>
      <c r="X1040" s="1" t="s">
        <v>2144</v>
      </c>
      <c r="Y1040" s="1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>
        <v>1</v>
      </c>
      <c r="AT1040" s="8">
        <v>1</v>
      </c>
      <c r="AU1040" s="8"/>
      <c r="AV1040" s="8"/>
      <c r="AW1040" s="8"/>
      <c r="AX1040" s="8"/>
      <c r="AY1040" s="8"/>
      <c r="AZ1040" s="8"/>
      <c r="BA1040" s="8"/>
      <c r="BB1040" s="1"/>
      <c r="BK1040">
        <v>2</v>
      </c>
      <c r="BL1040" s="58"/>
      <c r="BP1040" t="str">
        <f t="shared" si="40"/>
        <v>NormalSound</v>
      </c>
      <c r="BR1040">
        <v>9</v>
      </c>
    </row>
    <row r="1041" spans="1:70" x14ac:dyDescent="0.25">
      <c r="A1041">
        <f t="shared" si="39"/>
        <v>982</v>
      </c>
      <c r="B1041" t="s">
        <v>2309</v>
      </c>
      <c r="D1041" s="1" t="s">
        <v>10</v>
      </c>
      <c r="E1041" s="1" t="s">
        <v>13</v>
      </c>
      <c r="F1041" s="1" t="s">
        <v>50</v>
      </c>
      <c r="G1041" s="1" t="s">
        <v>50</v>
      </c>
      <c r="H1041" s="1"/>
      <c r="I1041" s="1" t="s">
        <v>50</v>
      </c>
      <c r="J1041" s="1" t="s">
        <v>50</v>
      </c>
      <c r="K1041" s="1" t="s">
        <v>50</v>
      </c>
      <c r="L1041" s="1"/>
      <c r="M1041" s="1" t="s">
        <v>50</v>
      </c>
      <c r="N1041" s="1" t="s">
        <v>50</v>
      </c>
      <c r="O1041" s="1" t="s">
        <v>50</v>
      </c>
      <c r="P1041" s="1" t="s">
        <v>2066</v>
      </c>
      <c r="Q1041" s="1" t="s">
        <v>104</v>
      </c>
      <c r="R1041" s="1" t="s">
        <v>104</v>
      </c>
      <c r="S1041" s="1" t="s">
        <v>104</v>
      </c>
      <c r="T1041" s="1" t="s">
        <v>104</v>
      </c>
      <c r="U1041" s="1" t="s">
        <v>104</v>
      </c>
      <c r="V1041" s="1" t="s">
        <v>104</v>
      </c>
      <c r="W1041" s="1" t="s">
        <v>104</v>
      </c>
      <c r="X1041" s="1" t="s">
        <v>727</v>
      </c>
      <c r="Y1041" s="1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>
        <v>1</v>
      </c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>
        <v>1</v>
      </c>
      <c r="AX1041" s="8">
        <v>1</v>
      </c>
      <c r="AY1041" s="8">
        <v>1</v>
      </c>
      <c r="AZ1041" s="8"/>
      <c r="BA1041" s="8"/>
      <c r="BB1041" s="1"/>
      <c r="BL1041" s="58"/>
      <c r="BP1041" t="str">
        <f t="shared" si="40"/>
        <v>PoisonFire</v>
      </c>
      <c r="BR1041">
        <v>5</v>
      </c>
    </row>
    <row r="1042" spans="1:70" x14ac:dyDescent="0.25">
      <c r="A1042">
        <f t="shared" si="39"/>
        <v>983</v>
      </c>
      <c r="B1042" t="s">
        <v>2310</v>
      </c>
      <c r="D1042" s="1" t="s">
        <v>10</v>
      </c>
      <c r="E1042" s="1" t="s">
        <v>13</v>
      </c>
      <c r="F1042" s="1" t="s">
        <v>50</v>
      </c>
      <c r="G1042" s="1" t="s">
        <v>50</v>
      </c>
      <c r="H1042" s="1" t="s">
        <v>50</v>
      </c>
      <c r="I1042" s="1" t="s">
        <v>50</v>
      </c>
      <c r="J1042" s="1" t="s">
        <v>50</v>
      </c>
      <c r="K1042" s="1" t="s">
        <v>50</v>
      </c>
      <c r="L1042" s="1"/>
      <c r="M1042" s="1" t="s">
        <v>104</v>
      </c>
      <c r="N1042" s="1" t="s">
        <v>50</v>
      </c>
      <c r="O1042" s="1" t="s">
        <v>50</v>
      </c>
      <c r="P1042" s="1" t="s">
        <v>2066</v>
      </c>
      <c r="Q1042" s="1" t="s">
        <v>104</v>
      </c>
      <c r="R1042" s="1" t="s">
        <v>104</v>
      </c>
      <c r="S1042" s="1" t="s">
        <v>104</v>
      </c>
      <c r="T1042" s="1" t="s">
        <v>104</v>
      </c>
      <c r="U1042" s="1" t="s">
        <v>104</v>
      </c>
      <c r="V1042" s="1" t="s">
        <v>104</v>
      </c>
      <c r="W1042" s="1" t="s">
        <v>104</v>
      </c>
      <c r="X1042" s="1" t="s">
        <v>727</v>
      </c>
      <c r="Y1042" s="1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>
        <v>1</v>
      </c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>
        <v>1</v>
      </c>
      <c r="AX1042" s="8">
        <v>1</v>
      </c>
      <c r="AY1042" s="8">
        <v>1</v>
      </c>
      <c r="AZ1042" s="8"/>
      <c r="BA1042" s="8"/>
      <c r="BB1042" s="1"/>
      <c r="BK1042">
        <v>1</v>
      </c>
      <c r="BL1042" s="58"/>
      <c r="BP1042" t="str">
        <f t="shared" si="40"/>
        <v>PoisonFire</v>
      </c>
      <c r="BR1042">
        <v>5</v>
      </c>
    </row>
    <row r="1043" spans="1:70" x14ac:dyDescent="0.25">
      <c r="A1043">
        <f t="shared" si="39"/>
        <v>984</v>
      </c>
      <c r="B1043" t="s">
        <v>2311</v>
      </c>
      <c r="D1043" s="1" t="s">
        <v>17</v>
      </c>
      <c r="E1043" s="1" t="s">
        <v>15</v>
      </c>
      <c r="F1043" s="1" t="s">
        <v>50</v>
      </c>
      <c r="G1043" s="1" t="s">
        <v>50</v>
      </c>
      <c r="H1043" s="1"/>
      <c r="I1043" s="1" t="s">
        <v>50</v>
      </c>
      <c r="J1043" s="1" t="s">
        <v>50</v>
      </c>
      <c r="K1043" s="1" t="s">
        <v>50</v>
      </c>
      <c r="L1043" s="1"/>
      <c r="M1043" s="1" t="s">
        <v>50</v>
      </c>
      <c r="N1043" s="1" t="s">
        <v>50</v>
      </c>
      <c r="O1043" s="1" t="s">
        <v>50</v>
      </c>
      <c r="P1043" s="1" t="s">
        <v>2070</v>
      </c>
      <c r="Q1043" s="1" t="s">
        <v>104</v>
      </c>
      <c r="R1043" s="1" t="s">
        <v>104</v>
      </c>
      <c r="S1043" s="1" t="s">
        <v>104</v>
      </c>
      <c r="T1043" s="1" t="s">
        <v>104</v>
      </c>
      <c r="U1043" s="1" t="s">
        <v>104</v>
      </c>
      <c r="V1043" s="1" t="s">
        <v>104</v>
      </c>
      <c r="W1043" s="1" t="s">
        <v>104</v>
      </c>
      <c r="X1043" s="1" t="s">
        <v>2318</v>
      </c>
      <c r="Y1043" s="1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>
        <v>1</v>
      </c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>
        <v>1</v>
      </c>
      <c r="AX1043" s="8">
        <v>1</v>
      </c>
      <c r="AY1043" s="8">
        <v>1</v>
      </c>
      <c r="AZ1043" s="8"/>
      <c r="BA1043" s="8"/>
      <c r="BB1043" s="1"/>
      <c r="BL1043" s="58"/>
      <c r="BP1043" t="str">
        <f t="shared" si="40"/>
        <v>BugWater</v>
      </c>
      <c r="BR1043">
        <v>1</v>
      </c>
    </row>
    <row r="1044" spans="1:70" x14ac:dyDescent="0.25">
      <c r="A1044">
        <f t="shared" si="39"/>
        <v>985</v>
      </c>
      <c r="B1044" t="s">
        <v>2312</v>
      </c>
      <c r="D1044" s="1" t="s">
        <v>17</v>
      </c>
      <c r="E1044" s="1" t="s">
        <v>15</v>
      </c>
      <c r="F1044" s="1" t="s">
        <v>50</v>
      </c>
      <c r="G1044" s="1" t="s">
        <v>50</v>
      </c>
      <c r="H1044" s="1" t="s">
        <v>50</v>
      </c>
      <c r="I1044" s="1" t="s">
        <v>50</v>
      </c>
      <c r="J1044" s="1" t="s">
        <v>50</v>
      </c>
      <c r="K1044" s="1" t="s">
        <v>50</v>
      </c>
      <c r="L1044" s="1"/>
      <c r="M1044" s="1" t="s">
        <v>104</v>
      </c>
      <c r="N1044" s="1" t="s">
        <v>50</v>
      </c>
      <c r="O1044" s="1" t="s">
        <v>50</v>
      </c>
      <c r="P1044" s="1" t="s">
        <v>2070</v>
      </c>
      <c r="Q1044" s="1" t="s">
        <v>104</v>
      </c>
      <c r="R1044" s="1" t="s">
        <v>104</v>
      </c>
      <c r="S1044" s="1" t="s">
        <v>104</v>
      </c>
      <c r="T1044" s="1" t="s">
        <v>104</v>
      </c>
      <c r="U1044" s="1" t="s">
        <v>104</v>
      </c>
      <c r="V1044" s="1" t="s">
        <v>104</v>
      </c>
      <c r="W1044" s="1" t="s">
        <v>104</v>
      </c>
      <c r="X1044" s="1" t="s">
        <v>2318</v>
      </c>
      <c r="Y1044" s="1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>
        <v>1</v>
      </c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>
        <v>1</v>
      </c>
      <c r="AX1044" s="8">
        <v>1</v>
      </c>
      <c r="AY1044" s="8">
        <v>1</v>
      </c>
      <c r="AZ1044" s="8"/>
      <c r="BA1044" s="8"/>
      <c r="BB1044" s="1"/>
      <c r="BK1044">
        <v>1</v>
      </c>
      <c r="BL1044" s="58"/>
      <c r="BP1044" t="str">
        <f t="shared" si="40"/>
        <v>BugWater</v>
      </c>
      <c r="BR1044">
        <v>1</v>
      </c>
    </row>
    <row r="1045" spans="1:70" x14ac:dyDescent="0.25">
      <c r="A1045">
        <f t="shared" si="39"/>
        <v>986</v>
      </c>
      <c r="B1045" t="s">
        <v>2313</v>
      </c>
      <c r="D1045" s="1" t="s">
        <v>15</v>
      </c>
      <c r="E1045" s="1">
        <v>0</v>
      </c>
      <c r="F1045" s="1" t="s">
        <v>50</v>
      </c>
      <c r="G1045" s="1" t="s">
        <v>50</v>
      </c>
      <c r="H1045" s="1"/>
      <c r="I1045" s="1" t="s">
        <v>50</v>
      </c>
      <c r="J1045" s="1" t="s">
        <v>50</v>
      </c>
      <c r="K1045" s="1" t="s">
        <v>50</v>
      </c>
      <c r="L1045" s="1"/>
      <c r="M1045" s="1" t="s">
        <v>50</v>
      </c>
      <c r="N1045" s="1" t="s">
        <v>50</v>
      </c>
      <c r="O1045" s="1" t="s">
        <v>50</v>
      </c>
      <c r="P1045" s="1" t="s">
        <v>2070</v>
      </c>
      <c r="Q1045" s="1" t="s">
        <v>104</v>
      </c>
      <c r="R1045" s="1" t="s">
        <v>104</v>
      </c>
      <c r="S1045" s="1" t="s">
        <v>104</v>
      </c>
      <c r="T1045" s="1" t="s">
        <v>104</v>
      </c>
      <c r="U1045" s="1" t="s">
        <v>104</v>
      </c>
      <c r="V1045" s="1" t="s">
        <v>104</v>
      </c>
      <c r="W1045" s="1" t="s">
        <v>104</v>
      </c>
      <c r="X1045" s="1" t="s">
        <v>2318</v>
      </c>
      <c r="Y1045" s="1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>
        <v>1</v>
      </c>
      <c r="AL1045" s="8">
        <v>1</v>
      </c>
      <c r="AM1045" s="8">
        <v>1</v>
      </c>
      <c r="AN1045" s="8">
        <v>1</v>
      </c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1"/>
      <c r="BL1045" s="58"/>
      <c r="BP1045" t="str">
        <f t="shared" si="40"/>
        <v>Water0</v>
      </c>
      <c r="BR1045">
        <v>2</v>
      </c>
    </row>
    <row r="1046" spans="1:70" x14ac:dyDescent="0.25">
      <c r="A1046">
        <f t="shared" si="39"/>
        <v>987</v>
      </c>
      <c r="B1046" t="s">
        <v>2314</v>
      </c>
      <c r="D1046" s="1" t="s">
        <v>15</v>
      </c>
      <c r="E1046" s="1">
        <v>0</v>
      </c>
      <c r="F1046" s="1" t="s">
        <v>50</v>
      </c>
      <c r="G1046" s="1" t="s">
        <v>50</v>
      </c>
      <c r="H1046" s="1" t="s">
        <v>50</v>
      </c>
      <c r="I1046" s="1" t="s">
        <v>50</v>
      </c>
      <c r="J1046" s="1" t="s">
        <v>50</v>
      </c>
      <c r="K1046" s="1" t="s">
        <v>50</v>
      </c>
      <c r="L1046" s="1"/>
      <c r="M1046" s="1" t="s">
        <v>104</v>
      </c>
      <c r="N1046" s="1" t="s">
        <v>50</v>
      </c>
      <c r="O1046" s="1" t="s">
        <v>50</v>
      </c>
      <c r="P1046" s="1" t="s">
        <v>2070</v>
      </c>
      <c r="Q1046" s="1" t="s">
        <v>104</v>
      </c>
      <c r="R1046" s="1" t="s">
        <v>104</v>
      </c>
      <c r="S1046" s="1" t="s">
        <v>104</v>
      </c>
      <c r="T1046" s="1" t="s">
        <v>104</v>
      </c>
      <c r="U1046" s="1" t="s">
        <v>104</v>
      </c>
      <c r="V1046" s="1" t="s">
        <v>104</v>
      </c>
      <c r="W1046" s="1" t="s">
        <v>104</v>
      </c>
      <c r="X1046" s="1" t="s">
        <v>2318</v>
      </c>
      <c r="Y1046" s="1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>
        <v>1</v>
      </c>
      <c r="AL1046" s="8">
        <v>1</v>
      </c>
      <c r="AM1046" s="8">
        <v>1</v>
      </c>
      <c r="AN1046" s="8">
        <v>1</v>
      </c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1"/>
      <c r="BK1046">
        <v>1</v>
      </c>
      <c r="BL1046" s="58"/>
      <c r="BP1046" t="str">
        <f t="shared" si="40"/>
        <v>Water0</v>
      </c>
      <c r="BR1046">
        <v>2</v>
      </c>
    </row>
    <row r="1047" spans="1:70" x14ac:dyDescent="0.25">
      <c r="A1047">
        <f t="shared" si="39"/>
        <v>988</v>
      </c>
      <c r="B1047" t="s">
        <v>2315</v>
      </c>
      <c r="D1047" s="1" t="s">
        <v>5</v>
      </c>
      <c r="E1047" s="1" t="s">
        <v>7</v>
      </c>
      <c r="F1047" s="1" t="s">
        <v>50</v>
      </c>
      <c r="G1047" s="1" t="s">
        <v>50</v>
      </c>
      <c r="H1047" s="1"/>
      <c r="I1047" s="1" t="s">
        <v>50</v>
      </c>
      <c r="J1047" s="1" t="s">
        <v>50</v>
      </c>
      <c r="K1047" s="1" t="s">
        <v>50</v>
      </c>
      <c r="L1047" s="1"/>
      <c r="M1047" s="1" t="s">
        <v>104</v>
      </c>
      <c r="N1047" s="1" t="s">
        <v>50</v>
      </c>
      <c r="O1047" s="1" t="s">
        <v>50</v>
      </c>
      <c r="P1047" s="1" t="s">
        <v>2070</v>
      </c>
      <c r="Q1047" s="1" t="s">
        <v>104</v>
      </c>
      <c r="R1047" s="1" t="s">
        <v>104</v>
      </c>
      <c r="S1047" s="1" t="s">
        <v>104</v>
      </c>
      <c r="T1047" s="1" t="s">
        <v>104</v>
      </c>
      <c r="U1047" s="1" t="s">
        <v>104</v>
      </c>
      <c r="V1047" s="1" t="s">
        <v>104</v>
      </c>
      <c r="W1047" s="1" t="s">
        <v>104</v>
      </c>
      <c r="X1047" s="1" t="s">
        <v>2144</v>
      </c>
      <c r="Y1047" s="1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>
        <v>1</v>
      </c>
      <c r="AT1047" s="8"/>
      <c r="AU1047" s="8"/>
      <c r="AV1047" s="8"/>
      <c r="AW1047" s="8"/>
      <c r="AX1047" s="8"/>
      <c r="AY1047" s="8"/>
      <c r="AZ1047" s="8"/>
      <c r="BA1047" s="8"/>
      <c r="BB1047" s="1"/>
      <c r="BL1047" s="58"/>
      <c r="BP1047" t="str">
        <f t="shared" si="40"/>
        <v>IceFairy</v>
      </c>
      <c r="BR1047">
        <v>7</v>
      </c>
    </row>
    <row r="1048" spans="1:70" x14ac:dyDescent="0.25">
      <c r="A1048">
        <f t="shared" si="39"/>
        <v>989</v>
      </c>
      <c r="B1048" t="s">
        <v>2316</v>
      </c>
      <c r="D1048" s="1" t="s">
        <v>5</v>
      </c>
      <c r="E1048" s="1" t="s">
        <v>7</v>
      </c>
      <c r="F1048" s="1" t="s">
        <v>50</v>
      </c>
      <c r="G1048" s="1" t="s">
        <v>50</v>
      </c>
      <c r="H1048" s="1"/>
      <c r="I1048" s="1" t="s">
        <v>50</v>
      </c>
      <c r="J1048" s="1" t="s">
        <v>50</v>
      </c>
      <c r="K1048" s="1" t="s">
        <v>50</v>
      </c>
      <c r="L1048" s="1"/>
      <c r="M1048" s="1" t="s">
        <v>104</v>
      </c>
      <c r="N1048" s="1" t="s">
        <v>50</v>
      </c>
      <c r="O1048" s="1" t="s">
        <v>50</v>
      </c>
      <c r="P1048" s="1" t="s">
        <v>2070</v>
      </c>
      <c r="Q1048" s="1" t="s">
        <v>104</v>
      </c>
      <c r="R1048" s="1" t="s">
        <v>104</v>
      </c>
      <c r="S1048" s="1" t="s">
        <v>104</v>
      </c>
      <c r="T1048" s="1" t="s">
        <v>104</v>
      </c>
      <c r="U1048" s="1" t="s">
        <v>104</v>
      </c>
      <c r="V1048" s="1" t="s">
        <v>104</v>
      </c>
      <c r="W1048" s="1" t="s">
        <v>104</v>
      </c>
      <c r="X1048" s="1" t="s">
        <v>2144</v>
      </c>
      <c r="Y1048" s="1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>
        <v>1</v>
      </c>
      <c r="AT1048" s="8"/>
      <c r="AU1048" s="8"/>
      <c r="AV1048" s="8"/>
      <c r="AW1048" s="8"/>
      <c r="AX1048" s="8"/>
      <c r="AY1048" s="8"/>
      <c r="AZ1048" s="8"/>
      <c r="BA1048" s="8"/>
      <c r="BB1048" s="1"/>
      <c r="BL1048" s="58"/>
      <c r="BP1048" t="str">
        <f t="shared" si="40"/>
        <v>IceFairy</v>
      </c>
      <c r="BR1048">
        <v>7</v>
      </c>
    </row>
    <row r="1049" spans="1:70" x14ac:dyDescent="0.25">
      <c r="A1049">
        <f t="shared" si="39"/>
        <v>990</v>
      </c>
      <c r="B1049" t="s">
        <v>2317</v>
      </c>
      <c r="D1049" s="1" t="s">
        <v>9</v>
      </c>
      <c r="E1049" s="1" t="s">
        <v>41</v>
      </c>
      <c r="F1049" s="1" t="s">
        <v>50</v>
      </c>
      <c r="G1049" s="1" t="s">
        <v>50</v>
      </c>
      <c r="H1049" s="1" t="s">
        <v>50</v>
      </c>
      <c r="I1049" s="1" t="s">
        <v>50</v>
      </c>
      <c r="J1049" s="1" t="s">
        <v>50</v>
      </c>
      <c r="K1049" s="1" t="s">
        <v>50</v>
      </c>
      <c r="L1049" s="1"/>
      <c r="M1049" s="1" t="s">
        <v>104</v>
      </c>
      <c r="N1049" s="1" t="s">
        <v>50</v>
      </c>
      <c r="O1049" s="1" t="s">
        <v>50</v>
      </c>
      <c r="P1049" s="1" t="s">
        <v>2070</v>
      </c>
      <c r="Q1049" s="1" t="s">
        <v>104</v>
      </c>
      <c r="R1049" s="1" t="s">
        <v>104</v>
      </c>
      <c r="S1049" s="1" t="s">
        <v>104</v>
      </c>
      <c r="T1049" s="1" t="s">
        <v>104</v>
      </c>
      <c r="U1049" s="1" t="s">
        <v>104</v>
      </c>
      <c r="V1049" s="1" t="s">
        <v>104</v>
      </c>
      <c r="W1049" s="1" t="s">
        <v>104</v>
      </c>
      <c r="X1049" s="1" t="s">
        <v>2259</v>
      </c>
      <c r="Y1049" s="1"/>
      <c r="Z1049" s="8"/>
      <c r="AA1049" s="8"/>
      <c r="AB1049" s="8"/>
      <c r="AC1049" s="8">
        <v>1</v>
      </c>
      <c r="AD1049" s="8"/>
      <c r="AE1049" s="8"/>
      <c r="AF1049" s="8">
        <v>1</v>
      </c>
      <c r="AG1049" s="8">
        <v>1</v>
      </c>
      <c r="AH1049" s="8">
        <v>1</v>
      </c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>
        <v>1</v>
      </c>
      <c r="AV1049" s="8"/>
      <c r="AW1049" s="8"/>
      <c r="AX1049" s="8"/>
      <c r="AY1049" s="8"/>
      <c r="AZ1049" s="8"/>
      <c r="BA1049" s="8"/>
      <c r="BB1049" s="1"/>
      <c r="BK1049">
        <v>1</v>
      </c>
      <c r="BL1049" s="58"/>
      <c r="BP1049" t="str">
        <f t="shared" si="40"/>
        <v>RockSound</v>
      </c>
      <c r="BR1049">
        <v>2</v>
      </c>
    </row>
    <row r="1050" spans="1:70" x14ac:dyDescent="0.25">
      <c r="A1050">
        <f t="shared" si="39"/>
        <v>991</v>
      </c>
      <c r="B1050" t="s">
        <v>2319</v>
      </c>
      <c r="D1050" s="1" t="s">
        <v>14</v>
      </c>
      <c r="E1050" s="1" t="s">
        <v>16</v>
      </c>
      <c r="F1050" s="1" t="s">
        <v>50</v>
      </c>
      <c r="G1050" s="1" t="s">
        <v>50</v>
      </c>
      <c r="H1050" s="1"/>
      <c r="I1050" s="1" t="s">
        <v>50</v>
      </c>
      <c r="J1050" s="1" t="s">
        <v>50</v>
      </c>
      <c r="K1050" s="1" t="s">
        <v>50</v>
      </c>
      <c r="L1050" s="1"/>
      <c r="M1050" s="1" t="s">
        <v>50</v>
      </c>
      <c r="N1050" s="1" t="s">
        <v>50</v>
      </c>
      <c r="O1050" s="1" t="s">
        <v>50</v>
      </c>
      <c r="P1050" s="13" t="s">
        <v>824</v>
      </c>
      <c r="Q1050" s="1" t="s">
        <v>104</v>
      </c>
      <c r="R1050" s="1" t="s">
        <v>104</v>
      </c>
      <c r="S1050" s="1" t="s">
        <v>104</v>
      </c>
      <c r="T1050" s="1" t="s">
        <v>104</v>
      </c>
      <c r="U1050" s="1" t="s">
        <v>104</v>
      </c>
      <c r="V1050" s="1" t="s">
        <v>104</v>
      </c>
      <c r="W1050" s="1" t="s">
        <v>104</v>
      </c>
      <c r="X1050" s="1" t="s">
        <v>727</v>
      </c>
      <c r="Y1050" s="1"/>
      <c r="Z1050" s="8"/>
      <c r="AA1050" s="8"/>
      <c r="AB1050" s="8"/>
      <c r="AC1050" s="8"/>
      <c r="AD1050" s="8"/>
      <c r="AE1050" s="8">
        <v>1</v>
      </c>
      <c r="AF1050" s="8"/>
      <c r="AG1050" s="8">
        <v>1</v>
      </c>
      <c r="AH1050" s="8">
        <v>1</v>
      </c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>
        <v>1</v>
      </c>
      <c r="AY1050" s="8">
        <v>1</v>
      </c>
      <c r="AZ1050" s="8"/>
      <c r="BA1050" s="8"/>
      <c r="BB1050" s="1"/>
      <c r="BL1050" s="58"/>
      <c r="BP1050" t="str">
        <f t="shared" si="40"/>
        <v>GhostFlying</v>
      </c>
      <c r="BR1050">
        <v>8</v>
      </c>
    </row>
    <row r="1051" spans="1:70" x14ac:dyDescent="0.25">
      <c r="A1051">
        <f t="shared" si="39"/>
        <v>992</v>
      </c>
      <c r="B1051" t="s">
        <v>2320</v>
      </c>
      <c r="D1051" s="1" t="s">
        <v>14</v>
      </c>
      <c r="E1051" s="1" t="s">
        <v>16</v>
      </c>
      <c r="F1051" s="1" t="s">
        <v>50</v>
      </c>
      <c r="G1051" s="1" t="s">
        <v>50</v>
      </c>
      <c r="H1051" s="1"/>
      <c r="I1051" s="1" t="s">
        <v>50</v>
      </c>
      <c r="J1051" s="1" t="s">
        <v>50</v>
      </c>
      <c r="K1051" s="1" t="s">
        <v>50</v>
      </c>
      <c r="L1051" s="1"/>
      <c r="M1051" s="1" t="s">
        <v>104</v>
      </c>
      <c r="N1051" s="1" t="s">
        <v>50</v>
      </c>
      <c r="O1051" s="1" t="s">
        <v>50</v>
      </c>
      <c r="P1051" s="13" t="s">
        <v>824</v>
      </c>
      <c r="Q1051" s="1" t="s">
        <v>104</v>
      </c>
      <c r="R1051" s="1" t="s">
        <v>104</v>
      </c>
      <c r="S1051" s="1" t="s">
        <v>104</v>
      </c>
      <c r="T1051" s="1" t="s">
        <v>104</v>
      </c>
      <c r="U1051" s="1" t="s">
        <v>104</v>
      </c>
      <c r="V1051" s="1" t="s">
        <v>104</v>
      </c>
      <c r="W1051" s="1" t="s">
        <v>104</v>
      </c>
      <c r="X1051" s="1" t="s">
        <v>727</v>
      </c>
      <c r="Y1051" s="1"/>
      <c r="Z1051" s="8"/>
      <c r="AA1051" s="8"/>
      <c r="AB1051" s="8"/>
      <c r="AC1051" s="8"/>
      <c r="AD1051" s="8"/>
      <c r="AE1051" s="8">
        <v>1</v>
      </c>
      <c r="AF1051" s="8"/>
      <c r="AG1051" s="8">
        <v>1</v>
      </c>
      <c r="AH1051" s="8">
        <v>1</v>
      </c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>
        <v>1</v>
      </c>
      <c r="AY1051" s="8">
        <v>1</v>
      </c>
      <c r="AZ1051" s="8"/>
      <c r="BA1051" s="8"/>
      <c r="BB1051" s="1"/>
      <c r="BL1051" s="58"/>
      <c r="BP1051" t="str">
        <f t="shared" si="40"/>
        <v>GhostFlying</v>
      </c>
      <c r="BR1051">
        <v>8</v>
      </c>
    </row>
    <row r="1052" spans="1:70" x14ac:dyDescent="0.25">
      <c r="A1052">
        <f t="shared" si="39"/>
        <v>993</v>
      </c>
      <c r="B1052" t="s">
        <v>2321</v>
      </c>
      <c r="D1052" s="1" t="s">
        <v>14</v>
      </c>
      <c r="E1052" s="1" t="s">
        <v>16</v>
      </c>
      <c r="F1052" s="1" t="s">
        <v>50</v>
      </c>
      <c r="G1052" s="1" t="s">
        <v>50</v>
      </c>
      <c r="H1052" s="1" t="s">
        <v>50</v>
      </c>
      <c r="I1052" s="1" t="s">
        <v>50</v>
      </c>
      <c r="J1052" s="1" t="s">
        <v>50</v>
      </c>
      <c r="K1052" s="1" t="s">
        <v>50</v>
      </c>
      <c r="L1052" s="1"/>
      <c r="M1052" s="1" t="s">
        <v>104</v>
      </c>
      <c r="N1052" s="1" t="s">
        <v>50</v>
      </c>
      <c r="O1052" s="1" t="s">
        <v>50</v>
      </c>
      <c r="P1052" s="13" t="s">
        <v>824</v>
      </c>
      <c r="Q1052" s="1" t="s">
        <v>104</v>
      </c>
      <c r="R1052" s="1" t="s">
        <v>104</v>
      </c>
      <c r="S1052" s="1" t="s">
        <v>104</v>
      </c>
      <c r="T1052" s="1" t="s">
        <v>104</v>
      </c>
      <c r="U1052" s="1" t="s">
        <v>104</v>
      </c>
      <c r="V1052" s="1" t="s">
        <v>104</v>
      </c>
      <c r="W1052" s="1" t="s">
        <v>104</v>
      </c>
      <c r="X1052" s="1" t="s">
        <v>727</v>
      </c>
      <c r="Y1052" s="1"/>
      <c r="Z1052" s="8"/>
      <c r="AA1052" s="8"/>
      <c r="AB1052" s="8"/>
      <c r="AC1052" s="8"/>
      <c r="AD1052" s="8"/>
      <c r="AE1052" s="8">
        <v>1</v>
      </c>
      <c r="AF1052" s="8"/>
      <c r="AG1052" s="8">
        <v>1</v>
      </c>
      <c r="AH1052" s="8">
        <v>1</v>
      </c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>
        <v>1</v>
      </c>
      <c r="AY1052" s="8">
        <v>1</v>
      </c>
      <c r="AZ1052" s="8"/>
      <c r="BA1052" s="8"/>
      <c r="BB1052" s="1"/>
      <c r="BL1052" s="58"/>
      <c r="BP1052" t="str">
        <f t="shared" si="40"/>
        <v>GhostFlying</v>
      </c>
      <c r="BR1052">
        <v>8</v>
      </c>
    </row>
    <row r="1053" spans="1:70" x14ac:dyDescent="0.25">
      <c r="A1053">
        <f t="shared" si="39"/>
        <v>994</v>
      </c>
      <c r="B1053" t="s">
        <v>2322</v>
      </c>
      <c r="D1053" s="1" t="s">
        <v>15</v>
      </c>
      <c r="E1053" s="1" t="s">
        <v>1</v>
      </c>
      <c r="F1053" s="1" t="s">
        <v>50</v>
      </c>
      <c r="G1053" s="1" t="s">
        <v>50</v>
      </c>
      <c r="H1053" s="1"/>
      <c r="I1053" s="1" t="s">
        <v>50</v>
      </c>
      <c r="J1053" s="1" t="s">
        <v>50</v>
      </c>
      <c r="K1053" s="1" t="s">
        <v>50</v>
      </c>
      <c r="L1053" s="1"/>
      <c r="M1053" s="1" t="s">
        <v>50</v>
      </c>
      <c r="N1053" s="1" t="s">
        <v>50</v>
      </c>
      <c r="O1053" s="1" t="s">
        <v>50</v>
      </c>
      <c r="P1053" s="1" t="s">
        <v>2070</v>
      </c>
      <c r="Q1053" s="1" t="s">
        <v>104</v>
      </c>
      <c r="R1053" s="1" t="s">
        <v>104</v>
      </c>
      <c r="S1053" s="1" t="s">
        <v>104</v>
      </c>
      <c r="T1053" s="1" t="s">
        <v>104</v>
      </c>
      <c r="U1053" s="1" t="s">
        <v>104</v>
      </c>
      <c r="V1053" s="1" t="s">
        <v>104</v>
      </c>
      <c r="W1053" s="1" t="s">
        <v>104</v>
      </c>
      <c r="X1053" s="1" t="s">
        <v>727</v>
      </c>
      <c r="Y1053" s="1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>
        <v>1</v>
      </c>
      <c r="AK1053" s="8">
        <v>1</v>
      </c>
      <c r="AL1053" s="8">
        <v>1</v>
      </c>
      <c r="AM1053" s="8">
        <v>1</v>
      </c>
      <c r="AN1053" s="8">
        <v>1</v>
      </c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1"/>
      <c r="BL1053" s="58"/>
      <c r="BP1053" t="str">
        <f t="shared" si="40"/>
        <v>WaterNormal</v>
      </c>
      <c r="BR1053">
        <v>6</v>
      </c>
    </row>
    <row r="1054" spans="1:70" x14ac:dyDescent="0.25">
      <c r="A1054">
        <f t="shared" si="39"/>
        <v>995</v>
      </c>
      <c r="B1054" t="s">
        <v>2323</v>
      </c>
      <c r="D1054" s="1" t="s">
        <v>15</v>
      </c>
      <c r="E1054" s="1" t="s">
        <v>1</v>
      </c>
      <c r="F1054" s="1" t="s">
        <v>50</v>
      </c>
      <c r="G1054" s="1" t="s">
        <v>50</v>
      </c>
      <c r="H1054" s="1" t="s">
        <v>50</v>
      </c>
      <c r="I1054" s="1" t="s">
        <v>50</v>
      </c>
      <c r="J1054" s="1" t="s">
        <v>50</v>
      </c>
      <c r="K1054" s="1" t="s">
        <v>50</v>
      </c>
      <c r="L1054" s="1"/>
      <c r="M1054" s="1" t="s">
        <v>104</v>
      </c>
      <c r="N1054" s="1" t="s">
        <v>50</v>
      </c>
      <c r="O1054" s="1" t="s">
        <v>50</v>
      </c>
      <c r="P1054" s="1" t="s">
        <v>2070</v>
      </c>
      <c r="Q1054" s="1" t="s">
        <v>104</v>
      </c>
      <c r="R1054" s="1" t="s">
        <v>104</v>
      </c>
      <c r="S1054" s="1" t="s">
        <v>104</v>
      </c>
      <c r="T1054" s="1" t="s">
        <v>104</v>
      </c>
      <c r="U1054" s="1" t="s">
        <v>104</v>
      </c>
      <c r="V1054" s="1" t="s">
        <v>104</v>
      </c>
      <c r="W1054" s="1" t="s">
        <v>104</v>
      </c>
      <c r="X1054" s="1" t="s">
        <v>727</v>
      </c>
      <c r="Y1054" s="1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>
        <v>1</v>
      </c>
      <c r="AK1054" s="8">
        <v>1</v>
      </c>
      <c r="AL1054" s="8">
        <v>1</v>
      </c>
      <c r="AM1054" s="8">
        <v>1</v>
      </c>
      <c r="AN1054" s="8">
        <v>1</v>
      </c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1"/>
      <c r="BL1054" s="58"/>
      <c r="BP1054" t="str">
        <f t="shared" si="40"/>
        <v>WaterNormal</v>
      </c>
      <c r="BR1054">
        <v>6</v>
      </c>
    </row>
    <row r="1055" spans="1:70" x14ac:dyDescent="0.25">
      <c r="A1055">
        <f t="shared" si="39"/>
        <v>996</v>
      </c>
      <c r="B1055" t="s">
        <v>2324</v>
      </c>
      <c r="D1055" s="1" t="s">
        <v>13</v>
      </c>
      <c r="E1055" s="1" t="s">
        <v>1</v>
      </c>
      <c r="F1055" s="1" t="s">
        <v>50</v>
      </c>
      <c r="G1055" s="1" t="s">
        <v>50</v>
      </c>
      <c r="H1055" s="1"/>
      <c r="I1055" s="1" t="s">
        <v>50</v>
      </c>
      <c r="J1055" s="1" t="s">
        <v>50</v>
      </c>
      <c r="K1055" s="1" t="s">
        <v>50</v>
      </c>
      <c r="L1055" s="1"/>
      <c r="M1055" s="1" t="s">
        <v>50</v>
      </c>
      <c r="N1055" s="1" t="s">
        <v>50</v>
      </c>
      <c r="O1055" s="1" t="s">
        <v>50</v>
      </c>
      <c r="P1055" s="1" t="s">
        <v>2059</v>
      </c>
      <c r="Q1055" s="1" t="s">
        <v>104</v>
      </c>
      <c r="R1055" s="1" t="s">
        <v>104</v>
      </c>
      <c r="S1055" s="1" t="s">
        <v>104</v>
      </c>
      <c r="T1055" s="1" t="s">
        <v>104</v>
      </c>
      <c r="U1055" s="1" t="s">
        <v>104</v>
      </c>
      <c r="V1055" s="1" t="s">
        <v>104</v>
      </c>
      <c r="W1055" s="1" t="s">
        <v>104</v>
      </c>
      <c r="X1055" s="1" t="s">
        <v>727</v>
      </c>
      <c r="Y1055" s="1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>
        <v>1</v>
      </c>
      <c r="AT1055" s="8"/>
      <c r="AU1055" s="8"/>
      <c r="AV1055" s="8"/>
      <c r="AW1055" s="8"/>
      <c r="AX1055" s="8"/>
      <c r="AY1055" s="8"/>
      <c r="AZ1055" s="8"/>
      <c r="BA1055" s="8"/>
      <c r="BB1055" s="1"/>
      <c r="BL1055" s="58"/>
      <c r="BP1055" t="str">
        <f t="shared" si="40"/>
        <v>FireNormal</v>
      </c>
      <c r="BR1055">
        <v>1</v>
      </c>
    </row>
    <row r="1056" spans="1:70" x14ac:dyDescent="0.25">
      <c r="A1056">
        <f t="shared" ref="A1056:A1087" si="41">A1055+1</f>
        <v>997</v>
      </c>
      <c r="B1056" t="s">
        <v>2325</v>
      </c>
      <c r="D1056" s="1" t="s">
        <v>13</v>
      </c>
      <c r="E1056" s="1" t="s">
        <v>1</v>
      </c>
      <c r="F1056" s="1" t="s">
        <v>50</v>
      </c>
      <c r="G1056" s="1" t="s">
        <v>50</v>
      </c>
      <c r="H1056" s="1" t="s">
        <v>50</v>
      </c>
      <c r="I1056" s="1" t="s">
        <v>50</v>
      </c>
      <c r="J1056" s="1" t="s">
        <v>50</v>
      </c>
      <c r="K1056" s="1" t="s">
        <v>50</v>
      </c>
      <c r="L1056" s="1"/>
      <c r="M1056" s="1" t="s">
        <v>104</v>
      </c>
      <c r="N1056" s="1" t="s">
        <v>50</v>
      </c>
      <c r="O1056" s="1" t="s">
        <v>50</v>
      </c>
      <c r="P1056" s="1" t="s">
        <v>2059</v>
      </c>
      <c r="Q1056" s="1" t="s">
        <v>104</v>
      </c>
      <c r="R1056" s="1" t="s">
        <v>104</v>
      </c>
      <c r="S1056" s="1" t="s">
        <v>104</v>
      </c>
      <c r="T1056" s="1" t="s">
        <v>104</v>
      </c>
      <c r="U1056" s="1" t="s">
        <v>104</v>
      </c>
      <c r="V1056" s="1" t="s">
        <v>104</v>
      </c>
      <c r="W1056" s="1" t="s">
        <v>104</v>
      </c>
      <c r="X1056" s="1" t="s">
        <v>727</v>
      </c>
      <c r="Y1056" s="1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>
        <v>1</v>
      </c>
      <c r="AT1056" s="8"/>
      <c r="AU1056" s="8"/>
      <c r="AV1056" s="8"/>
      <c r="AW1056" s="8"/>
      <c r="AX1056" s="8"/>
      <c r="AY1056" s="8"/>
      <c r="AZ1056" s="8"/>
      <c r="BA1056" s="8"/>
      <c r="BB1056" s="1"/>
      <c r="BL1056" s="58"/>
      <c r="BP1056" t="str">
        <f t="shared" si="40"/>
        <v>FireNormal</v>
      </c>
      <c r="BR1056">
        <v>4</v>
      </c>
    </row>
    <row r="1057" spans="1:70" x14ac:dyDescent="0.25">
      <c r="A1057">
        <f t="shared" si="41"/>
        <v>998</v>
      </c>
      <c r="B1057" t="s">
        <v>2327</v>
      </c>
      <c r="D1057" s="1" t="s">
        <v>14</v>
      </c>
      <c r="E1057" s="1">
        <v>0</v>
      </c>
      <c r="F1057" s="1" t="s">
        <v>50</v>
      </c>
      <c r="G1057" s="1" t="s">
        <v>50</v>
      </c>
      <c r="H1057" s="1"/>
      <c r="I1057" s="1" t="s">
        <v>50</v>
      </c>
      <c r="J1057" s="1" t="s">
        <v>50</v>
      </c>
      <c r="K1057" s="1" t="s">
        <v>50</v>
      </c>
      <c r="L1057" s="1"/>
      <c r="M1057" s="1" t="s">
        <v>50</v>
      </c>
      <c r="N1057" s="1" t="s">
        <v>50</v>
      </c>
      <c r="O1057" s="1" t="s">
        <v>50</v>
      </c>
      <c r="P1057" s="1" t="s">
        <v>2070</v>
      </c>
      <c r="Q1057" s="1" t="s">
        <v>104</v>
      </c>
      <c r="R1057" s="1" t="s">
        <v>104</v>
      </c>
      <c r="S1057" s="1" t="s">
        <v>104</v>
      </c>
      <c r="T1057" s="1" t="s">
        <v>104</v>
      </c>
      <c r="U1057" s="1" t="s">
        <v>104</v>
      </c>
      <c r="V1057" s="1" t="s">
        <v>104</v>
      </c>
      <c r="W1057" s="1" t="s">
        <v>104</v>
      </c>
      <c r="X1057" s="1" t="s">
        <v>2329</v>
      </c>
      <c r="Y1057" s="1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>
        <v>1</v>
      </c>
      <c r="AO1057" s="8">
        <v>1</v>
      </c>
      <c r="AP1057" s="8">
        <v>1</v>
      </c>
      <c r="AQ1057" s="8">
        <v>1</v>
      </c>
      <c r="AR1057" s="8">
        <v>1</v>
      </c>
      <c r="AS1057" s="8"/>
      <c r="AT1057" s="8"/>
      <c r="AU1057" s="8"/>
      <c r="AV1057" s="8"/>
      <c r="AW1057" s="8"/>
      <c r="AX1057" s="8"/>
      <c r="AY1057" s="8"/>
      <c r="AZ1057" s="8"/>
      <c r="BA1057" s="8"/>
      <c r="BB1057" s="1"/>
      <c r="BL1057" s="58"/>
      <c r="BP1057" t="str">
        <f t="shared" si="40"/>
        <v>Ghost0</v>
      </c>
      <c r="BR1057">
        <v>9</v>
      </c>
    </row>
    <row r="1058" spans="1:70" x14ac:dyDescent="0.25">
      <c r="A1058">
        <f t="shared" si="41"/>
        <v>999</v>
      </c>
      <c r="B1058" t="s">
        <v>2328</v>
      </c>
      <c r="D1058" s="1" t="s">
        <v>14</v>
      </c>
      <c r="E1058" s="1" t="s">
        <v>5</v>
      </c>
      <c r="F1058" s="1" t="s">
        <v>50</v>
      </c>
      <c r="G1058" s="1" t="s">
        <v>50</v>
      </c>
      <c r="H1058" s="1" t="s">
        <v>50</v>
      </c>
      <c r="I1058" s="1" t="s">
        <v>50</v>
      </c>
      <c r="J1058" s="1" t="s">
        <v>50</v>
      </c>
      <c r="K1058" s="1" t="s">
        <v>50</v>
      </c>
      <c r="L1058" s="1"/>
      <c r="M1058" s="1" t="s">
        <v>104</v>
      </c>
      <c r="N1058" s="1" t="s">
        <v>50</v>
      </c>
      <c r="O1058" s="1" t="s">
        <v>50</v>
      </c>
      <c r="P1058" s="1" t="s">
        <v>2070</v>
      </c>
      <c r="Q1058" s="1" t="s">
        <v>104</v>
      </c>
      <c r="R1058" s="1" t="s">
        <v>104</v>
      </c>
      <c r="S1058" s="1" t="s">
        <v>104</v>
      </c>
      <c r="T1058" s="1" t="s">
        <v>104</v>
      </c>
      <c r="U1058" s="1" t="s">
        <v>104</v>
      </c>
      <c r="V1058" s="1" t="s">
        <v>104</v>
      </c>
      <c r="W1058" s="1" t="s">
        <v>104</v>
      </c>
      <c r="X1058" s="1" t="s">
        <v>2329</v>
      </c>
      <c r="Y1058" s="1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>
        <v>1</v>
      </c>
      <c r="AO1058" s="8">
        <v>1</v>
      </c>
      <c r="AP1058" s="8">
        <v>1</v>
      </c>
      <c r="AQ1058" s="8">
        <v>1</v>
      </c>
      <c r="AR1058" s="8">
        <v>1</v>
      </c>
      <c r="AS1058" s="8"/>
      <c r="AT1058" s="8"/>
      <c r="AU1058" s="8"/>
      <c r="AV1058" s="8"/>
      <c r="AW1058" s="8"/>
      <c r="AX1058" s="8"/>
      <c r="AY1058" s="8"/>
      <c r="AZ1058" s="8"/>
      <c r="BA1058" s="8"/>
      <c r="BB1058" s="1"/>
      <c r="BL1058" s="58"/>
      <c r="BP1058" t="str">
        <f t="shared" si="40"/>
        <v>GhostIce</v>
      </c>
      <c r="BR1058">
        <v>9</v>
      </c>
    </row>
    <row r="1059" spans="1:70" x14ac:dyDescent="0.25">
      <c r="A1059">
        <f t="shared" si="41"/>
        <v>1000</v>
      </c>
      <c r="B1059" t="s">
        <v>2330</v>
      </c>
      <c r="D1059" s="1" t="s">
        <v>12</v>
      </c>
      <c r="E1059" s="1" t="s">
        <v>1</v>
      </c>
      <c r="F1059" s="1" t="s">
        <v>50</v>
      </c>
      <c r="G1059" s="1" t="s">
        <v>50</v>
      </c>
      <c r="H1059" s="1"/>
      <c r="I1059" s="1" t="s">
        <v>50</v>
      </c>
      <c r="J1059" s="1" t="s">
        <v>50</v>
      </c>
      <c r="K1059" s="1"/>
      <c r="L1059" s="1"/>
      <c r="M1059" s="1" t="s">
        <v>104</v>
      </c>
      <c r="N1059" s="1" t="s">
        <v>50</v>
      </c>
      <c r="O1059" s="1" t="s">
        <v>50</v>
      </c>
      <c r="P1059" s="1" t="s">
        <v>2070</v>
      </c>
      <c r="Q1059" s="1" t="s">
        <v>104</v>
      </c>
      <c r="R1059" s="1" t="s">
        <v>104</v>
      </c>
      <c r="S1059" s="1" t="s">
        <v>104</v>
      </c>
      <c r="T1059" s="1" t="s">
        <v>104</v>
      </c>
      <c r="U1059" s="1" t="s">
        <v>104</v>
      </c>
      <c r="V1059" s="1" t="s">
        <v>104</v>
      </c>
      <c r="W1059" s="1" t="s">
        <v>104</v>
      </c>
      <c r="X1059" s="1" t="s">
        <v>726</v>
      </c>
      <c r="Y1059" s="1"/>
      <c r="Z1059" s="8">
        <v>1</v>
      </c>
      <c r="AA1059" s="8">
        <v>1</v>
      </c>
      <c r="AB1059" s="8">
        <v>1</v>
      </c>
      <c r="AC1059" s="8">
        <v>1</v>
      </c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>
        <v>1</v>
      </c>
      <c r="AY1059" s="8"/>
      <c r="AZ1059" s="8"/>
      <c r="BA1059" s="8"/>
      <c r="BB1059" s="1"/>
      <c r="BL1059" s="58"/>
      <c r="BP1059" t="str">
        <f t="shared" si="40"/>
        <v>DragonNormal</v>
      </c>
      <c r="BR1059">
        <v>1</v>
      </c>
    </row>
    <row r="1060" spans="1:70" x14ac:dyDescent="0.25">
      <c r="A1060">
        <f t="shared" si="41"/>
        <v>1001</v>
      </c>
      <c r="B1060" t="s">
        <v>2331</v>
      </c>
      <c r="D1060" s="1" t="s">
        <v>7</v>
      </c>
      <c r="E1060" s="1" t="s">
        <v>4</v>
      </c>
      <c r="F1060" s="1" t="s">
        <v>50</v>
      </c>
      <c r="G1060" s="1" t="s">
        <v>50</v>
      </c>
      <c r="H1060" s="1"/>
      <c r="I1060" s="1" t="s">
        <v>50</v>
      </c>
      <c r="J1060" s="1" t="s">
        <v>50</v>
      </c>
      <c r="K1060" s="1" t="s">
        <v>50</v>
      </c>
      <c r="L1060" s="1"/>
      <c r="M1060" s="1" t="s">
        <v>50</v>
      </c>
      <c r="N1060" s="1" t="s">
        <v>50</v>
      </c>
      <c r="O1060" s="1" t="s">
        <v>50</v>
      </c>
      <c r="P1060" s="1" t="s">
        <v>2070</v>
      </c>
      <c r="Q1060" s="1" t="s">
        <v>104</v>
      </c>
      <c r="R1060" s="1" t="s">
        <v>104</v>
      </c>
      <c r="S1060" s="1" t="s">
        <v>104</v>
      </c>
      <c r="T1060" s="1" t="s">
        <v>104</v>
      </c>
      <c r="U1060" s="1" t="s">
        <v>104</v>
      </c>
      <c r="V1060" s="1" t="s">
        <v>104</v>
      </c>
      <c r="W1060" s="1" t="s">
        <v>104</v>
      </c>
      <c r="X1060" s="1" t="s">
        <v>2119</v>
      </c>
      <c r="Y1060" s="1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>
        <v>1</v>
      </c>
      <c r="AT1060" s="8"/>
      <c r="AU1060" s="8"/>
      <c r="AV1060" s="8"/>
      <c r="AW1060" s="8"/>
      <c r="AX1060" s="8"/>
      <c r="AY1060" s="8"/>
      <c r="AZ1060" s="8"/>
      <c r="BA1060" s="8"/>
      <c r="BB1060" s="1"/>
      <c r="BL1060" s="58"/>
      <c r="BP1060" t="str">
        <f t="shared" si="40"/>
        <v>FairyPsychic</v>
      </c>
      <c r="BR1060">
        <v>8</v>
      </c>
    </row>
    <row r="1061" spans="1:70" x14ac:dyDescent="0.25">
      <c r="A1061">
        <f t="shared" si="41"/>
        <v>1002</v>
      </c>
      <c r="B1061" t="s">
        <v>2332</v>
      </c>
      <c r="D1061" s="1" t="s">
        <v>7</v>
      </c>
      <c r="E1061" s="1" t="s">
        <v>4</v>
      </c>
      <c r="F1061" s="1" t="s">
        <v>50</v>
      </c>
      <c r="G1061" s="1" t="s">
        <v>50</v>
      </c>
      <c r="H1061" s="1"/>
      <c r="I1061" s="1" t="s">
        <v>50</v>
      </c>
      <c r="J1061" s="1" t="s">
        <v>50</v>
      </c>
      <c r="K1061" s="1" t="s">
        <v>50</v>
      </c>
      <c r="L1061" s="1"/>
      <c r="M1061" s="1" t="s">
        <v>104</v>
      </c>
      <c r="N1061" s="1" t="s">
        <v>50</v>
      </c>
      <c r="O1061" s="1" t="s">
        <v>50</v>
      </c>
      <c r="P1061" s="1" t="s">
        <v>2070</v>
      </c>
      <c r="Q1061" s="1" t="s">
        <v>104</v>
      </c>
      <c r="R1061" s="1" t="s">
        <v>104</v>
      </c>
      <c r="S1061" s="1" t="s">
        <v>104</v>
      </c>
      <c r="T1061" s="1" t="s">
        <v>104</v>
      </c>
      <c r="U1061" s="1" t="s">
        <v>104</v>
      </c>
      <c r="V1061" s="1" t="s">
        <v>104</v>
      </c>
      <c r="W1061" s="1" t="s">
        <v>104</v>
      </c>
      <c r="X1061" s="1" t="s">
        <v>2119</v>
      </c>
      <c r="Y1061" s="1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>
        <v>1</v>
      </c>
      <c r="AT1061" s="8"/>
      <c r="AU1061" s="8"/>
      <c r="AV1061" s="8"/>
      <c r="AW1061" s="8"/>
      <c r="AX1061" s="8"/>
      <c r="AY1061" s="8"/>
      <c r="AZ1061" s="8"/>
      <c r="BA1061" s="8"/>
      <c r="BB1061" s="1"/>
      <c r="BL1061" s="58"/>
      <c r="BP1061" t="str">
        <f t="shared" si="40"/>
        <v>FairyPsychic</v>
      </c>
      <c r="BR1061">
        <v>8</v>
      </c>
    </row>
    <row r="1062" spans="1:70" x14ac:dyDescent="0.25">
      <c r="A1062">
        <f t="shared" si="41"/>
        <v>1003</v>
      </c>
      <c r="B1062" t="s">
        <v>2333</v>
      </c>
      <c r="D1062" s="1" t="s">
        <v>7</v>
      </c>
      <c r="E1062" s="1" t="s">
        <v>4</v>
      </c>
      <c r="F1062" s="1" t="s">
        <v>50</v>
      </c>
      <c r="G1062" s="1" t="s">
        <v>50</v>
      </c>
      <c r="H1062" s="1" t="s">
        <v>50</v>
      </c>
      <c r="I1062" s="1" t="s">
        <v>50</v>
      </c>
      <c r="J1062" s="1" t="s">
        <v>50</v>
      </c>
      <c r="K1062" s="1" t="s">
        <v>50</v>
      </c>
      <c r="L1062" s="1"/>
      <c r="M1062" s="1" t="s">
        <v>104</v>
      </c>
      <c r="N1062" s="1" t="s">
        <v>50</v>
      </c>
      <c r="O1062" s="1" t="s">
        <v>50</v>
      </c>
      <c r="P1062" s="1" t="s">
        <v>2070</v>
      </c>
      <c r="Q1062" s="1" t="s">
        <v>104</v>
      </c>
      <c r="R1062" s="1" t="s">
        <v>104</v>
      </c>
      <c r="S1062" s="1" t="s">
        <v>104</v>
      </c>
      <c r="T1062" s="1" t="s">
        <v>104</v>
      </c>
      <c r="U1062" s="1" t="s">
        <v>104</v>
      </c>
      <c r="V1062" s="1" t="s">
        <v>104</v>
      </c>
      <c r="W1062" s="1" t="s">
        <v>104</v>
      </c>
      <c r="X1062" s="1" t="s">
        <v>2119</v>
      </c>
      <c r="Y1062" s="1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>
        <v>1</v>
      </c>
      <c r="AT1062" s="8"/>
      <c r="AU1062" s="8"/>
      <c r="AV1062" s="8"/>
      <c r="AW1062" s="8"/>
      <c r="AX1062" s="8"/>
      <c r="AY1062" s="8"/>
      <c r="AZ1062" s="8"/>
      <c r="BA1062" s="8"/>
      <c r="BB1062" s="1"/>
      <c r="BK1062">
        <v>12</v>
      </c>
      <c r="BL1062" s="58"/>
      <c r="BP1062" t="str">
        <f t="shared" si="40"/>
        <v>FairyPsychic</v>
      </c>
      <c r="BR1062">
        <v>8</v>
      </c>
    </row>
    <row r="1063" spans="1:70" x14ac:dyDescent="0.25">
      <c r="A1063">
        <f t="shared" si="41"/>
        <v>1004</v>
      </c>
      <c r="B1063" t="s">
        <v>2334</v>
      </c>
      <c r="D1063" s="1" t="s">
        <v>42</v>
      </c>
      <c r="E1063" s="1" t="s">
        <v>1</v>
      </c>
      <c r="F1063" s="1" t="s">
        <v>50</v>
      </c>
      <c r="G1063" s="1" t="s">
        <v>50</v>
      </c>
      <c r="H1063" s="1" t="s">
        <v>50</v>
      </c>
      <c r="I1063" s="1" t="s">
        <v>50</v>
      </c>
      <c r="J1063" s="1" t="s">
        <v>50</v>
      </c>
      <c r="K1063" s="1" t="s">
        <v>50</v>
      </c>
      <c r="L1063" s="1"/>
      <c r="M1063" s="1" t="s">
        <v>50</v>
      </c>
      <c r="N1063" s="1" t="s">
        <v>50</v>
      </c>
      <c r="O1063" s="1" t="s">
        <v>50</v>
      </c>
      <c r="P1063" s="1" t="s">
        <v>2070</v>
      </c>
      <c r="Q1063" s="1" t="s">
        <v>104</v>
      </c>
      <c r="R1063" s="1" t="s">
        <v>104</v>
      </c>
      <c r="S1063" s="1" t="s">
        <v>104</v>
      </c>
      <c r="T1063" s="1" t="s">
        <v>104</v>
      </c>
      <c r="U1063" s="1" t="s">
        <v>104</v>
      </c>
      <c r="V1063" s="1" t="s">
        <v>104</v>
      </c>
      <c r="W1063" s="1" t="s">
        <v>104</v>
      </c>
      <c r="X1063" s="1" t="s">
        <v>2329</v>
      </c>
      <c r="Y1063" s="1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>
        <v>1</v>
      </c>
      <c r="AT1063" s="8"/>
      <c r="AU1063" s="8"/>
      <c r="AV1063" s="8"/>
      <c r="AW1063" s="8"/>
      <c r="AX1063" s="8"/>
      <c r="AY1063" s="8"/>
      <c r="AZ1063" s="8"/>
      <c r="BA1063" s="8"/>
      <c r="BB1063" s="1"/>
      <c r="BL1063" s="58">
        <v>1</v>
      </c>
      <c r="BP1063" t="str">
        <f t="shared" si="40"/>
        <v>CosmicNormal</v>
      </c>
      <c r="BR1063">
        <v>7</v>
      </c>
    </row>
    <row r="1064" spans="1:70" x14ac:dyDescent="0.25">
      <c r="A1064">
        <f t="shared" si="41"/>
        <v>1005</v>
      </c>
      <c r="B1064" t="s">
        <v>2335</v>
      </c>
      <c r="D1064" s="1" t="s">
        <v>6</v>
      </c>
      <c r="E1064" s="1" t="s">
        <v>10</v>
      </c>
      <c r="F1064" s="1" t="s">
        <v>50</v>
      </c>
      <c r="G1064" s="1" t="s">
        <v>50</v>
      </c>
      <c r="H1064" s="1" t="s">
        <v>50</v>
      </c>
      <c r="I1064" s="1" t="s">
        <v>50</v>
      </c>
      <c r="J1064" s="1" t="s">
        <v>50</v>
      </c>
      <c r="K1064" s="1" t="s">
        <v>50</v>
      </c>
      <c r="L1064" s="1"/>
      <c r="M1064" s="1" t="s">
        <v>104</v>
      </c>
      <c r="N1064" s="1" t="s">
        <v>50</v>
      </c>
      <c r="O1064" s="1" t="s">
        <v>50</v>
      </c>
      <c r="P1064" s="1" t="s">
        <v>1707</v>
      </c>
      <c r="Q1064" s="1" t="s">
        <v>104</v>
      </c>
      <c r="R1064" s="1" t="s">
        <v>104</v>
      </c>
      <c r="S1064" s="1" t="s">
        <v>104</v>
      </c>
      <c r="T1064" s="1" t="s">
        <v>104</v>
      </c>
      <c r="U1064" s="1" t="s">
        <v>104</v>
      </c>
      <c r="V1064" s="1" t="s">
        <v>104</v>
      </c>
      <c r="W1064" s="1" t="s">
        <v>104</v>
      </c>
      <c r="X1064" s="1" t="s">
        <v>733</v>
      </c>
      <c r="Y1064" s="1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>
        <v>1</v>
      </c>
      <c r="AT1064" s="8">
        <v>1</v>
      </c>
      <c r="AU1064" s="8"/>
      <c r="AV1064" s="8"/>
      <c r="AW1064" s="8"/>
      <c r="AX1064" s="8"/>
      <c r="AY1064" s="8"/>
      <c r="AZ1064" s="8"/>
      <c r="BA1064" s="8"/>
      <c r="BB1064" s="1"/>
      <c r="BK1064">
        <v>12</v>
      </c>
      <c r="BL1064" s="58"/>
      <c r="BP1064" t="str">
        <f t="shared" si="40"/>
        <v>SteelPoison</v>
      </c>
      <c r="BR1064">
        <v>9</v>
      </c>
    </row>
    <row r="1065" spans="1:70" x14ac:dyDescent="0.25">
      <c r="A1065">
        <f t="shared" si="41"/>
        <v>1006</v>
      </c>
      <c r="B1065" t="s">
        <v>2337</v>
      </c>
      <c r="D1065" s="1" t="s">
        <v>1</v>
      </c>
      <c r="E1065" s="1">
        <v>0</v>
      </c>
      <c r="F1065" s="1" t="s">
        <v>50</v>
      </c>
      <c r="G1065" s="1" t="s">
        <v>50</v>
      </c>
      <c r="H1065" s="1"/>
      <c r="I1065" s="1" t="s">
        <v>50</v>
      </c>
      <c r="J1065" s="1" t="s">
        <v>50</v>
      </c>
      <c r="K1065" s="1" t="s">
        <v>50</v>
      </c>
      <c r="L1065" s="1"/>
      <c r="M1065" s="1" t="s">
        <v>50</v>
      </c>
      <c r="N1065" s="1" t="s">
        <v>50</v>
      </c>
      <c r="O1065" s="1" t="s">
        <v>50</v>
      </c>
      <c r="P1065" s="1" t="s">
        <v>2070</v>
      </c>
      <c r="Q1065" s="1" t="s">
        <v>104</v>
      </c>
      <c r="R1065" s="1" t="s">
        <v>104</v>
      </c>
      <c r="S1065" s="1" t="s">
        <v>104</v>
      </c>
      <c r="T1065" s="1" t="s">
        <v>104</v>
      </c>
      <c r="U1065" s="1" t="s">
        <v>104</v>
      </c>
      <c r="V1065" s="1" t="s">
        <v>104</v>
      </c>
      <c r="W1065" s="1" t="s">
        <v>104</v>
      </c>
      <c r="X1065" s="1" t="s">
        <v>2144</v>
      </c>
      <c r="Y1065" s="1"/>
      <c r="Z1065" s="8">
        <v>1</v>
      </c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>
        <v>1</v>
      </c>
      <c r="AT1065" s="8"/>
      <c r="AU1065" s="8"/>
      <c r="AV1065" s="8"/>
      <c r="AW1065" s="8"/>
      <c r="AX1065" s="8"/>
      <c r="AY1065" s="8"/>
      <c r="AZ1065" s="8"/>
      <c r="BA1065" s="8"/>
      <c r="BB1065" s="1"/>
      <c r="BL1065" s="58"/>
      <c r="BP1065" t="str">
        <f t="shared" si="40"/>
        <v>Normal0</v>
      </c>
      <c r="BR1065">
        <v>8</v>
      </c>
    </row>
    <row r="1066" spans="1:70" x14ac:dyDescent="0.25">
      <c r="A1066">
        <f t="shared" si="41"/>
        <v>1007</v>
      </c>
      <c r="B1066" t="s">
        <v>2338</v>
      </c>
      <c r="D1066" s="1" t="s">
        <v>1</v>
      </c>
      <c r="E1066" s="1">
        <v>0</v>
      </c>
      <c r="F1066" s="1" t="s">
        <v>50</v>
      </c>
      <c r="G1066" s="1" t="s">
        <v>50</v>
      </c>
      <c r="H1066" s="1"/>
      <c r="I1066" s="1" t="s">
        <v>50</v>
      </c>
      <c r="J1066" s="1" t="s">
        <v>50</v>
      </c>
      <c r="K1066" s="1" t="s">
        <v>50</v>
      </c>
      <c r="L1066" s="1"/>
      <c r="M1066" s="1" t="s">
        <v>104</v>
      </c>
      <c r="N1066" s="1" t="s">
        <v>50</v>
      </c>
      <c r="O1066" s="1" t="s">
        <v>50</v>
      </c>
      <c r="P1066" s="1" t="s">
        <v>2070</v>
      </c>
      <c r="Q1066" s="1" t="s">
        <v>104</v>
      </c>
      <c r="R1066" s="1" t="s">
        <v>104</v>
      </c>
      <c r="S1066" s="1" t="s">
        <v>104</v>
      </c>
      <c r="T1066" s="1" t="s">
        <v>104</v>
      </c>
      <c r="U1066" s="1" t="s">
        <v>104</v>
      </c>
      <c r="V1066" s="1" t="s">
        <v>104</v>
      </c>
      <c r="W1066" s="1" t="s">
        <v>104</v>
      </c>
      <c r="X1066" s="1" t="s">
        <v>2144</v>
      </c>
      <c r="Y1066" s="1"/>
      <c r="Z1066" s="8">
        <v>1</v>
      </c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>
        <v>1</v>
      </c>
      <c r="AT1066" s="8"/>
      <c r="AU1066" s="8"/>
      <c r="AV1066" s="8"/>
      <c r="AW1066" s="8"/>
      <c r="AX1066" s="8"/>
      <c r="AY1066" s="8"/>
      <c r="AZ1066" s="8"/>
      <c r="BA1066" s="8"/>
      <c r="BB1066" s="1"/>
      <c r="BL1066" s="58"/>
      <c r="BP1066" t="str">
        <f t="shared" si="40"/>
        <v>Normal0</v>
      </c>
      <c r="BR1066">
        <v>8</v>
      </c>
    </row>
    <row r="1067" spans="1:70" x14ac:dyDescent="0.25">
      <c r="A1067">
        <f t="shared" si="41"/>
        <v>1008</v>
      </c>
      <c r="B1067" t="s">
        <v>2339</v>
      </c>
      <c r="D1067" s="1" t="s">
        <v>1</v>
      </c>
      <c r="E1067" s="1" t="s">
        <v>16</v>
      </c>
      <c r="F1067" s="1" t="s">
        <v>50</v>
      </c>
      <c r="G1067" s="1" t="s">
        <v>50</v>
      </c>
      <c r="H1067" s="1" t="s">
        <v>50</v>
      </c>
      <c r="I1067" s="1" t="s">
        <v>50</v>
      </c>
      <c r="J1067" s="1" t="s">
        <v>50</v>
      </c>
      <c r="K1067" s="1" t="s">
        <v>50</v>
      </c>
      <c r="L1067" s="1"/>
      <c r="M1067" s="1" t="s">
        <v>104</v>
      </c>
      <c r="N1067" s="1" t="s">
        <v>50</v>
      </c>
      <c r="O1067" s="1" t="s">
        <v>50</v>
      </c>
      <c r="P1067" s="1" t="s">
        <v>2070</v>
      </c>
      <c r="Q1067" s="1" t="s">
        <v>104</v>
      </c>
      <c r="R1067" s="1" t="s">
        <v>104</v>
      </c>
      <c r="S1067" s="1" t="s">
        <v>104</v>
      </c>
      <c r="T1067" s="1" t="s">
        <v>104</v>
      </c>
      <c r="U1067" s="1" t="s">
        <v>104</v>
      </c>
      <c r="V1067" s="1" t="s">
        <v>104</v>
      </c>
      <c r="W1067" s="1" t="s">
        <v>104</v>
      </c>
      <c r="X1067" s="1" t="s">
        <v>2144</v>
      </c>
      <c r="Y1067" s="1"/>
      <c r="Z1067" s="8">
        <v>1</v>
      </c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>
        <v>1</v>
      </c>
      <c r="AT1067" s="8"/>
      <c r="AU1067" s="8"/>
      <c r="AV1067" s="8"/>
      <c r="AW1067" s="8"/>
      <c r="AX1067" s="8"/>
      <c r="AY1067" s="8"/>
      <c r="AZ1067" s="8"/>
      <c r="BA1067" s="8"/>
      <c r="BB1067" s="1"/>
      <c r="BK1067">
        <v>1</v>
      </c>
      <c r="BL1067" s="58"/>
      <c r="BP1067" t="str">
        <f t="shared" si="40"/>
        <v>NormalFlying</v>
      </c>
      <c r="BR1067">
        <v>8</v>
      </c>
    </row>
    <row r="1068" spans="1:70" x14ac:dyDescent="0.25">
      <c r="A1068">
        <f t="shared" si="41"/>
        <v>1009</v>
      </c>
      <c r="B1068" t="s">
        <v>2340</v>
      </c>
      <c r="D1068" s="1" t="s">
        <v>15</v>
      </c>
      <c r="E1068" s="1" t="s">
        <v>11</v>
      </c>
      <c r="F1068" s="1" t="s">
        <v>50</v>
      </c>
      <c r="G1068" s="1" t="s">
        <v>50</v>
      </c>
      <c r="H1068" s="1" t="s">
        <v>50</v>
      </c>
      <c r="I1068" s="1" t="s">
        <v>50</v>
      </c>
      <c r="J1068" s="1" t="s">
        <v>50</v>
      </c>
      <c r="K1068" s="1" t="s">
        <v>50</v>
      </c>
      <c r="L1068" s="1"/>
      <c r="M1068" s="1" t="s">
        <v>50</v>
      </c>
      <c r="N1068" s="1" t="s">
        <v>50</v>
      </c>
      <c r="O1068" s="1" t="s">
        <v>50</v>
      </c>
      <c r="P1068" s="1" t="s">
        <v>1814</v>
      </c>
      <c r="Q1068" s="1" t="s">
        <v>104</v>
      </c>
      <c r="R1068" s="1" t="s">
        <v>104</v>
      </c>
      <c r="S1068" s="1" t="s">
        <v>104</v>
      </c>
      <c r="T1068" s="1" t="s">
        <v>104</v>
      </c>
      <c r="U1068" s="1" t="s">
        <v>104</v>
      </c>
      <c r="V1068" s="1" t="s">
        <v>104</v>
      </c>
      <c r="W1068" s="1" t="s">
        <v>104</v>
      </c>
      <c r="X1068" s="1" t="s">
        <v>2119</v>
      </c>
      <c r="Y1068" s="1"/>
      <c r="Z1068" s="8"/>
      <c r="AA1068" s="8"/>
      <c r="AB1068" s="8">
        <v>1</v>
      </c>
      <c r="AC1068" s="8"/>
      <c r="AD1068" s="8"/>
      <c r="AE1068" s="8"/>
      <c r="AF1068" s="8"/>
      <c r="AG1068" s="8"/>
      <c r="AH1068" s="8"/>
      <c r="AI1068" s="8">
        <v>1</v>
      </c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>
        <v>1</v>
      </c>
      <c r="BA1068" s="8"/>
      <c r="BB1068" s="1"/>
      <c r="BL1068" s="58"/>
      <c r="BP1068" t="str">
        <f t="shared" si="40"/>
        <v>WaterGrass</v>
      </c>
      <c r="BR1068">
        <v>7</v>
      </c>
    </row>
    <row r="1069" spans="1:70" x14ac:dyDescent="0.25">
      <c r="A1069">
        <f t="shared" si="41"/>
        <v>1010</v>
      </c>
      <c r="B1069" t="s">
        <v>2341</v>
      </c>
      <c r="D1069" s="1" t="s">
        <v>13</v>
      </c>
      <c r="E1069" s="1" t="s">
        <v>18</v>
      </c>
      <c r="F1069" s="1" t="s">
        <v>50</v>
      </c>
      <c r="G1069" s="1" t="s">
        <v>50</v>
      </c>
      <c r="H1069" s="1"/>
      <c r="I1069" s="1" t="s">
        <v>50</v>
      </c>
      <c r="J1069" s="1" t="s">
        <v>50</v>
      </c>
      <c r="K1069" s="1" t="s">
        <v>50</v>
      </c>
      <c r="L1069" s="1"/>
      <c r="M1069" s="1" t="s">
        <v>50</v>
      </c>
      <c r="N1069" s="1" t="s">
        <v>50</v>
      </c>
      <c r="O1069" s="1" t="s">
        <v>50</v>
      </c>
      <c r="P1069" s="1" t="s">
        <v>2070</v>
      </c>
      <c r="Q1069" s="1" t="s">
        <v>104</v>
      </c>
      <c r="R1069" s="1" t="s">
        <v>104</v>
      </c>
      <c r="S1069" s="1" t="s">
        <v>104</v>
      </c>
      <c r="T1069" s="1" t="s">
        <v>104</v>
      </c>
      <c r="U1069" s="1" t="s">
        <v>104</v>
      </c>
      <c r="V1069" s="1" t="s">
        <v>104</v>
      </c>
      <c r="W1069" s="1" t="s">
        <v>104</v>
      </c>
      <c r="X1069" s="1" t="s">
        <v>2119</v>
      </c>
      <c r="Y1069" s="1"/>
      <c r="Z1069" s="8">
        <v>1</v>
      </c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>
        <v>1</v>
      </c>
      <c r="AW1069" s="8">
        <v>1</v>
      </c>
      <c r="AX1069" s="8">
        <v>1</v>
      </c>
      <c r="AY1069" s="8">
        <v>1</v>
      </c>
      <c r="AZ1069" s="8"/>
      <c r="BA1069" s="8"/>
      <c r="BB1069" s="1"/>
      <c r="BK1069">
        <v>1</v>
      </c>
      <c r="BL1069" s="58"/>
      <c r="BP1069" t="str">
        <f t="shared" si="40"/>
        <v>FireFighting</v>
      </c>
      <c r="BR1069">
        <v>7</v>
      </c>
    </row>
    <row r="1070" spans="1:70" x14ac:dyDescent="0.25">
      <c r="A1070">
        <f t="shared" si="41"/>
        <v>1011</v>
      </c>
      <c r="B1070" t="s">
        <v>2342</v>
      </c>
      <c r="D1070" s="1" t="s">
        <v>13</v>
      </c>
      <c r="E1070" s="1" t="s">
        <v>18</v>
      </c>
      <c r="F1070" s="1" t="s">
        <v>50</v>
      </c>
      <c r="G1070" s="1" t="s">
        <v>50</v>
      </c>
      <c r="H1070" s="1" t="s">
        <v>50</v>
      </c>
      <c r="I1070" s="1" t="s">
        <v>50</v>
      </c>
      <c r="J1070" s="1" t="s">
        <v>50</v>
      </c>
      <c r="K1070" s="1" t="s">
        <v>50</v>
      </c>
      <c r="L1070" s="1"/>
      <c r="M1070" s="1" t="s">
        <v>104</v>
      </c>
      <c r="N1070" s="1" t="s">
        <v>50</v>
      </c>
      <c r="O1070" s="1" t="s">
        <v>50</v>
      </c>
      <c r="P1070" s="1" t="s">
        <v>2070</v>
      </c>
      <c r="Q1070" s="1" t="s">
        <v>104</v>
      </c>
      <c r="R1070" s="1" t="s">
        <v>104</v>
      </c>
      <c r="S1070" s="1" t="s">
        <v>104</v>
      </c>
      <c r="T1070" s="1" t="s">
        <v>104</v>
      </c>
      <c r="U1070" s="1" t="s">
        <v>104</v>
      </c>
      <c r="V1070" s="1" t="s">
        <v>104</v>
      </c>
      <c r="W1070" s="1" t="s">
        <v>104</v>
      </c>
      <c r="X1070" s="1" t="s">
        <v>2119</v>
      </c>
      <c r="Y1070" s="1"/>
      <c r="Z1070" s="8">
        <v>1</v>
      </c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>
        <v>1</v>
      </c>
      <c r="AW1070" s="8">
        <v>1</v>
      </c>
      <c r="AX1070" s="8">
        <v>1</v>
      </c>
      <c r="AY1070" s="8">
        <v>1</v>
      </c>
      <c r="AZ1070" s="8"/>
      <c r="BA1070" s="8"/>
      <c r="BB1070" s="1"/>
      <c r="BK1070">
        <v>2</v>
      </c>
      <c r="BL1070" s="58"/>
      <c r="BP1070" t="str">
        <f t="shared" si="40"/>
        <v>FireFighting</v>
      </c>
      <c r="BR1070">
        <v>7</v>
      </c>
    </row>
    <row r="1071" spans="1:70" x14ac:dyDescent="0.25">
      <c r="A1071">
        <f t="shared" si="41"/>
        <v>1012</v>
      </c>
      <c r="B1071" t="s">
        <v>2343</v>
      </c>
      <c r="D1071" s="1" t="s">
        <v>10</v>
      </c>
      <c r="E1071" s="1" t="s">
        <v>0</v>
      </c>
      <c r="F1071" s="1" t="s">
        <v>50</v>
      </c>
      <c r="G1071" s="1" t="s">
        <v>50</v>
      </c>
      <c r="H1071" s="1" t="s">
        <v>50</v>
      </c>
      <c r="I1071" s="1" t="s">
        <v>50</v>
      </c>
      <c r="J1071" s="1" t="s">
        <v>50</v>
      </c>
      <c r="K1071" s="1" t="s">
        <v>50</v>
      </c>
      <c r="L1071" s="1"/>
      <c r="M1071" s="1" t="s">
        <v>50</v>
      </c>
      <c r="N1071" s="1" t="s">
        <v>50</v>
      </c>
      <c r="O1071" s="1" t="s">
        <v>50</v>
      </c>
      <c r="P1071" s="1" t="s">
        <v>2070</v>
      </c>
      <c r="Q1071" s="1" t="s">
        <v>104</v>
      </c>
      <c r="R1071" s="1" t="s">
        <v>104</v>
      </c>
      <c r="S1071" s="1" t="s">
        <v>104</v>
      </c>
      <c r="T1071" s="1" t="s">
        <v>104</v>
      </c>
      <c r="U1071" s="1" t="s">
        <v>104</v>
      </c>
      <c r="V1071" s="1" t="s">
        <v>104</v>
      </c>
      <c r="W1071" s="1" t="s">
        <v>104</v>
      </c>
      <c r="X1071" s="1" t="s">
        <v>2119</v>
      </c>
      <c r="Y1071" s="1"/>
      <c r="Z1071" s="8"/>
      <c r="AA1071" s="8"/>
      <c r="AB1071" s="8">
        <v>1</v>
      </c>
      <c r="AC1071" s="8">
        <v>1</v>
      </c>
      <c r="AD1071" s="8"/>
      <c r="AE1071" s="8"/>
      <c r="AF1071" s="8"/>
      <c r="AG1071" s="8">
        <v>1</v>
      </c>
      <c r="AH1071" s="8">
        <v>1</v>
      </c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>
        <v>1</v>
      </c>
      <c r="BA1071" s="8"/>
      <c r="BB1071" s="1"/>
      <c r="BL1071" s="58"/>
      <c r="BP1071" t="str">
        <f t="shared" si="40"/>
        <v>PoisonDark</v>
      </c>
      <c r="BR1071">
        <v>6</v>
      </c>
    </row>
    <row r="1072" spans="1:70" x14ac:dyDescent="0.25">
      <c r="A1072">
        <f t="shared" si="41"/>
        <v>1013</v>
      </c>
      <c r="B1072" t="s">
        <v>2344</v>
      </c>
      <c r="D1072" s="1" t="s">
        <v>1</v>
      </c>
      <c r="E1072" s="1" t="s">
        <v>15</v>
      </c>
      <c r="F1072" s="1" t="s">
        <v>50</v>
      </c>
      <c r="G1072" s="1" t="s">
        <v>50</v>
      </c>
      <c r="H1072" s="1" t="s">
        <v>50</v>
      </c>
      <c r="I1072" s="1" t="s">
        <v>50</v>
      </c>
      <c r="J1072" s="1" t="s">
        <v>50</v>
      </c>
      <c r="K1072" s="1" t="s">
        <v>50</v>
      </c>
      <c r="L1072" s="1"/>
      <c r="M1072" s="1" t="s">
        <v>50</v>
      </c>
      <c r="N1072" s="1" t="s">
        <v>50</v>
      </c>
      <c r="O1072" s="1" t="s">
        <v>50</v>
      </c>
      <c r="P1072" s="1" t="s">
        <v>2070</v>
      </c>
      <c r="Q1072" s="1" t="s">
        <v>104</v>
      </c>
      <c r="R1072" s="1" t="s">
        <v>104</v>
      </c>
      <c r="S1072" s="1" t="s">
        <v>104</v>
      </c>
      <c r="T1072" s="1" t="s">
        <v>104</v>
      </c>
      <c r="U1072" s="1" t="s">
        <v>104</v>
      </c>
      <c r="V1072" s="1" t="s">
        <v>104</v>
      </c>
      <c r="W1072" s="1" t="s">
        <v>104</v>
      </c>
      <c r="X1072" s="1" t="s">
        <v>2329</v>
      </c>
      <c r="Y1072" s="1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>
        <v>1</v>
      </c>
      <c r="AK1072" s="8">
        <v>1</v>
      </c>
      <c r="AL1072" s="8"/>
      <c r="AM1072" s="8"/>
      <c r="AN1072" s="8"/>
      <c r="AO1072" s="8"/>
      <c r="AP1072" s="8"/>
      <c r="AQ1072" s="8"/>
      <c r="AR1072" s="8"/>
      <c r="AS1072" s="8">
        <v>1</v>
      </c>
      <c r="AT1072" s="8"/>
      <c r="AU1072" s="8"/>
      <c r="AV1072" s="8"/>
      <c r="AW1072" s="8"/>
      <c r="AX1072" s="8"/>
      <c r="AY1072" s="8"/>
      <c r="AZ1072" s="8"/>
      <c r="BA1072" s="8"/>
      <c r="BB1072" s="1"/>
      <c r="BL1072" s="58"/>
      <c r="BP1072" t="str">
        <f t="shared" si="40"/>
        <v>NormalWater</v>
      </c>
      <c r="BR1072">
        <v>9</v>
      </c>
    </row>
    <row r="1073" spans="1:70" x14ac:dyDescent="0.25">
      <c r="A1073">
        <f t="shared" si="41"/>
        <v>1014</v>
      </c>
      <c r="B1073" t="s">
        <v>2345</v>
      </c>
      <c r="D1073" s="1" t="s">
        <v>14</v>
      </c>
      <c r="E1073" s="1" t="s">
        <v>18</v>
      </c>
      <c r="F1073" s="1" t="s">
        <v>50</v>
      </c>
      <c r="G1073" s="1" t="s">
        <v>50</v>
      </c>
      <c r="H1073" s="1" t="s">
        <v>50</v>
      </c>
      <c r="I1073" s="1" t="s">
        <v>50</v>
      </c>
      <c r="J1073" s="1" t="s">
        <v>50</v>
      </c>
      <c r="K1073" s="1" t="s">
        <v>50</v>
      </c>
      <c r="L1073" s="1"/>
      <c r="M1073" s="1" t="s">
        <v>50</v>
      </c>
      <c r="N1073" s="1" t="s">
        <v>50</v>
      </c>
      <c r="O1073" s="1" t="s">
        <v>50</v>
      </c>
      <c r="P1073" s="1" t="s">
        <v>2070</v>
      </c>
      <c r="Q1073" s="1" t="s">
        <v>104</v>
      </c>
      <c r="R1073" s="1" t="s">
        <v>104</v>
      </c>
      <c r="S1073" s="1" t="s">
        <v>104</v>
      </c>
      <c r="T1073" s="1" t="s">
        <v>104</v>
      </c>
      <c r="U1073" s="1" t="s">
        <v>104</v>
      </c>
      <c r="V1073" s="1" t="s">
        <v>104</v>
      </c>
      <c r="W1073" s="1" t="s">
        <v>104</v>
      </c>
      <c r="X1073" s="1" t="s">
        <v>2119</v>
      </c>
      <c r="Y1073" s="1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>
        <v>1</v>
      </c>
      <c r="AM1073" s="8">
        <v>1</v>
      </c>
      <c r="AN1073" s="8">
        <v>1</v>
      </c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1"/>
      <c r="BK1073">
        <v>2</v>
      </c>
      <c r="BL1073" s="58"/>
      <c r="BP1073" t="str">
        <f t="shared" si="40"/>
        <v>GhostFighting</v>
      </c>
      <c r="BR1073">
        <v>3</v>
      </c>
    </row>
    <row r="1074" spans="1:70" x14ac:dyDescent="0.25">
      <c r="A1074">
        <f t="shared" si="41"/>
        <v>1015</v>
      </c>
      <c r="B1074" t="s">
        <v>2346</v>
      </c>
      <c r="D1074" s="1" t="s">
        <v>18</v>
      </c>
      <c r="E1074" s="1" t="s">
        <v>16</v>
      </c>
      <c r="F1074" s="1" t="s">
        <v>50</v>
      </c>
      <c r="G1074" s="1" t="s">
        <v>50</v>
      </c>
      <c r="H1074" s="1"/>
      <c r="I1074" s="1" t="s">
        <v>50</v>
      </c>
      <c r="J1074" s="1" t="s">
        <v>50</v>
      </c>
      <c r="K1074" s="1" t="s">
        <v>50</v>
      </c>
      <c r="L1074" s="1"/>
      <c r="M1074" s="1" t="s">
        <v>50</v>
      </c>
      <c r="N1074" s="1" t="s">
        <v>50</v>
      </c>
      <c r="O1074" s="1" t="s">
        <v>50</v>
      </c>
      <c r="P1074" s="1" t="s">
        <v>2348</v>
      </c>
      <c r="Q1074" s="1" t="s">
        <v>104</v>
      </c>
      <c r="R1074" s="1" t="s">
        <v>104</v>
      </c>
      <c r="S1074" s="1" t="s">
        <v>104</v>
      </c>
      <c r="T1074" s="1" t="s">
        <v>104</v>
      </c>
      <c r="U1074" s="1" t="s">
        <v>104</v>
      </c>
      <c r="V1074" s="1" t="s">
        <v>104</v>
      </c>
      <c r="W1074" s="1" t="s">
        <v>104</v>
      </c>
      <c r="X1074" s="1" t="s">
        <v>2329</v>
      </c>
      <c r="Y1074" s="1"/>
      <c r="Z1074" s="8"/>
      <c r="AA1074" s="8"/>
      <c r="AB1074" s="8"/>
      <c r="AC1074" s="8"/>
      <c r="AD1074" s="8"/>
      <c r="AE1074" s="8">
        <v>1</v>
      </c>
      <c r="AF1074" s="8">
        <v>1</v>
      </c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>
        <v>1</v>
      </c>
      <c r="AY1074" s="8">
        <v>1</v>
      </c>
      <c r="AZ1074" s="8"/>
      <c r="BA1074" s="8"/>
      <c r="BB1074" s="1"/>
      <c r="BL1074" s="58"/>
      <c r="BP1074" t="str">
        <f t="shared" si="40"/>
        <v>FightingFlying</v>
      </c>
      <c r="BR1074">
        <v>1</v>
      </c>
    </row>
    <row r="1075" spans="1:70" x14ac:dyDescent="0.25">
      <c r="A1075">
        <f t="shared" si="41"/>
        <v>1016</v>
      </c>
      <c r="B1075" t="s">
        <v>2347</v>
      </c>
      <c r="D1075" s="1" t="s">
        <v>18</v>
      </c>
      <c r="E1075" s="1" t="s">
        <v>16</v>
      </c>
      <c r="F1075" s="1" t="s">
        <v>50</v>
      </c>
      <c r="G1075" s="1" t="s">
        <v>50</v>
      </c>
      <c r="H1075" s="1" t="s">
        <v>50</v>
      </c>
      <c r="I1075" s="1" t="s">
        <v>50</v>
      </c>
      <c r="J1075" s="1" t="s">
        <v>50</v>
      </c>
      <c r="K1075" s="1" t="s">
        <v>50</v>
      </c>
      <c r="L1075" s="1"/>
      <c r="M1075" s="1" t="s">
        <v>104</v>
      </c>
      <c r="N1075" s="1" t="s">
        <v>50</v>
      </c>
      <c r="O1075" s="1" t="s">
        <v>50</v>
      </c>
      <c r="P1075" s="1" t="s">
        <v>2348</v>
      </c>
      <c r="Q1075" s="1" t="s">
        <v>104</v>
      </c>
      <c r="R1075" s="1" t="s">
        <v>104</v>
      </c>
      <c r="S1075" s="1" t="s">
        <v>104</v>
      </c>
      <c r="T1075" s="1" t="s">
        <v>104</v>
      </c>
      <c r="U1075" s="1" t="s">
        <v>104</v>
      </c>
      <c r="V1075" s="1" t="s">
        <v>104</v>
      </c>
      <c r="W1075" s="1" t="s">
        <v>104</v>
      </c>
      <c r="X1075" s="1" t="s">
        <v>2329</v>
      </c>
      <c r="Y1075" s="1"/>
      <c r="Z1075" s="8"/>
      <c r="AA1075" s="8"/>
      <c r="AB1075" s="8"/>
      <c r="AC1075" s="8"/>
      <c r="AD1075" s="8"/>
      <c r="AE1075" s="8">
        <v>1</v>
      </c>
      <c r="AF1075" s="8">
        <v>1</v>
      </c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>
        <v>1</v>
      </c>
      <c r="AY1075" s="8">
        <v>1</v>
      </c>
      <c r="AZ1075" s="8"/>
      <c r="BA1075" s="8"/>
      <c r="BB1075" s="1"/>
      <c r="BL1075" s="58"/>
      <c r="BP1075" t="str">
        <f t="shared" si="40"/>
        <v>FightingFlying</v>
      </c>
      <c r="BR1075">
        <v>8</v>
      </c>
    </row>
    <row r="1076" spans="1:70" x14ac:dyDescent="0.25">
      <c r="A1076">
        <f t="shared" si="41"/>
        <v>1017</v>
      </c>
      <c r="B1076" t="s">
        <v>2349</v>
      </c>
      <c r="D1076" s="1" t="s">
        <v>0</v>
      </c>
      <c r="E1076" s="1" t="s">
        <v>14</v>
      </c>
      <c r="F1076" s="1" t="s">
        <v>50</v>
      </c>
      <c r="G1076" s="1" t="s">
        <v>50</v>
      </c>
      <c r="H1076" s="1" t="s">
        <v>50</v>
      </c>
      <c r="I1076" s="1" t="s">
        <v>50</v>
      </c>
      <c r="J1076" s="1" t="s">
        <v>50</v>
      </c>
      <c r="K1076" s="1" t="s">
        <v>50</v>
      </c>
      <c r="L1076" s="1"/>
      <c r="M1076" s="1" t="s">
        <v>50</v>
      </c>
      <c r="N1076" s="1" t="s">
        <v>50</v>
      </c>
      <c r="O1076" s="1" t="s">
        <v>50</v>
      </c>
      <c r="P1076" s="1" t="s">
        <v>2070</v>
      </c>
      <c r="Q1076" s="1" t="s">
        <v>104</v>
      </c>
      <c r="R1076" s="1" t="s">
        <v>104</v>
      </c>
      <c r="S1076" s="1" t="s">
        <v>104</v>
      </c>
      <c r="T1076" s="1" t="s">
        <v>104</v>
      </c>
      <c r="U1076" s="1" t="s">
        <v>104</v>
      </c>
      <c r="V1076" s="1" t="s">
        <v>104</v>
      </c>
      <c r="W1076" s="1" t="s">
        <v>104</v>
      </c>
      <c r="X1076" s="1" t="s">
        <v>2119</v>
      </c>
      <c r="Y1076" s="1"/>
      <c r="Z1076" s="8"/>
      <c r="AA1076" s="8"/>
      <c r="AB1076" s="8"/>
      <c r="AC1076" s="8">
        <v>1</v>
      </c>
      <c r="AD1076" s="8"/>
      <c r="AE1076" s="8"/>
      <c r="AF1076" s="8">
        <v>1</v>
      </c>
      <c r="AG1076" s="8">
        <v>1</v>
      </c>
      <c r="AH1076" s="8">
        <v>1</v>
      </c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>
        <v>1</v>
      </c>
      <c r="AT1076" s="8">
        <v>1</v>
      </c>
      <c r="AU1076" s="8"/>
      <c r="AV1076" s="8"/>
      <c r="AW1076" s="8"/>
      <c r="AX1076" s="8"/>
      <c r="AY1076" s="8"/>
      <c r="AZ1076" s="8"/>
      <c r="BA1076" s="8"/>
      <c r="BB1076" s="1"/>
      <c r="BK1076">
        <v>2</v>
      </c>
      <c r="BL1076" s="58"/>
      <c r="BP1076" t="str">
        <f t="shared" si="40"/>
        <v>DarkGhost</v>
      </c>
      <c r="BR1076">
        <v>5</v>
      </c>
    </row>
    <row r="1077" spans="1:70" x14ac:dyDescent="0.25">
      <c r="A1077">
        <f t="shared" si="41"/>
        <v>1018</v>
      </c>
      <c r="B1077" t="s">
        <v>2353</v>
      </c>
      <c r="D1077" s="1" t="s">
        <v>44</v>
      </c>
      <c r="E1077" s="1" t="s">
        <v>8</v>
      </c>
      <c r="F1077" s="1" t="s">
        <v>50</v>
      </c>
      <c r="G1077" s="1" t="s">
        <v>50</v>
      </c>
      <c r="H1077" s="1"/>
      <c r="I1077" s="1" t="s">
        <v>50</v>
      </c>
      <c r="J1077" s="1" t="s">
        <v>50</v>
      </c>
      <c r="K1077" s="1" t="s">
        <v>50</v>
      </c>
      <c r="L1077" s="1"/>
      <c r="M1077" s="1" t="s">
        <v>50</v>
      </c>
      <c r="N1077" s="1" t="s">
        <v>50</v>
      </c>
      <c r="O1077" s="1" t="s">
        <v>50</v>
      </c>
      <c r="P1077" s="1" t="s">
        <v>2070</v>
      </c>
      <c r="Q1077" s="1" t="s">
        <v>104</v>
      </c>
      <c r="R1077" s="1" t="s">
        <v>104</v>
      </c>
      <c r="S1077" s="1" t="s">
        <v>104</v>
      </c>
      <c r="T1077" s="1" t="s">
        <v>104</v>
      </c>
      <c r="U1077" s="1" t="s">
        <v>104</v>
      </c>
      <c r="V1077" s="1" t="s">
        <v>104</v>
      </c>
      <c r="W1077" s="1" t="s">
        <v>104</v>
      </c>
      <c r="X1077" s="1" t="s">
        <v>2144</v>
      </c>
      <c r="Y1077" s="1"/>
      <c r="Z1077" s="8"/>
      <c r="AA1077" s="8"/>
      <c r="AB1077" s="8"/>
      <c r="AC1077" s="8"/>
      <c r="AD1077" s="8"/>
      <c r="AE1077" s="8">
        <v>1</v>
      </c>
      <c r="AF1077" s="8">
        <v>1</v>
      </c>
      <c r="AG1077" s="8">
        <v>1</v>
      </c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1"/>
      <c r="BL1077" s="58"/>
      <c r="BP1077" t="str">
        <f t="shared" si="40"/>
        <v>LightGround</v>
      </c>
      <c r="BR1077">
        <v>8</v>
      </c>
    </row>
    <row r="1078" spans="1:70" x14ac:dyDescent="0.25">
      <c r="A1078">
        <f t="shared" si="41"/>
        <v>1019</v>
      </c>
      <c r="B1078" t="s">
        <v>2354</v>
      </c>
      <c r="D1078" s="1" t="s">
        <v>44</v>
      </c>
      <c r="E1078" s="1" t="s">
        <v>8</v>
      </c>
      <c r="F1078" s="1" t="s">
        <v>50</v>
      </c>
      <c r="G1078" s="1" t="s">
        <v>50</v>
      </c>
      <c r="H1078" s="1" t="s">
        <v>50</v>
      </c>
      <c r="I1078" s="1" t="s">
        <v>50</v>
      </c>
      <c r="J1078" s="1" t="s">
        <v>50</v>
      </c>
      <c r="K1078" s="1" t="s">
        <v>50</v>
      </c>
      <c r="L1078" s="1"/>
      <c r="M1078" s="1" t="s">
        <v>104</v>
      </c>
      <c r="N1078" s="1" t="s">
        <v>50</v>
      </c>
      <c r="O1078" s="1" t="s">
        <v>50</v>
      </c>
      <c r="P1078" s="1" t="s">
        <v>2070</v>
      </c>
      <c r="Q1078" s="1" t="s">
        <v>104</v>
      </c>
      <c r="R1078" s="1" t="s">
        <v>104</v>
      </c>
      <c r="S1078" s="1" t="s">
        <v>104</v>
      </c>
      <c r="T1078" s="1" t="s">
        <v>104</v>
      </c>
      <c r="U1078" s="1" t="s">
        <v>104</v>
      </c>
      <c r="V1078" s="1" t="s">
        <v>104</v>
      </c>
      <c r="W1078" s="1" t="s">
        <v>104</v>
      </c>
      <c r="X1078" s="1" t="s">
        <v>2144</v>
      </c>
      <c r="Y1078" s="1"/>
      <c r="Z1078" s="8"/>
      <c r="AA1078" s="8"/>
      <c r="AB1078" s="8"/>
      <c r="AC1078" s="8"/>
      <c r="AD1078" s="8"/>
      <c r="AE1078" s="8">
        <v>1</v>
      </c>
      <c r="AF1078" s="8">
        <v>1</v>
      </c>
      <c r="AG1078" s="8">
        <v>1</v>
      </c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1"/>
      <c r="BK1078">
        <v>5</v>
      </c>
      <c r="BL1078" s="58"/>
      <c r="BP1078" t="str">
        <f t="shared" si="40"/>
        <v>LightGround</v>
      </c>
      <c r="BR1078">
        <v>9</v>
      </c>
    </row>
    <row r="1079" spans="1:70" x14ac:dyDescent="0.25">
      <c r="A1079">
        <f t="shared" si="41"/>
        <v>1020</v>
      </c>
      <c r="B1079" t="s">
        <v>2351</v>
      </c>
      <c r="D1079" s="1" t="s">
        <v>18</v>
      </c>
      <c r="E1079" s="1">
        <v>0</v>
      </c>
      <c r="F1079" s="1" t="s">
        <v>50</v>
      </c>
      <c r="G1079" s="1" t="s">
        <v>50</v>
      </c>
      <c r="H1079" s="1"/>
      <c r="I1079" s="1" t="s">
        <v>50</v>
      </c>
      <c r="J1079" s="1" t="s">
        <v>50</v>
      </c>
      <c r="K1079" s="1" t="s">
        <v>50</v>
      </c>
      <c r="L1079" s="1"/>
      <c r="M1079" s="1" t="s">
        <v>50</v>
      </c>
      <c r="N1079" s="1" t="s">
        <v>50</v>
      </c>
      <c r="O1079" s="1" t="s">
        <v>50</v>
      </c>
      <c r="P1079" s="1" t="s">
        <v>832</v>
      </c>
      <c r="Q1079" s="1" t="s">
        <v>104</v>
      </c>
      <c r="R1079" s="1" t="s">
        <v>104</v>
      </c>
      <c r="S1079" s="1" t="s">
        <v>104</v>
      </c>
      <c r="T1079" s="1" t="s">
        <v>104</v>
      </c>
      <c r="U1079" s="1" t="s">
        <v>104</v>
      </c>
      <c r="V1079" s="1" t="s">
        <v>104</v>
      </c>
      <c r="W1079" s="1" t="s">
        <v>104</v>
      </c>
      <c r="X1079" s="1" t="s">
        <v>2329</v>
      </c>
      <c r="Y1079" s="1"/>
      <c r="Z1079" s="8"/>
      <c r="AA1079" s="8"/>
      <c r="AB1079" s="8"/>
      <c r="AC1079" s="8"/>
      <c r="AD1079" s="8"/>
      <c r="AE1079" s="8"/>
      <c r="AF1079" s="8"/>
      <c r="AG1079" s="8">
        <v>1</v>
      </c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>
        <v>1</v>
      </c>
      <c r="AT1079" s="8"/>
      <c r="AU1079" s="8"/>
      <c r="AV1079" s="8"/>
      <c r="AW1079" s="8"/>
      <c r="AX1079" s="8"/>
      <c r="AY1079" s="8"/>
      <c r="AZ1079" s="8"/>
      <c r="BA1079" s="8"/>
      <c r="BB1079" s="1"/>
      <c r="BL1079" s="58"/>
      <c r="BP1079" t="str">
        <f t="shared" si="40"/>
        <v>Fighting0</v>
      </c>
      <c r="BQ1079" t="s">
        <v>2</v>
      </c>
      <c r="BR1079">
        <v>2</v>
      </c>
    </row>
    <row r="1080" spans="1:70" x14ac:dyDescent="0.25">
      <c r="A1080">
        <f t="shared" si="41"/>
        <v>1021</v>
      </c>
      <c r="B1080" t="s">
        <v>2350</v>
      </c>
      <c r="D1080" s="1" t="s">
        <v>18</v>
      </c>
      <c r="E1080" s="1">
        <v>0</v>
      </c>
      <c r="F1080" s="1" t="s">
        <v>50</v>
      </c>
      <c r="G1080" s="1" t="s">
        <v>50</v>
      </c>
      <c r="H1080" s="1"/>
      <c r="I1080" s="1" t="s">
        <v>50</v>
      </c>
      <c r="J1080" s="1" t="s">
        <v>50</v>
      </c>
      <c r="K1080" s="1" t="s">
        <v>50</v>
      </c>
      <c r="L1080" s="1"/>
      <c r="M1080" s="1" t="s">
        <v>104</v>
      </c>
      <c r="N1080" s="1" t="s">
        <v>50</v>
      </c>
      <c r="O1080" s="1" t="s">
        <v>50</v>
      </c>
      <c r="P1080" s="1" t="s">
        <v>832</v>
      </c>
      <c r="Q1080" s="1" t="s">
        <v>104</v>
      </c>
      <c r="R1080" s="1" t="s">
        <v>104</v>
      </c>
      <c r="S1080" s="1" t="s">
        <v>104</v>
      </c>
      <c r="T1080" s="1" t="s">
        <v>104</v>
      </c>
      <c r="U1080" s="1" t="s">
        <v>104</v>
      </c>
      <c r="V1080" s="1" t="s">
        <v>104</v>
      </c>
      <c r="W1080" s="1" t="s">
        <v>104</v>
      </c>
      <c r="X1080" s="1" t="s">
        <v>2329</v>
      </c>
      <c r="Y1080" s="1"/>
      <c r="Z1080" s="8"/>
      <c r="AA1080" s="8"/>
      <c r="AB1080" s="8"/>
      <c r="AC1080" s="8"/>
      <c r="AD1080" s="8"/>
      <c r="AE1080" s="8"/>
      <c r="AF1080" s="8"/>
      <c r="AG1080" s="8">
        <v>1</v>
      </c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>
        <v>1</v>
      </c>
      <c r="AT1080" s="8"/>
      <c r="AU1080" s="8"/>
      <c r="AV1080" s="8"/>
      <c r="AW1080" s="8"/>
      <c r="AX1080" s="8"/>
      <c r="AY1080" s="8"/>
      <c r="AZ1080" s="8"/>
      <c r="BA1080" s="8"/>
      <c r="BB1080" s="1"/>
      <c r="BL1080" s="58"/>
      <c r="BP1080" t="str">
        <f t="shared" si="40"/>
        <v>Fighting0</v>
      </c>
      <c r="BQ1080" t="s">
        <v>2</v>
      </c>
      <c r="BR1080">
        <v>1</v>
      </c>
    </row>
    <row r="1081" spans="1:70" x14ac:dyDescent="0.25">
      <c r="A1081">
        <f t="shared" si="41"/>
        <v>1022</v>
      </c>
      <c r="B1081" t="s">
        <v>2352</v>
      </c>
      <c r="D1081" s="1" t="s">
        <v>18</v>
      </c>
      <c r="E1081" s="1">
        <v>0</v>
      </c>
      <c r="F1081" s="1" t="s">
        <v>50</v>
      </c>
      <c r="G1081" s="1" t="s">
        <v>50</v>
      </c>
      <c r="H1081" s="1" t="s">
        <v>50</v>
      </c>
      <c r="I1081" s="1" t="s">
        <v>50</v>
      </c>
      <c r="J1081" s="1" t="s">
        <v>50</v>
      </c>
      <c r="K1081" s="1" t="s">
        <v>50</v>
      </c>
      <c r="L1081" s="1"/>
      <c r="M1081" s="1" t="s">
        <v>104</v>
      </c>
      <c r="N1081" s="1" t="s">
        <v>50</v>
      </c>
      <c r="O1081" s="1" t="s">
        <v>50</v>
      </c>
      <c r="P1081" s="1" t="s">
        <v>832</v>
      </c>
      <c r="Q1081" s="1" t="s">
        <v>104</v>
      </c>
      <c r="R1081" s="1" t="s">
        <v>104</v>
      </c>
      <c r="S1081" s="1" t="s">
        <v>104</v>
      </c>
      <c r="T1081" s="1" t="s">
        <v>104</v>
      </c>
      <c r="U1081" s="1" t="s">
        <v>104</v>
      </c>
      <c r="V1081" s="1" t="s">
        <v>104</v>
      </c>
      <c r="W1081" s="1" t="s">
        <v>104</v>
      </c>
      <c r="X1081" s="1" t="s">
        <v>2329</v>
      </c>
      <c r="Y1081" s="1"/>
      <c r="Z1081" s="8"/>
      <c r="AA1081" s="8"/>
      <c r="AB1081" s="8"/>
      <c r="AC1081" s="8"/>
      <c r="AD1081" s="8"/>
      <c r="AE1081" s="8"/>
      <c r="AF1081" s="8"/>
      <c r="AG1081" s="8">
        <v>1</v>
      </c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>
        <v>1</v>
      </c>
      <c r="AT1081" s="8"/>
      <c r="AU1081" s="8"/>
      <c r="AV1081" s="8"/>
      <c r="AW1081" s="8"/>
      <c r="AX1081" s="8"/>
      <c r="AY1081" s="8"/>
      <c r="AZ1081" s="8"/>
      <c r="BA1081" s="8"/>
      <c r="BB1081" s="1"/>
      <c r="BL1081" s="58">
        <v>1</v>
      </c>
      <c r="BP1081" t="str">
        <f t="shared" si="40"/>
        <v>Fighting0</v>
      </c>
      <c r="BR1081">
        <v>1</v>
      </c>
    </row>
    <row r="1082" spans="1:70" x14ac:dyDescent="0.25">
      <c r="A1082">
        <f t="shared" si="41"/>
        <v>1023</v>
      </c>
      <c r="B1082" t="s">
        <v>2358</v>
      </c>
      <c r="D1082" s="1" t="s">
        <v>0</v>
      </c>
      <c r="E1082" s="1" t="s">
        <v>1</v>
      </c>
      <c r="F1082" s="1" t="s">
        <v>50</v>
      </c>
      <c r="G1082" s="1" t="s">
        <v>50</v>
      </c>
      <c r="H1082" s="1" t="s">
        <v>50</v>
      </c>
      <c r="I1082" s="1" t="s">
        <v>50</v>
      </c>
      <c r="J1082" s="1" t="s">
        <v>50</v>
      </c>
      <c r="K1082" s="1" t="s">
        <v>50</v>
      </c>
      <c r="L1082" s="1"/>
      <c r="M1082" s="1" t="s">
        <v>50</v>
      </c>
      <c r="N1082" s="1" t="s">
        <v>50</v>
      </c>
      <c r="O1082" s="1" t="s">
        <v>50</v>
      </c>
      <c r="P1082" s="1" t="s">
        <v>2070</v>
      </c>
      <c r="Q1082" s="1" t="s">
        <v>104</v>
      </c>
      <c r="R1082" s="1" t="s">
        <v>104</v>
      </c>
      <c r="S1082" s="1" t="s">
        <v>104</v>
      </c>
      <c r="T1082" s="1" t="s">
        <v>104</v>
      </c>
      <c r="U1082" s="1" t="s">
        <v>104</v>
      </c>
      <c r="V1082" s="1" t="s">
        <v>104</v>
      </c>
      <c r="W1082" s="1" t="s">
        <v>104</v>
      </c>
      <c r="X1082" s="1" t="s">
        <v>2562</v>
      </c>
      <c r="Y1082" s="1"/>
      <c r="Z1082" s="8"/>
      <c r="AA1082" s="8"/>
      <c r="AB1082" s="8"/>
      <c r="AC1082" s="8"/>
      <c r="AD1082" s="8">
        <v>1</v>
      </c>
      <c r="AE1082" s="8"/>
      <c r="AF1082" s="8"/>
      <c r="AG1082" s="8"/>
      <c r="AH1082" s="8">
        <v>1</v>
      </c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>
        <v>1</v>
      </c>
      <c r="AU1082" s="8">
        <v>1</v>
      </c>
      <c r="AV1082" s="8"/>
      <c r="AW1082" s="8"/>
      <c r="AX1082" s="8"/>
      <c r="AY1082" s="8"/>
      <c r="AZ1082" s="8"/>
      <c r="BA1082" s="8"/>
      <c r="BB1082" s="1"/>
      <c r="BL1082" s="58"/>
      <c r="BP1082" t="str">
        <f t="shared" si="40"/>
        <v>DarkNormal</v>
      </c>
      <c r="BR1082">
        <v>5</v>
      </c>
    </row>
    <row r="1083" spans="1:70" x14ac:dyDescent="0.25">
      <c r="A1083">
        <f t="shared" si="41"/>
        <v>1024</v>
      </c>
      <c r="B1083" t="s">
        <v>2359</v>
      </c>
      <c r="D1083" s="1" t="s">
        <v>41</v>
      </c>
      <c r="E1083" s="1" t="s">
        <v>4</v>
      </c>
      <c r="F1083" s="1" t="s">
        <v>50</v>
      </c>
      <c r="G1083" s="1" t="s">
        <v>50</v>
      </c>
      <c r="H1083" s="1"/>
      <c r="I1083" s="1" t="s">
        <v>50</v>
      </c>
      <c r="J1083" s="1" t="s">
        <v>50</v>
      </c>
      <c r="K1083" s="1" t="s">
        <v>50</v>
      </c>
      <c r="L1083" s="1"/>
      <c r="M1083" s="1" t="s">
        <v>50</v>
      </c>
      <c r="N1083" s="1" t="s">
        <v>50</v>
      </c>
      <c r="O1083" s="1" t="s">
        <v>50</v>
      </c>
      <c r="P1083" s="1" t="s">
        <v>2070</v>
      </c>
      <c r="Q1083" s="1" t="s">
        <v>104</v>
      </c>
      <c r="R1083" s="1" t="s">
        <v>104</v>
      </c>
      <c r="S1083" s="1" t="s">
        <v>104</v>
      </c>
      <c r="T1083" s="1" t="s">
        <v>104</v>
      </c>
      <c r="U1083" s="1" t="s">
        <v>104</v>
      </c>
      <c r="V1083" s="1" t="s">
        <v>104</v>
      </c>
      <c r="W1083" s="1" t="s">
        <v>104</v>
      </c>
      <c r="X1083" s="1" t="s">
        <v>2329</v>
      </c>
      <c r="Y1083" s="1"/>
      <c r="Z1083" s="8"/>
      <c r="AA1083" s="8"/>
      <c r="AB1083" s="8">
        <v>1</v>
      </c>
      <c r="AC1083" s="8">
        <v>1</v>
      </c>
      <c r="AD1083" s="8">
        <v>1</v>
      </c>
      <c r="AE1083" s="8"/>
      <c r="AF1083" s="8">
        <v>1</v>
      </c>
      <c r="AG1083" s="8">
        <v>1</v>
      </c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>
        <v>1</v>
      </c>
      <c r="AU1083" s="8"/>
      <c r="AV1083" s="8"/>
      <c r="AW1083" s="8"/>
      <c r="AX1083" s="8"/>
      <c r="AY1083" s="8"/>
      <c r="AZ1083" s="8">
        <v>1</v>
      </c>
      <c r="BA1083" s="8"/>
      <c r="BB1083" s="1"/>
      <c r="BL1083" s="58"/>
      <c r="BP1083" t="str">
        <f t="shared" si="40"/>
        <v>SoundPsychic</v>
      </c>
      <c r="BR1083">
        <v>3</v>
      </c>
    </row>
    <row r="1084" spans="1:70" x14ac:dyDescent="0.25">
      <c r="A1084">
        <f t="shared" si="41"/>
        <v>1025</v>
      </c>
      <c r="B1084" t="s">
        <v>2360</v>
      </c>
      <c r="D1084" s="1" t="s">
        <v>41</v>
      </c>
      <c r="E1084" s="1" t="s">
        <v>4</v>
      </c>
      <c r="F1084" s="1" t="s">
        <v>50</v>
      </c>
      <c r="G1084" s="1" t="s">
        <v>50</v>
      </c>
      <c r="H1084" s="1"/>
      <c r="I1084" s="1" t="s">
        <v>50</v>
      </c>
      <c r="J1084" s="1" t="s">
        <v>50</v>
      </c>
      <c r="K1084" s="1" t="s">
        <v>50</v>
      </c>
      <c r="L1084" s="1"/>
      <c r="M1084" s="1" t="s">
        <v>104</v>
      </c>
      <c r="N1084" s="1" t="s">
        <v>50</v>
      </c>
      <c r="O1084" s="1" t="s">
        <v>50</v>
      </c>
      <c r="P1084" s="1" t="s">
        <v>2070</v>
      </c>
      <c r="Q1084" s="1" t="s">
        <v>104</v>
      </c>
      <c r="R1084" s="1" t="s">
        <v>104</v>
      </c>
      <c r="S1084" s="1" t="s">
        <v>104</v>
      </c>
      <c r="T1084" s="1" t="s">
        <v>104</v>
      </c>
      <c r="U1084" s="1" t="s">
        <v>104</v>
      </c>
      <c r="V1084" s="1" t="s">
        <v>104</v>
      </c>
      <c r="W1084" s="1" t="s">
        <v>104</v>
      </c>
      <c r="X1084" s="1" t="s">
        <v>2329</v>
      </c>
      <c r="Y1084" s="1"/>
      <c r="Z1084" s="8"/>
      <c r="AA1084" s="8"/>
      <c r="AB1084" s="8">
        <v>1</v>
      </c>
      <c r="AC1084" s="8">
        <v>1</v>
      </c>
      <c r="AD1084" s="8">
        <v>1</v>
      </c>
      <c r="AE1084" s="8"/>
      <c r="AF1084" s="8">
        <v>1</v>
      </c>
      <c r="AG1084" s="8">
        <v>1</v>
      </c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>
        <v>1</v>
      </c>
      <c r="AU1084" s="8"/>
      <c r="AV1084" s="8"/>
      <c r="AW1084" s="8"/>
      <c r="AX1084" s="8"/>
      <c r="AY1084" s="8"/>
      <c r="AZ1084" s="8">
        <v>1</v>
      </c>
      <c r="BA1084" s="8"/>
      <c r="BB1084" s="1"/>
      <c r="BL1084" s="58"/>
      <c r="BP1084" t="str">
        <f t="shared" si="40"/>
        <v>SoundPsychic</v>
      </c>
      <c r="BR1084">
        <v>3</v>
      </c>
    </row>
    <row r="1085" spans="1:70" x14ac:dyDescent="0.25">
      <c r="A1085">
        <f t="shared" si="41"/>
        <v>1026</v>
      </c>
      <c r="B1085" t="s">
        <v>2361</v>
      </c>
      <c r="D1085" s="1" t="s">
        <v>41</v>
      </c>
      <c r="E1085" s="1" t="s">
        <v>4</v>
      </c>
      <c r="F1085" s="1" t="s">
        <v>50</v>
      </c>
      <c r="G1085" s="1" t="s">
        <v>50</v>
      </c>
      <c r="H1085" s="1" t="s">
        <v>50</v>
      </c>
      <c r="I1085" s="1" t="s">
        <v>50</v>
      </c>
      <c r="J1085" s="1" t="s">
        <v>50</v>
      </c>
      <c r="K1085" s="1" t="s">
        <v>50</v>
      </c>
      <c r="L1085" s="1"/>
      <c r="M1085" s="1" t="s">
        <v>104</v>
      </c>
      <c r="N1085" s="1" t="s">
        <v>50</v>
      </c>
      <c r="O1085" s="1" t="s">
        <v>50</v>
      </c>
      <c r="P1085" s="1" t="s">
        <v>2070</v>
      </c>
      <c r="Q1085" s="1" t="s">
        <v>104</v>
      </c>
      <c r="R1085" s="1" t="s">
        <v>104</v>
      </c>
      <c r="S1085" s="1" t="s">
        <v>104</v>
      </c>
      <c r="T1085" s="1" t="s">
        <v>104</v>
      </c>
      <c r="U1085" s="1" t="s">
        <v>104</v>
      </c>
      <c r="V1085" s="1" t="s">
        <v>104</v>
      </c>
      <c r="W1085" s="1" t="s">
        <v>104</v>
      </c>
      <c r="X1085" s="1" t="s">
        <v>2329</v>
      </c>
      <c r="Y1085" s="1"/>
      <c r="Z1085" s="8"/>
      <c r="AA1085" s="8"/>
      <c r="AB1085" s="8">
        <v>1</v>
      </c>
      <c r="AC1085" s="8">
        <v>1</v>
      </c>
      <c r="AD1085" s="8">
        <v>1</v>
      </c>
      <c r="AE1085" s="8"/>
      <c r="AF1085" s="8">
        <v>1</v>
      </c>
      <c r="AG1085" s="8">
        <v>1</v>
      </c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>
        <v>1</v>
      </c>
      <c r="AU1085" s="8"/>
      <c r="AV1085" s="8"/>
      <c r="AW1085" s="8"/>
      <c r="AX1085" s="8"/>
      <c r="AY1085" s="8"/>
      <c r="AZ1085" s="8">
        <v>1</v>
      </c>
      <c r="BA1085" s="8"/>
      <c r="BB1085" s="1"/>
      <c r="BK1085">
        <v>3</v>
      </c>
      <c r="BL1085" s="58">
        <v>1</v>
      </c>
      <c r="BP1085" t="str">
        <f t="shared" si="40"/>
        <v>SoundPsychic</v>
      </c>
      <c r="BR1085">
        <v>3</v>
      </c>
    </row>
    <row r="1086" spans="1:70" x14ac:dyDescent="0.25">
      <c r="A1086">
        <f t="shared" si="41"/>
        <v>1027</v>
      </c>
      <c r="B1086" t="s">
        <v>2362</v>
      </c>
      <c r="D1086" s="1" t="s">
        <v>10</v>
      </c>
      <c r="E1086" s="1" t="s">
        <v>18</v>
      </c>
      <c r="F1086" s="1" t="s">
        <v>50</v>
      </c>
      <c r="G1086" s="1" t="s">
        <v>50</v>
      </c>
      <c r="H1086" s="1" t="s">
        <v>50</v>
      </c>
      <c r="I1086" s="1" t="s">
        <v>50</v>
      </c>
      <c r="J1086" s="1" t="s">
        <v>50</v>
      </c>
      <c r="K1086" s="1" t="s">
        <v>50</v>
      </c>
      <c r="L1086" s="1"/>
      <c r="M1086" s="1" t="s">
        <v>104</v>
      </c>
      <c r="N1086" s="1" t="s">
        <v>50</v>
      </c>
      <c r="O1086" s="1" t="s">
        <v>50</v>
      </c>
      <c r="P1086" s="1" t="s">
        <v>2070</v>
      </c>
      <c r="Q1086" s="1" t="s">
        <v>104</v>
      </c>
      <c r="R1086" s="1" t="s">
        <v>104</v>
      </c>
      <c r="S1086" s="1" t="s">
        <v>104</v>
      </c>
      <c r="T1086" s="1" t="s">
        <v>104</v>
      </c>
      <c r="U1086" s="1" t="s">
        <v>104</v>
      </c>
      <c r="V1086" s="1" t="s">
        <v>104</v>
      </c>
      <c r="W1086" s="1" t="s">
        <v>104</v>
      </c>
      <c r="X1086" s="1" t="s">
        <v>2329</v>
      </c>
      <c r="Y1086" s="1"/>
      <c r="Z1086" s="8"/>
      <c r="AA1086" s="8"/>
      <c r="AB1086" s="8">
        <v>1</v>
      </c>
      <c r="AC1086" s="8">
        <v>1</v>
      </c>
      <c r="AD1086" s="8">
        <v>1</v>
      </c>
      <c r="AE1086" s="8"/>
      <c r="AF1086" s="8">
        <v>1</v>
      </c>
      <c r="AG1086" s="8">
        <v>1</v>
      </c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>
        <v>1</v>
      </c>
      <c r="AU1086" s="8"/>
      <c r="AV1086" s="8"/>
      <c r="AW1086" s="8"/>
      <c r="AX1086" s="8"/>
      <c r="AY1086" s="8"/>
      <c r="AZ1086" s="8">
        <v>1</v>
      </c>
      <c r="BA1086" s="8"/>
      <c r="BB1086" s="1"/>
      <c r="BL1086" s="58"/>
      <c r="BP1086" t="str">
        <f t="shared" si="40"/>
        <v>PoisonFighting</v>
      </c>
      <c r="BR1086">
        <v>4</v>
      </c>
    </row>
    <row r="1087" spans="1:70" x14ac:dyDescent="0.25">
      <c r="A1087">
        <f t="shared" si="41"/>
        <v>1028</v>
      </c>
      <c r="B1087" t="s">
        <v>2363</v>
      </c>
      <c r="D1087" s="1" t="s">
        <v>7</v>
      </c>
      <c r="E1087" s="1" t="s">
        <v>12</v>
      </c>
      <c r="F1087" s="1" t="s">
        <v>50</v>
      </c>
      <c r="G1087" s="1" t="s">
        <v>50</v>
      </c>
      <c r="H1087" s="1" t="s">
        <v>50</v>
      </c>
      <c r="I1087" s="1" t="s">
        <v>50</v>
      </c>
      <c r="J1087" s="1" t="s">
        <v>50</v>
      </c>
      <c r="K1087" s="1" t="s">
        <v>50</v>
      </c>
      <c r="L1087" s="1"/>
      <c r="M1087" s="1" t="s">
        <v>50</v>
      </c>
      <c r="N1087" s="1" t="s">
        <v>50</v>
      </c>
      <c r="O1087" s="1" t="s">
        <v>50</v>
      </c>
      <c r="P1087" s="1" t="s">
        <v>2070</v>
      </c>
      <c r="Q1087" s="1" t="s">
        <v>104</v>
      </c>
      <c r="R1087" s="1" t="s">
        <v>104</v>
      </c>
      <c r="S1087" s="1" t="s">
        <v>104</v>
      </c>
      <c r="T1087" s="1" t="s">
        <v>104</v>
      </c>
      <c r="U1087" s="1" t="s">
        <v>104</v>
      </c>
      <c r="V1087" s="1" t="s">
        <v>104</v>
      </c>
      <c r="W1087" s="1" t="s">
        <v>104</v>
      </c>
      <c r="X1087" s="1" t="s">
        <v>2119</v>
      </c>
      <c r="Y1087" s="1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>
        <v>1</v>
      </c>
      <c r="AV1087" s="8"/>
      <c r="AW1087" s="8"/>
      <c r="AX1087" s="8"/>
      <c r="AY1087" s="8"/>
      <c r="AZ1087" s="8"/>
      <c r="BA1087" s="8"/>
      <c r="BB1087" s="1"/>
      <c r="BK1087">
        <v>1</v>
      </c>
      <c r="BL1087" s="58"/>
      <c r="BP1087" t="str">
        <f t="shared" si="40"/>
        <v>FairyDragon</v>
      </c>
      <c r="BR1087">
        <v>7</v>
      </c>
    </row>
    <row r="1088" spans="1:70" x14ac:dyDescent="0.25">
      <c r="A1088">
        <f t="shared" ref="A1088:A1122" si="42">A1087+1</f>
        <v>1029</v>
      </c>
      <c r="B1088" t="s">
        <v>2364</v>
      </c>
      <c r="D1088" s="1" t="s">
        <v>16</v>
      </c>
      <c r="E1088" s="1" t="s">
        <v>11</v>
      </c>
      <c r="F1088" s="1" t="s">
        <v>50</v>
      </c>
      <c r="G1088" s="1" t="s">
        <v>50</v>
      </c>
      <c r="H1088" s="1" t="s">
        <v>50</v>
      </c>
      <c r="I1088" s="1" t="s">
        <v>50</v>
      </c>
      <c r="J1088" s="1" t="s">
        <v>50</v>
      </c>
      <c r="K1088" s="1" t="s">
        <v>50</v>
      </c>
      <c r="L1088" s="1"/>
      <c r="M1088" s="1" t="s">
        <v>50</v>
      </c>
      <c r="N1088" s="1" t="s">
        <v>50</v>
      </c>
      <c r="O1088" s="1" t="s">
        <v>50</v>
      </c>
      <c r="P1088" s="1" t="s">
        <v>2070</v>
      </c>
      <c r="Q1088" s="1" t="s">
        <v>104</v>
      </c>
      <c r="R1088" s="1" t="s">
        <v>104</v>
      </c>
      <c r="S1088" s="1" t="s">
        <v>104</v>
      </c>
      <c r="T1088" s="1" t="s">
        <v>104</v>
      </c>
      <c r="U1088" s="1" t="s">
        <v>104</v>
      </c>
      <c r="V1088" s="1" t="s">
        <v>104</v>
      </c>
      <c r="W1088" s="1" t="s">
        <v>104</v>
      </c>
      <c r="X1088" s="1" t="s">
        <v>2119</v>
      </c>
      <c r="Y1088" s="1"/>
      <c r="Z1088" s="8"/>
      <c r="AA1088" s="8">
        <v>1</v>
      </c>
      <c r="AB1088" s="8">
        <v>1</v>
      </c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1"/>
      <c r="BL1088" s="58"/>
      <c r="BP1088" t="str">
        <f t="shared" si="40"/>
        <v>FlyingGrass</v>
      </c>
      <c r="BR1088">
        <v>9</v>
      </c>
    </row>
    <row r="1089" spans="1:70" x14ac:dyDescent="0.25">
      <c r="A1089">
        <f t="shared" si="42"/>
        <v>1030</v>
      </c>
      <c r="B1089" t="s">
        <v>2365</v>
      </c>
      <c r="D1089" s="1" t="s">
        <v>0</v>
      </c>
      <c r="E1089" s="1" t="s">
        <v>13</v>
      </c>
      <c r="F1089" s="1" t="s">
        <v>50</v>
      </c>
      <c r="G1089" s="1" t="s">
        <v>50</v>
      </c>
      <c r="H1089" s="1"/>
      <c r="I1089" s="1" t="s">
        <v>50</v>
      </c>
      <c r="J1089" s="1" t="s">
        <v>50</v>
      </c>
      <c r="K1089" s="1" t="s">
        <v>50</v>
      </c>
      <c r="L1089" s="1"/>
      <c r="M1089" s="1" t="s">
        <v>50</v>
      </c>
      <c r="N1089" s="1" t="s">
        <v>50</v>
      </c>
      <c r="O1089" s="1" t="s">
        <v>50</v>
      </c>
      <c r="P1089" s="13" t="s">
        <v>2399</v>
      </c>
      <c r="Q1089" s="1" t="s">
        <v>104</v>
      </c>
      <c r="R1089" s="1" t="s">
        <v>104</v>
      </c>
      <c r="S1089" s="1" t="s">
        <v>104</v>
      </c>
      <c r="T1089" s="1" t="s">
        <v>104</v>
      </c>
      <c r="U1089" s="1" t="s">
        <v>104</v>
      </c>
      <c r="V1089" s="1" t="s">
        <v>104</v>
      </c>
      <c r="W1089" s="1" t="s">
        <v>104</v>
      </c>
      <c r="X1089" s="1" t="s">
        <v>2119</v>
      </c>
      <c r="Y1089" s="1"/>
      <c r="Z1089" s="8">
        <v>1</v>
      </c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>
        <v>1</v>
      </c>
      <c r="AV1089" s="8">
        <v>1</v>
      </c>
      <c r="AW1089" s="8">
        <v>1</v>
      </c>
      <c r="AX1089" s="8">
        <v>1</v>
      </c>
      <c r="AY1089" s="8">
        <v>1</v>
      </c>
      <c r="AZ1089" s="8"/>
      <c r="BA1089" s="8"/>
      <c r="BB1089" s="1"/>
      <c r="BL1089" s="58"/>
      <c r="BP1089" t="str">
        <f t="shared" si="40"/>
        <v>DarkFire</v>
      </c>
      <c r="BR1089">
        <v>9</v>
      </c>
    </row>
    <row r="1090" spans="1:70" x14ac:dyDescent="0.25">
      <c r="A1090">
        <f t="shared" si="42"/>
        <v>1031</v>
      </c>
      <c r="B1090" t="s">
        <v>2366</v>
      </c>
      <c r="D1090" s="1" t="s">
        <v>0</v>
      </c>
      <c r="E1090" s="1" t="s">
        <v>13</v>
      </c>
      <c r="F1090" s="1" t="s">
        <v>50</v>
      </c>
      <c r="G1090" s="1" t="s">
        <v>50</v>
      </c>
      <c r="H1090" s="1" t="s">
        <v>50</v>
      </c>
      <c r="I1090" s="1" t="s">
        <v>50</v>
      </c>
      <c r="J1090" s="1" t="s">
        <v>50</v>
      </c>
      <c r="K1090" s="1" t="s">
        <v>50</v>
      </c>
      <c r="L1090" s="1"/>
      <c r="M1090" s="1" t="s">
        <v>104</v>
      </c>
      <c r="N1090" s="1" t="s">
        <v>50</v>
      </c>
      <c r="O1090" s="1" t="s">
        <v>50</v>
      </c>
      <c r="P1090" s="13" t="s">
        <v>2399</v>
      </c>
      <c r="Q1090" s="1" t="s">
        <v>104</v>
      </c>
      <c r="R1090" s="1" t="s">
        <v>104</v>
      </c>
      <c r="S1090" s="1" t="s">
        <v>104</v>
      </c>
      <c r="T1090" s="1" t="s">
        <v>104</v>
      </c>
      <c r="U1090" s="1" t="s">
        <v>104</v>
      </c>
      <c r="V1090" s="1" t="s">
        <v>104</v>
      </c>
      <c r="W1090" s="1" t="s">
        <v>104</v>
      </c>
      <c r="X1090" s="1" t="s">
        <v>2119</v>
      </c>
      <c r="Y1090" s="1"/>
      <c r="Z1090" s="8">
        <v>1</v>
      </c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>
        <v>1</v>
      </c>
      <c r="AV1090" s="8">
        <v>1</v>
      </c>
      <c r="AW1090" s="8">
        <v>1</v>
      </c>
      <c r="AX1090" s="8">
        <v>1</v>
      </c>
      <c r="AY1090" s="8">
        <v>1</v>
      </c>
      <c r="AZ1090" s="8"/>
      <c r="BA1090" s="8"/>
      <c r="BB1090" s="1"/>
      <c r="BK1090">
        <v>2</v>
      </c>
      <c r="BL1090" s="58">
        <v>2</v>
      </c>
      <c r="BP1090" t="str">
        <f t="shared" ref="BP1090:BP1134" si="43">D1090&amp;E1090</f>
        <v>DarkFire</v>
      </c>
      <c r="BR1090">
        <v>9</v>
      </c>
    </row>
    <row r="1091" spans="1:70" x14ac:dyDescent="0.25">
      <c r="A1091">
        <f t="shared" si="42"/>
        <v>1032</v>
      </c>
      <c r="B1091" t="s">
        <v>2372</v>
      </c>
      <c r="D1091" s="1" t="s">
        <v>17</v>
      </c>
      <c r="E1091" s="1" t="s">
        <v>13</v>
      </c>
      <c r="F1091" s="1" t="s">
        <v>50</v>
      </c>
      <c r="G1091" s="1" t="s">
        <v>50</v>
      </c>
      <c r="H1091" s="1"/>
      <c r="I1091" s="1" t="s">
        <v>50</v>
      </c>
      <c r="J1091" s="1" t="s">
        <v>50</v>
      </c>
      <c r="K1091" s="1" t="s">
        <v>50</v>
      </c>
      <c r="L1091" s="1"/>
      <c r="M1091" s="1" t="s">
        <v>50</v>
      </c>
      <c r="N1091" s="1" t="s">
        <v>50</v>
      </c>
      <c r="O1091" s="1" t="s">
        <v>50</v>
      </c>
      <c r="P1091" s="1" t="s">
        <v>2070</v>
      </c>
      <c r="Q1091" s="1" t="s">
        <v>104</v>
      </c>
      <c r="R1091" s="1" t="s">
        <v>104</v>
      </c>
      <c r="S1091" s="1" t="s">
        <v>104</v>
      </c>
      <c r="T1091" s="1" t="s">
        <v>104</v>
      </c>
      <c r="U1091" s="1" t="s">
        <v>104</v>
      </c>
      <c r="V1091" s="1" t="s">
        <v>104</v>
      </c>
      <c r="W1091" s="1" t="s">
        <v>104</v>
      </c>
      <c r="X1091" s="1" t="s">
        <v>2144</v>
      </c>
      <c r="Y1091" s="1"/>
      <c r="Z1091" s="8"/>
      <c r="AA1091" s="8">
        <v>1</v>
      </c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>
        <v>1</v>
      </c>
      <c r="AW1091" s="8"/>
      <c r="AX1091" s="8">
        <v>1</v>
      </c>
      <c r="AY1091" s="8"/>
      <c r="AZ1091" s="8"/>
      <c r="BA1091" s="8"/>
      <c r="BB1091" s="1"/>
      <c r="BL1091" s="58"/>
      <c r="BP1091" t="str">
        <f t="shared" si="43"/>
        <v>BugFire</v>
      </c>
      <c r="BR1091">
        <v>9</v>
      </c>
    </row>
    <row r="1092" spans="1:70" x14ac:dyDescent="0.25">
      <c r="A1092">
        <f t="shared" si="42"/>
        <v>1033</v>
      </c>
      <c r="B1092" t="s">
        <v>2373</v>
      </c>
      <c r="D1092" s="1" t="s">
        <v>6</v>
      </c>
      <c r="E1092" s="1" t="s">
        <v>13</v>
      </c>
      <c r="F1092" s="1" t="s">
        <v>50</v>
      </c>
      <c r="G1092" s="1" t="s">
        <v>50</v>
      </c>
      <c r="H1092" s="1" t="s">
        <v>50</v>
      </c>
      <c r="I1092" s="1" t="s">
        <v>50</v>
      </c>
      <c r="J1092" s="1" t="s">
        <v>50</v>
      </c>
      <c r="K1092" s="1" t="s">
        <v>50</v>
      </c>
      <c r="L1092" s="1"/>
      <c r="M1092" s="1" t="s">
        <v>104</v>
      </c>
      <c r="N1092" s="1" t="s">
        <v>50</v>
      </c>
      <c r="O1092" s="1" t="s">
        <v>50</v>
      </c>
      <c r="P1092" s="1" t="s">
        <v>2070</v>
      </c>
      <c r="Q1092" s="1" t="s">
        <v>104</v>
      </c>
      <c r="R1092" s="1" t="s">
        <v>104</v>
      </c>
      <c r="S1092" s="1" t="s">
        <v>104</v>
      </c>
      <c r="T1092" s="1" t="s">
        <v>104</v>
      </c>
      <c r="U1092" s="1" t="s">
        <v>104</v>
      </c>
      <c r="V1092" s="1" t="s">
        <v>104</v>
      </c>
      <c r="W1092" s="1" t="s">
        <v>104</v>
      </c>
      <c r="X1092" s="1" t="s">
        <v>2144</v>
      </c>
      <c r="Y1092" s="1"/>
      <c r="Z1092" s="8"/>
      <c r="AA1092" s="8">
        <v>1</v>
      </c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>
        <v>1</v>
      </c>
      <c r="AW1092" s="8"/>
      <c r="AX1092" s="8">
        <v>1</v>
      </c>
      <c r="AY1092" s="8"/>
      <c r="AZ1092" s="8"/>
      <c r="BA1092" s="8"/>
      <c r="BB1092" s="1"/>
      <c r="BK1092">
        <v>1</v>
      </c>
      <c r="BL1092" s="58"/>
      <c r="BP1092" t="str">
        <f t="shared" si="43"/>
        <v>SteelFire</v>
      </c>
      <c r="BR1092">
        <v>9</v>
      </c>
    </row>
    <row r="1093" spans="1:70" x14ac:dyDescent="0.25">
      <c r="A1093">
        <f t="shared" si="42"/>
        <v>1034</v>
      </c>
      <c r="B1093" t="s">
        <v>2367</v>
      </c>
      <c r="D1093" s="1" t="s">
        <v>41</v>
      </c>
      <c r="E1093" s="1" t="s">
        <v>6</v>
      </c>
      <c r="F1093" s="1" t="s">
        <v>50</v>
      </c>
      <c r="G1093" s="1" t="s">
        <v>50</v>
      </c>
      <c r="H1093" s="1" t="s">
        <v>50</v>
      </c>
      <c r="I1093" s="1" t="s">
        <v>50</v>
      </c>
      <c r="J1093" s="1" t="s">
        <v>50</v>
      </c>
      <c r="K1093" s="1" t="s">
        <v>50</v>
      </c>
      <c r="L1093" s="1"/>
      <c r="M1093" s="1" t="s">
        <v>50</v>
      </c>
      <c r="N1093" s="1" t="s">
        <v>50</v>
      </c>
      <c r="O1093" s="1" t="s">
        <v>50</v>
      </c>
      <c r="P1093" s="1" t="s">
        <v>2348</v>
      </c>
      <c r="Q1093" s="1" t="s">
        <v>104</v>
      </c>
      <c r="R1093" s="1" t="s">
        <v>104</v>
      </c>
      <c r="S1093" s="1" t="s">
        <v>104</v>
      </c>
      <c r="T1093" s="1" t="s">
        <v>104</v>
      </c>
      <c r="U1093" s="1" t="s">
        <v>104</v>
      </c>
      <c r="V1093" s="1" t="s">
        <v>104</v>
      </c>
      <c r="W1093" s="1" t="s">
        <v>104</v>
      </c>
      <c r="X1093" s="1" t="s">
        <v>2329</v>
      </c>
      <c r="Y1093" s="1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>
        <v>1</v>
      </c>
      <c r="AT1093" s="8">
        <v>1</v>
      </c>
      <c r="AU1093" s="8"/>
      <c r="AV1093" s="8"/>
      <c r="AW1093" s="8"/>
      <c r="AX1093" s="8"/>
      <c r="AY1093" s="8"/>
      <c r="AZ1093" s="8"/>
      <c r="BA1093" s="8"/>
      <c r="BB1093" s="1"/>
      <c r="BK1093">
        <v>3</v>
      </c>
      <c r="BL1093" s="58"/>
      <c r="BP1093" t="str">
        <f t="shared" si="43"/>
        <v>SoundSteel</v>
      </c>
      <c r="BR1093">
        <v>9</v>
      </c>
    </row>
    <row r="1094" spans="1:70" x14ac:dyDescent="0.25">
      <c r="A1094">
        <f t="shared" si="42"/>
        <v>1035</v>
      </c>
      <c r="B1094" t="s">
        <v>2368</v>
      </c>
      <c r="D1094" s="1" t="s">
        <v>6</v>
      </c>
      <c r="E1094" s="1" t="s">
        <v>42</v>
      </c>
      <c r="F1094" s="1" t="s">
        <v>50</v>
      </c>
      <c r="G1094" s="1" t="s">
        <v>50</v>
      </c>
      <c r="H1094" s="1"/>
      <c r="I1094" s="1" t="s">
        <v>50</v>
      </c>
      <c r="J1094" s="1" t="s">
        <v>50</v>
      </c>
      <c r="K1094" s="1" t="s">
        <v>50</v>
      </c>
      <c r="L1094" s="1"/>
      <c r="M1094" s="1" t="s">
        <v>50</v>
      </c>
      <c r="N1094" s="1" t="s">
        <v>50</v>
      </c>
      <c r="O1094" s="1" t="s">
        <v>50</v>
      </c>
      <c r="P1094" s="13" t="s">
        <v>2429</v>
      </c>
      <c r="Q1094" s="1" t="s">
        <v>104</v>
      </c>
      <c r="R1094" s="1" t="s">
        <v>104</v>
      </c>
      <c r="S1094" s="1" t="s">
        <v>104</v>
      </c>
      <c r="T1094" s="1" t="s">
        <v>104</v>
      </c>
      <c r="U1094" s="1" t="s">
        <v>104</v>
      </c>
      <c r="V1094" s="1" t="s">
        <v>104</v>
      </c>
      <c r="W1094" s="1" t="s">
        <v>104</v>
      </c>
      <c r="X1094" s="1" t="s">
        <v>2430</v>
      </c>
      <c r="Y1094" s="1"/>
      <c r="Z1094" s="8"/>
      <c r="AA1094" s="8"/>
      <c r="AB1094" s="8"/>
      <c r="AC1094" s="8">
        <v>1</v>
      </c>
      <c r="AD1094" s="8"/>
      <c r="AE1094" s="8"/>
      <c r="AF1094" s="8">
        <v>1</v>
      </c>
      <c r="AG1094" s="8">
        <v>1</v>
      </c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>
        <v>1</v>
      </c>
      <c r="AV1094" s="8"/>
      <c r="AW1094" s="8"/>
      <c r="AX1094" s="8"/>
      <c r="AY1094" s="8"/>
      <c r="AZ1094" s="8"/>
      <c r="BA1094" s="8"/>
      <c r="BB1094" s="1"/>
      <c r="BL1094" s="58"/>
      <c r="BP1094" t="str">
        <f t="shared" si="43"/>
        <v>SteelCosmic</v>
      </c>
      <c r="BR1094">
        <v>3</v>
      </c>
    </row>
    <row r="1095" spans="1:70" x14ac:dyDescent="0.25">
      <c r="A1095">
        <f t="shared" si="42"/>
        <v>1036</v>
      </c>
      <c r="B1095" t="s">
        <v>2369</v>
      </c>
      <c r="D1095" s="1" t="s">
        <v>6</v>
      </c>
      <c r="E1095" s="1" t="s">
        <v>42</v>
      </c>
      <c r="F1095" s="1" t="s">
        <v>50</v>
      </c>
      <c r="G1095" s="1" t="s">
        <v>50</v>
      </c>
      <c r="H1095" s="1"/>
      <c r="I1095" s="1" t="s">
        <v>50</v>
      </c>
      <c r="J1095" s="1" t="s">
        <v>50</v>
      </c>
      <c r="K1095" s="1" t="s">
        <v>50</v>
      </c>
      <c r="L1095" s="1"/>
      <c r="M1095" s="1" t="s">
        <v>104</v>
      </c>
      <c r="N1095" s="1" t="s">
        <v>50</v>
      </c>
      <c r="O1095" s="1" t="s">
        <v>50</v>
      </c>
      <c r="P1095" s="13" t="s">
        <v>2429</v>
      </c>
      <c r="Q1095" s="1" t="s">
        <v>104</v>
      </c>
      <c r="R1095" s="1" t="s">
        <v>104</v>
      </c>
      <c r="S1095" s="1" t="s">
        <v>104</v>
      </c>
      <c r="T1095" s="1" t="s">
        <v>104</v>
      </c>
      <c r="U1095" s="1" t="s">
        <v>104</v>
      </c>
      <c r="V1095" s="1" t="s">
        <v>104</v>
      </c>
      <c r="W1095" s="1" t="s">
        <v>104</v>
      </c>
      <c r="X1095" s="1" t="s">
        <v>2430</v>
      </c>
      <c r="Y1095" s="1"/>
      <c r="Z1095" s="8"/>
      <c r="AA1095" s="8"/>
      <c r="AB1095" s="8"/>
      <c r="AC1095" s="8">
        <v>1</v>
      </c>
      <c r="AD1095" s="8"/>
      <c r="AE1095" s="8"/>
      <c r="AF1095" s="8">
        <v>1</v>
      </c>
      <c r="AG1095" s="8">
        <v>1</v>
      </c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>
        <v>1</v>
      </c>
      <c r="AV1095" s="8"/>
      <c r="AW1095" s="8"/>
      <c r="AX1095" s="8"/>
      <c r="AY1095" s="8"/>
      <c r="AZ1095" s="8"/>
      <c r="BA1095" s="8"/>
      <c r="BB1095" s="1"/>
      <c r="BL1095" s="58"/>
      <c r="BP1095" t="str">
        <f t="shared" si="43"/>
        <v>SteelCosmic</v>
      </c>
      <c r="BR1095">
        <v>3</v>
      </c>
    </row>
    <row r="1096" spans="1:70" x14ac:dyDescent="0.25">
      <c r="A1096">
        <f t="shared" si="42"/>
        <v>1037</v>
      </c>
      <c r="B1096" t="s">
        <v>2370</v>
      </c>
      <c r="D1096" s="1" t="s">
        <v>6</v>
      </c>
      <c r="E1096" s="1" t="s">
        <v>42</v>
      </c>
      <c r="F1096" s="1" t="s">
        <v>50</v>
      </c>
      <c r="G1096" s="1" t="s">
        <v>50</v>
      </c>
      <c r="H1096" s="1" t="s">
        <v>50</v>
      </c>
      <c r="I1096" s="1" t="s">
        <v>50</v>
      </c>
      <c r="J1096" s="1" t="s">
        <v>50</v>
      </c>
      <c r="K1096" s="1" t="s">
        <v>50</v>
      </c>
      <c r="L1096" s="1"/>
      <c r="M1096" s="1" t="s">
        <v>104</v>
      </c>
      <c r="N1096" s="1" t="s">
        <v>50</v>
      </c>
      <c r="O1096" s="1" t="s">
        <v>50</v>
      </c>
      <c r="P1096" s="13" t="s">
        <v>2429</v>
      </c>
      <c r="Q1096" s="1" t="s">
        <v>104</v>
      </c>
      <c r="R1096" s="1" t="s">
        <v>104</v>
      </c>
      <c r="S1096" s="1" t="s">
        <v>104</v>
      </c>
      <c r="T1096" s="1" t="s">
        <v>104</v>
      </c>
      <c r="U1096" s="1" t="s">
        <v>104</v>
      </c>
      <c r="V1096" s="1" t="s">
        <v>104</v>
      </c>
      <c r="W1096" s="1" t="s">
        <v>104</v>
      </c>
      <c r="X1096" s="1" t="s">
        <v>2430</v>
      </c>
      <c r="Y1096" s="1"/>
      <c r="Z1096" s="8"/>
      <c r="AA1096" s="8"/>
      <c r="AB1096" s="8"/>
      <c r="AC1096" s="8">
        <v>1</v>
      </c>
      <c r="AD1096" s="8"/>
      <c r="AE1096" s="8"/>
      <c r="AF1096" s="8">
        <v>1</v>
      </c>
      <c r="AG1096" s="8">
        <v>1</v>
      </c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>
        <v>1</v>
      </c>
      <c r="AV1096" s="8"/>
      <c r="AW1096" s="8"/>
      <c r="AX1096" s="8"/>
      <c r="AY1096" s="8"/>
      <c r="AZ1096" s="8"/>
      <c r="BA1096" s="8"/>
      <c r="BB1096" s="1"/>
      <c r="BK1096">
        <v>5</v>
      </c>
      <c r="BL1096" s="58">
        <v>1</v>
      </c>
      <c r="BP1096" t="str">
        <f t="shared" si="43"/>
        <v>SteelCosmic</v>
      </c>
      <c r="BR1096">
        <v>3</v>
      </c>
    </row>
    <row r="1097" spans="1:70" x14ac:dyDescent="0.25">
      <c r="A1097">
        <f t="shared" si="42"/>
        <v>1038</v>
      </c>
      <c r="B1097" t="s">
        <v>2371</v>
      </c>
      <c r="D1097" s="1" t="s">
        <v>0</v>
      </c>
      <c r="E1097" s="1" t="s">
        <v>3</v>
      </c>
      <c r="F1097" s="1" t="s">
        <v>50</v>
      </c>
      <c r="G1097" s="1" t="s">
        <v>50</v>
      </c>
      <c r="H1097" s="1" t="s">
        <v>50</v>
      </c>
      <c r="I1097" s="1" t="s">
        <v>50</v>
      </c>
      <c r="J1097" s="1" t="s">
        <v>50</v>
      </c>
      <c r="K1097" s="1" t="s">
        <v>50</v>
      </c>
      <c r="L1097" s="1"/>
      <c r="M1097" s="1" t="s">
        <v>50</v>
      </c>
      <c r="N1097" s="1" t="s">
        <v>50</v>
      </c>
      <c r="O1097" s="1" t="s">
        <v>50</v>
      </c>
      <c r="P1097" s="1" t="s">
        <v>2070</v>
      </c>
      <c r="Q1097" s="1" t="s">
        <v>104</v>
      </c>
      <c r="R1097" s="1" t="s">
        <v>104</v>
      </c>
      <c r="S1097" s="1" t="s">
        <v>104</v>
      </c>
      <c r="T1097" s="1" t="s">
        <v>104</v>
      </c>
      <c r="U1097" s="1" t="s">
        <v>104</v>
      </c>
      <c r="V1097" s="1" t="s">
        <v>104</v>
      </c>
      <c r="W1097" s="1" t="s">
        <v>104</v>
      </c>
      <c r="X1097" s="1" t="s">
        <v>2119</v>
      </c>
      <c r="Y1097" s="1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>
        <v>1</v>
      </c>
      <c r="AT1097" s="8">
        <v>1</v>
      </c>
      <c r="AU1097" s="8"/>
      <c r="AV1097" s="8"/>
      <c r="AW1097" s="8"/>
      <c r="AX1097" s="8"/>
      <c r="AY1097" s="8"/>
      <c r="AZ1097" s="8"/>
      <c r="BA1097" s="8"/>
      <c r="BB1097" s="1"/>
      <c r="BK1097">
        <v>1</v>
      </c>
      <c r="BL1097" s="58"/>
      <c r="BP1097" t="str">
        <f t="shared" si="43"/>
        <v>DarkElectric</v>
      </c>
      <c r="BR1097">
        <v>4</v>
      </c>
    </row>
    <row r="1098" spans="1:70" x14ac:dyDescent="0.25">
      <c r="A1098">
        <f t="shared" si="42"/>
        <v>1039</v>
      </c>
      <c r="B1098" t="s">
        <v>2375</v>
      </c>
      <c r="D1098" s="1" t="s">
        <v>6</v>
      </c>
      <c r="E1098" s="1">
        <v>0</v>
      </c>
      <c r="F1098" s="1" t="s">
        <v>50</v>
      </c>
      <c r="G1098" s="1" t="s">
        <v>50</v>
      </c>
      <c r="H1098" s="1" t="s">
        <v>50</v>
      </c>
      <c r="I1098" s="1" t="s">
        <v>50</v>
      </c>
      <c r="J1098" s="1" t="s">
        <v>50</v>
      </c>
      <c r="K1098" s="1" t="s">
        <v>50</v>
      </c>
      <c r="L1098" s="1"/>
      <c r="M1098" s="1" t="s">
        <v>50</v>
      </c>
      <c r="N1098" s="1" t="s">
        <v>50</v>
      </c>
      <c r="O1098" s="1" t="s">
        <v>50</v>
      </c>
      <c r="P1098" s="1" t="s">
        <v>2070</v>
      </c>
      <c r="Q1098" s="1" t="s">
        <v>104</v>
      </c>
      <c r="R1098" s="1" t="s">
        <v>104</v>
      </c>
      <c r="S1098" s="1" t="s">
        <v>104</v>
      </c>
      <c r="T1098" s="1" t="s">
        <v>104</v>
      </c>
      <c r="U1098" s="1" t="s">
        <v>104</v>
      </c>
      <c r="V1098" s="1" t="s">
        <v>104</v>
      </c>
      <c r="W1098" s="1" t="s">
        <v>104</v>
      </c>
      <c r="X1098" s="1" t="s">
        <v>726</v>
      </c>
      <c r="Y1098" s="1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>
        <v>1</v>
      </c>
      <c r="AT1098" s="8">
        <v>1</v>
      </c>
      <c r="AU1098" s="8"/>
      <c r="AV1098" s="8"/>
      <c r="AW1098" s="8"/>
      <c r="AX1098" s="8"/>
      <c r="AY1098" s="8"/>
      <c r="AZ1098" s="8"/>
      <c r="BA1098" s="8"/>
      <c r="BB1098" s="1"/>
      <c r="BK1098">
        <v>1</v>
      </c>
      <c r="BL1098" s="58"/>
      <c r="BP1098" t="str">
        <f t="shared" si="43"/>
        <v>Steel0</v>
      </c>
      <c r="BR1098">
        <v>8</v>
      </c>
    </row>
    <row r="1099" spans="1:70" x14ac:dyDescent="0.25">
      <c r="A1099">
        <f t="shared" si="42"/>
        <v>1040</v>
      </c>
      <c r="B1099" t="s">
        <v>2376</v>
      </c>
      <c r="D1099" s="1" t="s">
        <v>0</v>
      </c>
      <c r="E1099" s="1">
        <v>0</v>
      </c>
      <c r="F1099" s="1" t="s">
        <v>50</v>
      </c>
      <c r="G1099" s="1" t="s">
        <v>50</v>
      </c>
      <c r="H1099" s="1" t="s">
        <v>50</v>
      </c>
      <c r="I1099" s="1" t="s">
        <v>50</v>
      </c>
      <c r="J1099" s="1" t="s">
        <v>50</v>
      </c>
      <c r="K1099" s="1" t="s">
        <v>50</v>
      </c>
      <c r="L1099" s="1"/>
      <c r="M1099" s="1" t="s">
        <v>50</v>
      </c>
      <c r="N1099" s="1" t="s">
        <v>50</v>
      </c>
      <c r="O1099" s="1" t="s">
        <v>50</v>
      </c>
      <c r="P1099" s="1" t="s">
        <v>2070</v>
      </c>
      <c r="Q1099" s="1" t="s">
        <v>104</v>
      </c>
      <c r="R1099" s="1" t="s">
        <v>104</v>
      </c>
      <c r="S1099" s="1" t="s">
        <v>104</v>
      </c>
      <c r="T1099" s="1" t="s">
        <v>104</v>
      </c>
      <c r="U1099" s="1" t="s">
        <v>104</v>
      </c>
      <c r="V1099" s="1" t="s">
        <v>104</v>
      </c>
      <c r="W1099" s="1" t="s">
        <v>104</v>
      </c>
      <c r="X1099" s="1" t="s">
        <v>2377</v>
      </c>
      <c r="Y1099" s="1"/>
      <c r="Z1099" s="8"/>
      <c r="AA1099" s="8">
        <v>1</v>
      </c>
      <c r="AB1099" s="8">
        <v>1</v>
      </c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>
        <v>1</v>
      </c>
      <c r="AY1099" s="8"/>
      <c r="AZ1099" s="8"/>
      <c r="BA1099" s="8"/>
      <c r="BB1099" s="1"/>
      <c r="BK1099">
        <v>1</v>
      </c>
      <c r="BL1099" s="58"/>
      <c r="BP1099" t="str">
        <f t="shared" si="43"/>
        <v>Dark0</v>
      </c>
      <c r="BR1099">
        <v>7</v>
      </c>
    </row>
    <row r="1100" spans="1:70" x14ac:dyDescent="0.25">
      <c r="A1100">
        <f t="shared" si="42"/>
        <v>1041</v>
      </c>
      <c r="B1100" t="s">
        <v>2382</v>
      </c>
      <c r="D1100" s="1" t="s">
        <v>12</v>
      </c>
      <c r="E1100" s="1" t="s">
        <v>16</v>
      </c>
      <c r="F1100" s="1" t="s">
        <v>50</v>
      </c>
      <c r="G1100" s="1" t="s">
        <v>50</v>
      </c>
      <c r="H1100" s="1"/>
      <c r="I1100" s="1" t="s">
        <v>50</v>
      </c>
      <c r="J1100" s="1" t="s">
        <v>50</v>
      </c>
      <c r="K1100" s="1" t="s">
        <v>50</v>
      </c>
      <c r="L1100" s="1"/>
      <c r="M1100" s="1" t="s">
        <v>50</v>
      </c>
      <c r="N1100" s="1" t="s">
        <v>50</v>
      </c>
      <c r="O1100" s="1" t="s">
        <v>50</v>
      </c>
      <c r="P1100" s="13" t="s">
        <v>2384</v>
      </c>
      <c r="Q1100" s="1" t="s">
        <v>104</v>
      </c>
      <c r="R1100" s="1" t="s">
        <v>104</v>
      </c>
      <c r="S1100" s="1" t="s">
        <v>104</v>
      </c>
      <c r="T1100" s="1" t="s">
        <v>104</v>
      </c>
      <c r="U1100" s="1" t="s">
        <v>104</v>
      </c>
      <c r="V1100" s="1" t="s">
        <v>104</v>
      </c>
      <c r="W1100" s="1" t="s">
        <v>104</v>
      </c>
      <c r="X1100" s="1" t="s">
        <v>2385</v>
      </c>
      <c r="Y1100" s="1"/>
      <c r="Z1100" s="8">
        <v>1</v>
      </c>
      <c r="AA1100" s="8">
        <v>1</v>
      </c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>
        <v>1</v>
      </c>
      <c r="AY1100" s="8">
        <v>1</v>
      </c>
      <c r="AZ1100" s="8"/>
      <c r="BA1100" s="8"/>
      <c r="BB1100" s="1"/>
      <c r="BL1100" s="58"/>
      <c r="BP1100" t="str">
        <f t="shared" si="43"/>
        <v>DragonFlying</v>
      </c>
      <c r="BQ1100" t="s">
        <v>2</v>
      </c>
      <c r="BR1100">
        <v>5</v>
      </c>
    </row>
    <row r="1101" spans="1:70" x14ac:dyDescent="0.25">
      <c r="A1101">
        <f t="shared" si="42"/>
        <v>1042</v>
      </c>
      <c r="B1101" t="s">
        <v>2383</v>
      </c>
      <c r="D1101" s="1" t="s">
        <v>12</v>
      </c>
      <c r="E1101" s="1" t="s">
        <v>16</v>
      </c>
      <c r="F1101" s="1" t="s">
        <v>50</v>
      </c>
      <c r="G1101" s="1" t="s">
        <v>50</v>
      </c>
      <c r="H1101" s="1" t="s">
        <v>50</v>
      </c>
      <c r="I1101" s="1" t="s">
        <v>50</v>
      </c>
      <c r="J1101" s="1" t="s">
        <v>50</v>
      </c>
      <c r="K1101" s="1" t="s">
        <v>50</v>
      </c>
      <c r="L1101" s="1"/>
      <c r="M1101" s="1" t="s">
        <v>104</v>
      </c>
      <c r="N1101" s="1" t="s">
        <v>50</v>
      </c>
      <c r="O1101" s="1" t="s">
        <v>50</v>
      </c>
      <c r="P1101" s="13" t="s">
        <v>2384</v>
      </c>
      <c r="Q1101" s="1" t="s">
        <v>104</v>
      </c>
      <c r="R1101" s="1" t="s">
        <v>104</v>
      </c>
      <c r="S1101" s="1" t="s">
        <v>104</v>
      </c>
      <c r="T1101" s="1" t="s">
        <v>104</v>
      </c>
      <c r="U1101" s="1" t="s">
        <v>104</v>
      </c>
      <c r="V1101" s="1" t="s">
        <v>104</v>
      </c>
      <c r="W1101" s="1" t="s">
        <v>104</v>
      </c>
      <c r="X1101" s="1" t="s">
        <v>2385</v>
      </c>
      <c r="Y1101" s="1"/>
      <c r="Z1101" s="8">
        <v>1</v>
      </c>
      <c r="AA1101" s="8">
        <v>1</v>
      </c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>
        <v>1</v>
      </c>
      <c r="AY1101" s="8">
        <v>1</v>
      </c>
      <c r="AZ1101" s="8"/>
      <c r="BA1101" s="8"/>
      <c r="BB1101" s="1"/>
      <c r="BK1101">
        <v>1</v>
      </c>
      <c r="BL1101" s="58"/>
      <c r="BP1101" t="str">
        <f t="shared" si="43"/>
        <v>DragonFlying</v>
      </c>
      <c r="BR1101">
        <v>5</v>
      </c>
    </row>
    <row r="1102" spans="1:70" x14ac:dyDescent="0.25">
      <c r="A1102">
        <f t="shared" si="42"/>
        <v>1043</v>
      </c>
      <c r="B1102" t="s">
        <v>2386</v>
      </c>
      <c r="D1102" s="1" t="s">
        <v>16</v>
      </c>
      <c r="E1102" s="1" t="s">
        <v>14</v>
      </c>
      <c r="F1102" s="1" t="s">
        <v>50</v>
      </c>
      <c r="G1102" s="1" t="s">
        <v>50</v>
      </c>
      <c r="H1102" s="1"/>
      <c r="I1102" s="1" t="s">
        <v>50</v>
      </c>
      <c r="J1102" s="1" t="s">
        <v>50</v>
      </c>
      <c r="K1102" s="1" t="s">
        <v>50</v>
      </c>
      <c r="L1102" s="1"/>
      <c r="M1102" s="1" t="s">
        <v>50</v>
      </c>
      <c r="N1102" s="1" t="s">
        <v>50</v>
      </c>
      <c r="O1102" s="1" t="s">
        <v>50</v>
      </c>
      <c r="P1102" s="13" t="s">
        <v>820</v>
      </c>
      <c r="Q1102" s="1" t="s">
        <v>104</v>
      </c>
      <c r="R1102" s="1" t="s">
        <v>104</v>
      </c>
      <c r="S1102" s="1" t="s">
        <v>104</v>
      </c>
      <c r="T1102" s="1" t="s">
        <v>104</v>
      </c>
      <c r="U1102" s="1" t="s">
        <v>104</v>
      </c>
      <c r="V1102" s="1" t="s">
        <v>104</v>
      </c>
      <c r="W1102" s="1" t="s">
        <v>104</v>
      </c>
      <c r="X1102" s="1" t="s">
        <v>2385</v>
      </c>
      <c r="Y1102" s="1"/>
      <c r="Z1102" s="8"/>
      <c r="AA1102" s="8"/>
      <c r="AB1102" s="8"/>
      <c r="AC1102" s="8"/>
      <c r="AD1102" s="8"/>
      <c r="AE1102" s="8"/>
      <c r="AF1102" s="8"/>
      <c r="AG1102" s="8"/>
      <c r="AH1102" s="8">
        <v>1</v>
      </c>
      <c r="AI1102" s="8"/>
      <c r="AJ1102" s="8"/>
      <c r="AK1102" s="8"/>
      <c r="AL1102" s="8"/>
      <c r="AM1102" s="8"/>
      <c r="AN1102" s="8"/>
      <c r="AO1102" s="8"/>
      <c r="AP1102" s="8">
        <v>1</v>
      </c>
      <c r="AQ1102" s="8">
        <v>1</v>
      </c>
      <c r="AR1102" s="8"/>
      <c r="AS1102" s="8"/>
      <c r="AT1102" s="8"/>
      <c r="AU1102" s="8">
        <v>1</v>
      </c>
      <c r="AV1102" s="8"/>
      <c r="AW1102" s="8"/>
      <c r="AX1102" s="8">
        <v>1</v>
      </c>
      <c r="AY1102" s="8"/>
      <c r="AZ1102" s="8"/>
      <c r="BA1102" s="8"/>
      <c r="BB1102" s="1"/>
      <c r="BL1102" s="58"/>
      <c r="BP1102" t="str">
        <f t="shared" si="43"/>
        <v>FlyingGhost</v>
      </c>
      <c r="BQ1102" t="s">
        <v>2</v>
      </c>
      <c r="BR1102">
        <v>4</v>
      </c>
    </row>
    <row r="1103" spans="1:70" x14ac:dyDescent="0.25">
      <c r="A1103">
        <f t="shared" si="42"/>
        <v>1044</v>
      </c>
      <c r="B1103" t="s">
        <v>2387</v>
      </c>
      <c r="D1103" s="1" t="s">
        <v>16</v>
      </c>
      <c r="E1103" s="1" t="s">
        <v>14</v>
      </c>
      <c r="F1103" s="1" t="s">
        <v>50</v>
      </c>
      <c r="G1103" s="1" t="s">
        <v>50</v>
      </c>
      <c r="H1103" s="1"/>
      <c r="I1103" s="1" t="s">
        <v>50</v>
      </c>
      <c r="J1103" s="1" t="s">
        <v>50</v>
      </c>
      <c r="K1103" s="1" t="s">
        <v>50</v>
      </c>
      <c r="L1103" s="1"/>
      <c r="M1103" s="1" t="s">
        <v>104</v>
      </c>
      <c r="N1103" s="1" t="s">
        <v>50</v>
      </c>
      <c r="O1103" s="1" t="s">
        <v>50</v>
      </c>
      <c r="P1103" s="13" t="s">
        <v>820</v>
      </c>
      <c r="Q1103" s="1" t="s">
        <v>104</v>
      </c>
      <c r="R1103" s="1" t="s">
        <v>104</v>
      </c>
      <c r="S1103" s="1" t="s">
        <v>104</v>
      </c>
      <c r="T1103" s="1" t="s">
        <v>104</v>
      </c>
      <c r="U1103" s="1" t="s">
        <v>104</v>
      </c>
      <c r="V1103" s="1" t="s">
        <v>104</v>
      </c>
      <c r="W1103" s="1" t="s">
        <v>104</v>
      </c>
      <c r="X1103" s="1" t="s">
        <v>2385</v>
      </c>
      <c r="Y1103" s="1"/>
      <c r="Z1103" s="8"/>
      <c r="AA1103" s="8"/>
      <c r="AB1103" s="8"/>
      <c r="AC1103" s="8"/>
      <c r="AD1103" s="8"/>
      <c r="AE1103" s="8"/>
      <c r="AF1103" s="8"/>
      <c r="AG1103" s="8"/>
      <c r="AH1103" s="8">
        <v>1</v>
      </c>
      <c r="AI1103" s="8"/>
      <c r="AJ1103" s="8"/>
      <c r="AK1103" s="8"/>
      <c r="AL1103" s="8"/>
      <c r="AM1103" s="8"/>
      <c r="AN1103" s="8"/>
      <c r="AO1103" s="8"/>
      <c r="AP1103" s="8">
        <v>1</v>
      </c>
      <c r="AQ1103" s="8">
        <v>1</v>
      </c>
      <c r="AR1103" s="8"/>
      <c r="AS1103" s="8"/>
      <c r="AT1103" s="8"/>
      <c r="AU1103" s="8">
        <v>1</v>
      </c>
      <c r="AV1103" s="8"/>
      <c r="AW1103" s="8"/>
      <c r="AX1103" s="8">
        <v>1</v>
      </c>
      <c r="AY1103" s="8"/>
      <c r="AZ1103" s="8"/>
      <c r="BA1103" s="8"/>
      <c r="BB1103" s="1"/>
      <c r="BL1103" s="58"/>
      <c r="BP1103" t="str">
        <f t="shared" si="43"/>
        <v>FlyingGhost</v>
      </c>
      <c r="BQ1103" t="s">
        <v>2</v>
      </c>
      <c r="BR1103">
        <v>4</v>
      </c>
    </row>
    <row r="1104" spans="1:70" x14ac:dyDescent="0.25">
      <c r="A1104">
        <f t="shared" si="42"/>
        <v>1045</v>
      </c>
      <c r="B1104" t="s">
        <v>2388</v>
      </c>
      <c r="D1104" s="1" t="s">
        <v>16</v>
      </c>
      <c r="E1104" s="1" t="s">
        <v>14</v>
      </c>
      <c r="F1104" s="1" t="s">
        <v>50</v>
      </c>
      <c r="G1104" s="1" t="s">
        <v>50</v>
      </c>
      <c r="H1104" s="1" t="s">
        <v>50</v>
      </c>
      <c r="I1104" s="1" t="s">
        <v>50</v>
      </c>
      <c r="J1104" s="1" t="s">
        <v>50</v>
      </c>
      <c r="K1104" s="1" t="s">
        <v>50</v>
      </c>
      <c r="L1104" s="1"/>
      <c r="M1104" s="1" t="s">
        <v>104</v>
      </c>
      <c r="N1104" s="1" t="s">
        <v>50</v>
      </c>
      <c r="O1104" s="1" t="s">
        <v>50</v>
      </c>
      <c r="P1104" s="13" t="s">
        <v>820</v>
      </c>
      <c r="Q1104" s="1" t="s">
        <v>50</v>
      </c>
      <c r="R1104" s="1" t="s">
        <v>50</v>
      </c>
      <c r="S1104" s="1" t="s">
        <v>50</v>
      </c>
      <c r="T1104" s="1" t="s">
        <v>50</v>
      </c>
      <c r="U1104" s="1" t="s">
        <v>50</v>
      </c>
      <c r="V1104" s="1" t="s">
        <v>50</v>
      </c>
      <c r="W1104" s="1" t="s">
        <v>50</v>
      </c>
      <c r="X1104" s="1" t="s">
        <v>2385</v>
      </c>
      <c r="Y1104" s="1"/>
      <c r="Z1104" s="8"/>
      <c r="AA1104" s="8"/>
      <c r="AB1104" s="8"/>
      <c r="AC1104" s="8"/>
      <c r="AD1104" s="8"/>
      <c r="AE1104" s="8"/>
      <c r="AF1104" s="8"/>
      <c r="AG1104" s="8"/>
      <c r="AH1104" s="8">
        <v>1</v>
      </c>
      <c r="AI1104" s="8"/>
      <c r="AJ1104" s="8"/>
      <c r="AK1104" s="8"/>
      <c r="AL1104" s="8"/>
      <c r="AM1104" s="8"/>
      <c r="AN1104" s="8"/>
      <c r="AO1104" s="8"/>
      <c r="AP1104" s="8">
        <v>1</v>
      </c>
      <c r="AQ1104" s="8">
        <v>1</v>
      </c>
      <c r="AR1104" s="8"/>
      <c r="AS1104" s="8"/>
      <c r="AT1104" s="8"/>
      <c r="AU1104" s="8">
        <v>1</v>
      </c>
      <c r="AV1104" s="8"/>
      <c r="AW1104" s="8"/>
      <c r="AX1104" s="8">
        <v>1</v>
      </c>
      <c r="AY1104" s="8"/>
      <c r="AZ1104" s="8"/>
      <c r="BA1104" s="8"/>
      <c r="BB1104" s="1"/>
      <c r="BK1104">
        <v>4</v>
      </c>
      <c r="BL1104" s="58">
        <v>1</v>
      </c>
      <c r="BP1104" t="str">
        <f t="shared" si="43"/>
        <v>FlyingGhost</v>
      </c>
      <c r="BR1104">
        <v>4</v>
      </c>
    </row>
    <row r="1105" spans="1:70" x14ac:dyDescent="0.25">
      <c r="A1105">
        <f t="shared" si="42"/>
        <v>1046</v>
      </c>
      <c r="B1105" t="s">
        <v>2389</v>
      </c>
      <c r="D1105" s="1" t="s">
        <v>1</v>
      </c>
      <c r="E1105" s="1" t="s">
        <v>10</v>
      </c>
      <c r="F1105" s="1" t="s">
        <v>50</v>
      </c>
      <c r="G1105" s="1" t="s">
        <v>50</v>
      </c>
      <c r="H1105" s="1"/>
      <c r="I1105" s="1" t="s">
        <v>50</v>
      </c>
      <c r="J1105" s="1" t="s">
        <v>50</v>
      </c>
      <c r="K1105" s="1" t="s">
        <v>50</v>
      </c>
      <c r="L1105" s="1"/>
      <c r="M1105" s="1" t="s">
        <v>50</v>
      </c>
      <c r="N1105" s="1" t="s">
        <v>50</v>
      </c>
      <c r="O1105" s="1" t="s">
        <v>50</v>
      </c>
      <c r="P1105" s="13" t="s">
        <v>1717</v>
      </c>
      <c r="Q1105" s="1" t="s">
        <v>104</v>
      </c>
      <c r="R1105" s="1" t="s">
        <v>104</v>
      </c>
      <c r="S1105" s="1" t="s">
        <v>104</v>
      </c>
      <c r="T1105" s="1" t="s">
        <v>104</v>
      </c>
      <c r="U1105" s="1" t="s">
        <v>104</v>
      </c>
      <c r="V1105" s="1" t="s">
        <v>104</v>
      </c>
      <c r="W1105" s="1" t="s">
        <v>104</v>
      </c>
      <c r="X1105" s="1" t="s">
        <v>2385</v>
      </c>
      <c r="Y1105" s="1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>
        <v>1</v>
      </c>
      <c r="AT1105" s="8">
        <v>1</v>
      </c>
      <c r="AU1105" s="8"/>
      <c r="AV1105" s="8"/>
      <c r="AW1105" s="8"/>
      <c r="AX1105" s="8"/>
      <c r="AY1105" s="8"/>
      <c r="AZ1105" s="8"/>
      <c r="BA1105" s="8"/>
      <c r="BB1105" s="1"/>
      <c r="BL1105" s="58"/>
      <c r="BP1105" t="str">
        <f t="shared" si="43"/>
        <v>NormalPoison</v>
      </c>
      <c r="BQ1105" t="s">
        <v>2</v>
      </c>
      <c r="BR1105">
        <v>9</v>
      </c>
    </row>
    <row r="1106" spans="1:70" x14ac:dyDescent="0.25">
      <c r="A1106">
        <f t="shared" si="42"/>
        <v>1047</v>
      </c>
      <c r="B1106" t="s">
        <v>2390</v>
      </c>
      <c r="D1106" s="1" t="s">
        <v>1</v>
      </c>
      <c r="E1106" s="1" t="s">
        <v>10</v>
      </c>
      <c r="F1106" s="1" t="s">
        <v>50</v>
      </c>
      <c r="G1106" s="1" t="s">
        <v>50</v>
      </c>
      <c r="H1106" s="1" t="s">
        <v>50</v>
      </c>
      <c r="I1106" s="1" t="s">
        <v>50</v>
      </c>
      <c r="J1106" s="1" t="s">
        <v>50</v>
      </c>
      <c r="K1106" s="1" t="s">
        <v>50</v>
      </c>
      <c r="L1106" s="1"/>
      <c r="M1106" s="1" t="s">
        <v>104</v>
      </c>
      <c r="N1106" s="1" t="s">
        <v>50</v>
      </c>
      <c r="O1106" s="1" t="s">
        <v>50</v>
      </c>
      <c r="P1106" s="13" t="s">
        <v>1717</v>
      </c>
      <c r="Q1106" s="1" t="s">
        <v>104</v>
      </c>
      <c r="R1106" s="1" t="s">
        <v>104</v>
      </c>
      <c r="S1106" s="1" t="s">
        <v>104</v>
      </c>
      <c r="T1106" s="1" t="s">
        <v>104</v>
      </c>
      <c r="U1106" s="1" t="s">
        <v>104</v>
      </c>
      <c r="V1106" s="1" t="s">
        <v>104</v>
      </c>
      <c r="W1106" s="1" t="s">
        <v>104</v>
      </c>
      <c r="X1106" s="1" t="s">
        <v>2385</v>
      </c>
      <c r="Y1106" s="1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>
        <v>1</v>
      </c>
      <c r="AT1106" s="8">
        <v>1</v>
      </c>
      <c r="AU1106" s="8"/>
      <c r="AV1106" s="8"/>
      <c r="AW1106" s="8"/>
      <c r="AX1106" s="8"/>
      <c r="AY1106" s="8"/>
      <c r="AZ1106" s="8"/>
      <c r="BA1106" s="8"/>
      <c r="BB1106" s="1"/>
      <c r="BK1106">
        <v>1</v>
      </c>
      <c r="BL1106" s="58"/>
      <c r="BP1106" t="str">
        <f t="shared" si="43"/>
        <v>NormalPoison</v>
      </c>
      <c r="BR1106">
        <v>9</v>
      </c>
    </row>
    <row r="1107" spans="1:70" x14ac:dyDescent="0.25">
      <c r="A1107">
        <f t="shared" si="42"/>
        <v>1048</v>
      </c>
      <c r="B1107" t="s">
        <v>2391</v>
      </c>
      <c r="D1107" s="1" t="s">
        <v>6</v>
      </c>
      <c r="E1107" s="1">
        <v>0</v>
      </c>
      <c r="F1107" s="1" t="s">
        <v>50</v>
      </c>
      <c r="G1107" s="1" t="s">
        <v>50</v>
      </c>
      <c r="H1107" s="1"/>
      <c r="I1107" s="1" t="s">
        <v>50</v>
      </c>
      <c r="J1107" s="1" t="s">
        <v>50</v>
      </c>
      <c r="K1107" s="1" t="s">
        <v>50</v>
      </c>
      <c r="L1107" s="1"/>
      <c r="M1107" s="1" t="s">
        <v>50</v>
      </c>
      <c r="N1107" s="1" t="s">
        <v>50</v>
      </c>
      <c r="O1107" s="1" t="s">
        <v>50</v>
      </c>
      <c r="P1107" s="1" t="s">
        <v>1707</v>
      </c>
      <c r="Q1107" s="1" t="s">
        <v>104</v>
      </c>
      <c r="R1107" s="1" t="s">
        <v>104</v>
      </c>
      <c r="S1107" s="1" t="s">
        <v>104</v>
      </c>
      <c r="T1107" s="1" t="s">
        <v>104</v>
      </c>
      <c r="U1107" s="1" t="s">
        <v>104</v>
      </c>
      <c r="V1107" s="1" t="s">
        <v>104</v>
      </c>
      <c r="W1107" s="1" t="s">
        <v>104</v>
      </c>
      <c r="X1107" s="1" t="s">
        <v>733</v>
      </c>
      <c r="Y1107" s="1"/>
      <c r="Z1107" s="8"/>
      <c r="AA1107" s="8"/>
      <c r="AB1107" s="8"/>
      <c r="AC1107" s="8"/>
      <c r="AD1107" s="8">
        <v>1</v>
      </c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>
        <v>1</v>
      </c>
      <c r="AY1107" s="8">
        <v>1</v>
      </c>
      <c r="AZ1107" s="8"/>
      <c r="BA1107" s="8"/>
      <c r="BB1107" s="1"/>
      <c r="BL1107" s="58"/>
      <c r="BP1107" t="str">
        <f t="shared" si="43"/>
        <v>Steel0</v>
      </c>
      <c r="BQ1107" t="s">
        <v>2</v>
      </c>
      <c r="BR1107">
        <v>9</v>
      </c>
    </row>
    <row r="1108" spans="1:70" x14ac:dyDescent="0.25">
      <c r="A1108">
        <f t="shared" si="42"/>
        <v>1049</v>
      </c>
      <c r="B1108" t="s">
        <v>2392</v>
      </c>
      <c r="D1108" s="1" t="s">
        <v>6</v>
      </c>
      <c r="E1108" s="1" t="s">
        <v>13</v>
      </c>
      <c r="F1108" s="1" t="s">
        <v>50</v>
      </c>
      <c r="G1108" s="1" t="s">
        <v>50</v>
      </c>
      <c r="H1108" s="1"/>
      <c r="I1108" s="1" t="s">
        <v>50</v>
      </c>
      <c r="J1108" s="1" t="s">
        <v>50</v>
      </c>
      <c r="K1108" s="1" t="s">
        <v>50</v>
      </c>
      <c r="L1108" s="1"/>
      <c r="M1108" s="1" t="s">
        <v>104</v>
      </c>
      <c r="N1108" s="1" t="s">
        <v>50</v>
      </c>
      <c r="O1108" s="1" t="s">
        <v>50</v>
      </c>
      <c r="P1108" s="1" t="s">
        <v>1707</v>
      </c>
      <c r="Q1108" s="1" t="s">
        <v>104</v>
      </c>
      <c r="R1108" s="1" t="s">
        <v>104</v>
      </c>
      <c r="S1108" s="1" t="s">
        <v>104</v>
      </c>
      <c r="T1108" s="1" t="s">
        <v>104</v>
      </c>
      <c r="U1108" s="1" t="s">
        <v>104</v>
      </c>
      <c r="V1108" s="1" t="s">
        <v>104</v>
      </c>
      <c r="W1108" s="1" t="s">
        <v>104</v>
      </c>
      <c r="X1108" s="1" t="s">
        <v>733</v>
      </c>
      <c r="Y1108" s="1"/>
      <c r="Z1108" s="8"/>
      <c r="AA1108" s="8"/>
      <c r="AB1108" s="8"/>
      <c r="AC1108" s="8"/>
      <c r="AD1108" s="8">
        <v>1</v>
      </c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>
        <v>1</v>
      </c>
      <c r="AY1108" s="8">
        <v>1</v>
      </c>
      <c r="AZ1108" s="8"/>
      <c r="BA1108" s="8"/>
      <c r="BB1108" s="1"/>
      <c r="BL1108" s="58"/>
      <c r="BP1108" t="str">
        <f t="shared" si="43"/>
        <v>SteelFire</v>
      </c>
      <c r="BQ1108" t="s">
        <v>2</v>
      </c>
      <c r="BR1108">
        <v>9</v>
      </c>
    </row>
    <row r="1109" spans="1:70" x14ac:dyDescent="0.25">
      <c r="A1109">
        <f t="shared" si="42"/>
        <v>1050</v>
      </c>
      <c r="B1109" t="s">
        <v>2393</v>
      </c>
      <c r="D1109" s="1" t="s">
        <v>6</v>
      </c>
      <c r="E1109" s="1" t="s">
        <v>13</v>
      </c>
      <c r="F1109" s="1" t="s">
        <v>50</v>
      </c>
      <c r="G1109" s="1" t="s">
        <v>50</v>
      </c>
      <c r="H1109" s="1" t="s">
        <v>50</v>
      </c>
      <c r="I1109" s="1" t="s">
        <v>50</v>
      </c>
      <c r="J1109" s="1" t="s">
        <v>50</v>
      </c>
      <c r="K1109" s="1" t="s">
        <v>50</v>
      </c>
      <c r="L1109" s="1"/>
      <c r="M1109" s="1" t="s">
        <v>104</v>
      </c>
      <c r="N1109" s="1" t="s">
        <v>50</v>
      </c>
      <c r="O1109" s="1" t="s">
        <v>50</v>
      </c>
      <c r="P1109" s="1" t="s">
        <v>1707</v>
      </c>
      <c r="Q1109" s="1" t="s">
        <v>50</v>
      </c>
      <c r="R1109" s="1" t="s">
        <v>50</v>
      </c>
      <c r="S1109" s="1" t="s">
        <v>50</v>
      </c>
      <c r="T1109" s="1" t="s">
        <v>50</v>
      </c>
      <c r="U1109" s="1" t="s">
        <v>50</v>
      </c>
      <c r="V1109" s="1" t="s">
        <v>50</v>
      </c>
      <c r="W1109" s="1" t="s">
        <v>50</v>
      </c>
      <c r="X1109" s="1" t="s">
        <v>733</v>
      </c>
      <c r="Y1109" s="1"/>
      <c r="Z1109" s="8"/>
      <c r="AA1109" s="8"/>
      <c r="AB1109" s="8"/>
      <c r="AC1109" s="8"/>
      <c r="AD1109" s="8">
        <v>1</v>
      </c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>
        <v>1</v>
      </c>
      <c r="AY1109" s="8">
        <v>1</v>
      </c>
      <c r="AZ1109" s="8"/>
      <c r="BA1109" s="8"/>
      <c r="BB1109" s="1"/>
      <c r="BK1109">
        <v>2</v>
      </c>
      <c r="BL1109" s="58"/>
      <c r="BP1109" t="str">
        <f t="shared" si="43"/>
        <v>SteelFire</v>
      </c>
      <c r="BR1109">
        <v>9</v>
      </c>
    </row>
    <row r="1110" spans="1:70" x14ac:dyDescent="0.25">
      <c r="A1110">
        <f t="shared" si="42"/>
        <v>1051</v>
      </c>
      <c r="B1110" t="s">
        <v>2394</v>
      </c>
      <c r="D1110" s="1" t="s">
        <v>3</v>
      </c>
      <c r="E1110" s="1" t="s">
        <v>11</v>
      </c>
      <c r="F1110" s="1" t="s">
        <v>50</v>
      </c>
      <c r="G1110" s="1" t="s">
        <v>50</v>
      </c>
      <c r="H1110" s="1"/>
      <c r="I1110" s="1" t="s">
        <v>50</v>
      </c>
      <c r="J1110" s="1" t="s">
        <v>50</v>
      </c>
      <c r="K1110" s="1" t="s">
        <v>50</v>
      </c>
      <c r="L1110" s="1"/>
      <c r="M1110" s="1" t="s">
        <v>50</v>
      </c>
      <c r="N1110" s="1" t="s">
        <v>50</v>
      </c>
      <c r="O1110" s="1" t="s">
        <v>50</v>
      </c>
      <c r="P1110" s="1" t="s">
        <v>1707</v>
      </c>
      <c r="Q1110" s="1" t="s">
        <v>104</v>
      </c>
      <c r="R1110" s="1" t="s">
        <v>104</v>
      </c>
      <c r="S1110" s="1" t="s">
        <v>104</v>
      </c>
      <c r="T1110" s="1" t="s">
        <v>104</v>
      </c>
      <c r="U1110" s="1" t="s">
        <v>104</v>
      </c>
      <c r="V1110" s="1" t="s">
        <v>104</v>
      </c>
      <c r="W1110" s="1" t="s">
        <v>104</v>
      </c>
      <c r="X1110" s="1" t="s">
        <v>733</v>
      </c>
      <c r="Y1110" s="1"/>
      <c r="Z1110" s="8">
        <v>1</v>
      </c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>
        <v>1</v>
      </c>
      <c r="AY1110" s="8">
        <v>1</v>
      </c>
      <c r="AZ1110" s="8"/>
      <c r="BA1110" s="8"/>
      <c r="BB1110" s="1"/>
      <c r="BL1110" s="58"/>
      <c r="BP1110" t="str">
        <f t="shared" si="43"/>
        <v>ElectricGrass</v>
      </c>
      <c r="BQ1110" t="s">
        <v>2</v>
      </c>
      <c r="BR1110">
        <v>5</v>
      </c>
    </row>
    <row r="1111" spans="1:70" x14ac:dyDescent="0.25">
      <c r="A1111">
        <f t="shared" si="42"/>
        <v>1052</v>
      </c>
      <c r="B1111" t="s">
        <v>2395</v>
      </c>
      <c r="D1111" s="1" t="s">
        <v>3</v>
      </c>
      <c r="E1111" s="1" t="s">
        <v>11</v>
      </c>
      <c r="F1111" s="1" t="s">
        <v>50</v>
      </c>
      <c r="G1111" s="1" t="s">
        <v>50</v>
      </c>
      <c r="H1111" s="1" t="s">
        <v>50</v>
      </c>
      <c r="I1111" s="1" t="s">
        <v>50</v>
      </c>
      <c r="J1111" s="1" t="s">
        <v>50</v>
      </c>
      <c r="K1111" s="1" t="s">
        <v>50</v>
      </c>
      <c r="L1111" s="1"/>
      <c r="M1111" s="1" t="s">
        <v>104</v>
      </c>
      <c r="N1111" s="1" t="s">
        <v>50</v>
      </c>
      <c r="O1111" s="1" t="s">
        <v>50</v>
      </c>
      <c r="P1111" s="1" t="s">
        <v>1707</v>
      </c>
      <c r="Q1111" s="1" t="s">
        <v>104</v>
      </c>
      <c r="R1111" s="1" t="s">
        <v>104</v>
      </c>
      <c r="S1111" s="1" t="s">
        <v>104</v>
      </c>
      <c r="T1111" s="1" t="s">
        <v>104</v>
      </c>
      <c r="U1111" s="1" t="s">
        <v>104</v>
      </c>
      <c r="V1111" s="1" t="s">
        <v>104</v>
      </c>
      <c r="W1111" s="1" t="s">
        <v>104</v>
      </c>
      <c r="X1111" s="1" t="s">
        <v>733</v>
      </c>
      <c r="Y1111" s="1"/>
      <c r="Z1111" s="8">
        <v>1</v>
      </c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>
        <v>1</v>
      </c>
      <c r="AY1111" s="8">
        <v>1</v>
      </c>
      <c r="AZ1111" s="8"/>
      <c r="BA1111" s="8"/>
      <c r="BB1111" s="1"/>
      <c r="BK1111">
        <v>5</v>
      </c>
      <c r="BL1111" s="58">
        <v>1</v>
      </c>
      <c r="BP1111" t="str">
        <f t="shared" si="43"/>
        <v>ElectricGrass</v>
      </c>
      <c r="BR1111">
        <v>5</v>
      </c>
    </row>
    <row r="1112" spans="1:70" x14ac:dyDescent="0.25">
      <c r="A1112">
        <f t="shared" si="42"/>
        <v>1053</v>
      </c>
      <c r="B1112" t="s">
        <v>2396</v>
      </c>
      <c r="D1112" s="1" t="s">
        <v>14</v>
      </c>
      <c r="E1112" s="1" t="s">
        <v>13</v>
      </c>
      <c r="F1112" s="1" t="s">
        <v>50</v>
      </c>
      <c r="G1112" s="1" t="s">
        <v>50</v>
      </c>
      <c r="H1112" s="1" t="s">
        <v>50</v>
      </c>
      <c r="I1112" s="1" t="s">
        <v>50</v>
      </c>
      <c r="J1112" s="1" t="s">
        <v>50</v>
      </c>
      <c r="K1112" s="1" t="s">
        <v>50</v>
      </c>
      <c r="L1112" s="1"/>
      <c r="M1112" s="1" t="s">
        <v>50</v>
      </c>
      <c r="N1112" s="1" t="s">
        <v>50</v>
      </c>
      <c r="O1112" s="1" t="s">
        <v>50</v>
      </c>
      <c r="P1112" s="1" t="s">
        <v>1707</v>
      </c>
      <c r="Q1112" s="1" t="s">
        <v>104</v>
      </c>
      <c r="R1112" s="1" t="s">
        <v>104</v>
      </c>
      <c r="S1112" s="1" t="s">
        <v>104</v>
      </c>
      <c r="T1112" s="1" t="s">
        <v>104</v>
      </c>
      <c r="U1112" s="1" t="s">
        <v>104</v>
      </c>
      <c r="V1112" s="1" t="s">
        <v>104</v>
      </c>
      <c r="W1112" s="1" t="s">
        <v>104</v>
      </c>
      <c r="X1112" s="1" t="s">
        <v>733</v>
      </c>
      <c r="Y1112" s="1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>
        <v>1</v>
      </c>
      <c r="AT1112" s="8">
        <v>1</v>
      </c>
      <c r="AU1112" s="8"/>
      <c r="AV1112" s="8"/>
      <c r="AW1112" s="8"/>
      <c r="AX1112" s="8"/>
      <c r="AY1112" s="8"/>
      <c r="AZ1112" s="8"/>
      <c r="BA1112" s="8"/>
      <c r="BB1112" s="1"/>
      <c r="BL1112" s="58"/>
      <c r="BP1112" t="str">
        <f t="shared" si="43"/>
        <v>GhostFire</v>
      </c>
      <c r="BR1112">
        <v>3</v>
      </c>
    </row>
    <row r="1113" spans="1:70" x14ac:dyDescent="0.25">
      <c r="A1113">
        <f t="shared" si="42"/>
        <v>1054</v>
      </c>
      <c r="B1113" t="s">
        <v>2397</v>
      </c>
      <c r="D1113" s="1" t="s">
        <v>6</v>
      </c>
      <c r="E1113" s="1" t="s">
        <v>14</v>
      </c>
      <c r="F1113" s="1" t="s">
        <v>50</v>
      </c>
      <c r="G1113" s="1" t="s">
        <v>50</v>
      </c>
      <c r="H1113" s="1" t="s">
        <v>50</v>
      </c>
      <c r="I1113" s="1" t="s">
        <v>50</v>
      </c>
      <c r="J1113" s="13" t="s">
        <v>50</v>
      </c>
      <c r="K1113" s="13" t="s">
        <v>50</v>
      </c>
      <c r="L1113" s="1"/>
      <c r="M1113" s="1" t="s">
        <v>50</v>
      </c>
      <c r="N1113" s="1" t="s">
        <v>50</v>
      </c>
      <c r="O1113" s="1" t="s">
        <v>50</v>
      </c>
      <c r="P1113" s="13" t="s">
        <v>823</v>
      </c>
      <c r="Q1113" s="1" t="s">
        <v>104</v>
      </c>
      <c r="R1113" s="1" t="s">
        <v>104</v>
      </c>
      <c r="S1113" s="1" t="s">
        <v>104</v>
      </c>
      <c r="T1113" s="1" t="s">
        <v>104</v>
      </c>
      <c r="U1113" s="1" t="s">
        <v>104</v>
      </c>
      <c r="V1113" s="1" t="s">
        <v>104</v>
      </c>
      <c r="W1113" s="1" t="s">
        <v>104</v>
      </c>
      <c r="X1113" s="1" t="s">
        <v>2182</v>
      </c>
      <c r="Y1113" s="1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>
        <v>1</v>
      </c>
      <c r="AT1113" s="8">
        <v>1</v>
      </c>
      <c r="AU1113" s="8"/>
      <c r="AV1113" s="8"/>
      <c r="AW1113" s="8"/>
      <c r="AX1113" s="8"/>
      <c r="AY1113" s="8"/>
      <c r="AZ1113" s="8"/>
      <c r="BA1113" s="8"/>
      <c r="BB1113" s="1"/>
      <c r="BL1113" s="58"/>
      <c r="BP1113" t="str">
        <f t="shared" si="43"/>
        <v>SteelGhost</v>
      </c>
      <c r="BR1113">
        <v>7</v>
      </c>
    </row>
    <row r="1114" spans="1:70" x14ac:dyDescent="0.25">
      <c r="A1114">
        <f t="shared" si="42"/>
        <v>1055</v>
      </c>
      <c r="B1114" t="s">
        <v>2398</v>
      </c>
      <c r="D1114" s="1" t="s">
        <v>6</v>
      </c>
      <c r="E1114" s="1" t="s">
        <v>15</v>
      </c>
      <c r="F1114" s="1" t="s">
        <v>50</v>
      </c>
      <c r="G1114" s="1" t="s">
        <v>50</v>
      </c>
      <c r="H1114" s="1" t="s">
        <v>50</v>
      </c>
      <c r="I1114" s="1" t="s">
        <v>50</v>
      </c>
      <c r="J1114" s="13" t="s">
        <v>50</v>
      </c>
      <c r="K1114" s="13" t="s">
        <v>50</v>
      </c>
      <c r="L1114" s="1"/>
      <c r="M1114" s="1" t="s">
        <v>50</v>
      </c>
      <c r="N1114" s="1" t="s">
        <v>50</v>
      </c>
      <c r="O1114" s="1" t="s">
        <v>50</v>
      </c>
      <c r="P1114" s="13" t="s">
        <v>1766</v>
      </c>
      <c r="Q1114" s="1" t="s">
        <v>104</v>
      </c>
      <c r="R1114" s="1" t="s">
        <v>104</v>
      </c>
      <c r="S1114" s="1" t="s">
        <v>104</v>
      </c>
      <c r="T1114" s="1" t="s">
        <v>104</v>
      </c>
      <c r="U1114" s="1" t="s">
        <v>104</v>
      </c>
      <c r="V1114" s="1" t="s">
        <v>104</v>
      </c>
      <c r="W1114" s="1" t="s">
        <v>104</v>
      </c>
      <c r="X1114" s="1" t="s">
        <v>2182</v>
      </c>
      <c r="Y1114" s="1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>
        <v>1</v>
      </c>
      <c r="AT1114" s="8">
        <v>1</v>
      </c>
      <c r="AU1114" s="8"/>
      <c r="AV1114" s="8"/>
      <c r="AW1114" s="8"/>
      <c r="AX1114" s="8"/>
      <c r="AY1114" s="8"/>
      <c r="AZ1114" s="8"/>
      <c r="BA1114" s="8"/>
      <c r="BB1114" s="1"/>
      <c r="BK1114">
        <v>1</v>
      </c>
      <c r="BL1114" s="58"/>
      <c r="BP1114" t="str">
        <f t="shared" si="43"/>
        <v>SteelWater</v>
      </c>
      <c r="BR1114">
        <v>7</v>
      </c>
    </row>
    <row r="1115" spans="1:70" x14ac:dyDescent="0.25">
      <c r="A1115">
        <f t="shared" si="42"/>
        <v>1056</v>
      </c>
      <c r="B1115" t="s">
        <v>2400</v>
      </c>
      <c r="D1115" s="1" t="s">
        <v>4</v>
      </c>
      <c r="E1115" s="1" t="s">
        <v>8</v>
      </c>
      <c r="F1115" s="1" t="s">
        <v>50</v>
      </c>
      <c r="G1115" s="1" t="s">
        <v>50</v>
      </c>
      <c r="H1115" s="1"/>
      <c r="I1115" s="1" t="s">
        <v>50</v>
      </c>
      <c r="J1115" s="1" t="s">
        <v>50</v>
      </c>
      <c r="K1115" s="1" t="s">
        <v>50</v>
      </c>
      <c r="L1115" s="1"/>
      <c r="M1115" s="1" t="s">
        <v>50</v>
      </c>
      <c r="N1115" s="1" t="s">
        <v>50</v>
      </c>
      <c r="O1115" s="1" t="s">
        <v>50</v>
      </c>
      <c r="P1115" s="13" t="s">
        <v>2063</v>
      </c>
      <c r="Q1115" s="1" t="s">
        <v>104</v>
      </c>
      <c r="R1115" s="1" t="s">
        <v>104</v>
      </c>
      <c r="S1115" s="1" t="s">
        <v>104</v>
      </c>
      <c r="T1115" s="1" t="s">
        <v>104</v>
      </c>
      <c r="U1115" s="1" t="s">
        <v>104</v>
      </c>
      <c r="V1115" s="1" t="s">
        <v>104</v>
      </c>
      <c r="W1115" s="1" t="s">
        <v>104</v>
      </c>
      <c r="X1115" s="1" t="s">
        <v>727</v>
      </c>
      <c r="Y1115" s="1"/>
      <c r="Z1115" s="8"/>
      <c r="AA1115" s="8"/>
      <c r="AB1115" s="8">
        <v>1</v>
      </c>
      <c r="AC1115" s="8"/>
      <c r="AD1115" s="8"/>
      <c r="AE1115" s="8">
        <v>1</v>
      </c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>
        <v>1</v>
      </c>
      <c r="AY1115" s="8">
        <v>1</v>
      </c>
      <c r="AZ1115" s="8">
        <v>1</v>
      </c>
      <c r="BA1115" s="8"/>
      <c r="BB1115" s="1"/>
      <c r="BL1115" s="58"/>
      <c r="BP1115" t="str">
        <f t="shared" si="43"/>
        <v>PsychicGround</v>
      </c>
      <c r="BQ1115" t="s">
        <v>2</v>
      </c>
      <c r="BR1115">
        <v>8</v>
      </c>
    </row>
    <row r="1116" spans="1:70" x14ac:dyDescent="0.25">
      <c r="A1116">
        <f t="shared" si="42"/>
        <v>1057</v>
      </c>
      <c r="B1116" t="s">
        <v>2401</v>
      </c>
      <c r="D1116" s="1" t="s">
        <v>4</v>
      </c>
      <c r="E1116" s="1" t="s">
        <v>8</v>
      </c>
      <c r="F1116" s="1" t="s">
        <v>50</v>
      </c>
      <c r="G1116" s="1" t="s">
        <v>50</v>
      </c>
      <c r="H1116" s="1"/>
      <c r="I1116" s="1" t="s">
        <v>50</v>
      </c>
      <c r="J1116" s="1" t="s">
        <v>50</v>
      </c>
      <c r="K1116" s="1" t="s">
        <v>50</v>
      </c>
      <c r="L1116" s="1"/>
      <c r="M1116" s="1" t="s">
        <v>104</v>
      </c>
      <c r="N1116" s="1" t="s">
        <v>50</v>
      </c>
      <c r="O1116" s="1" t="s">
        <v>50</v>
      </c>
      <c r="P1116" s="13" t="s">
        <v>2063</v>
      </c>
      <c r="Q1116" s="1" t="s">
        <v>104</v>
      </c>
      <c r="R1116" s="1" t="s">
        <v>104</v>
      </c>
      <c r="S1116" s="1" t="s">
        <v>104</v>
      </c>
      <c r="T1116" s="1" t="s">
        <v>104</v>
      </c>
      <c r="U1116" s="1" t="s">
        <v>104</v>
      </c>
      <c r="V1116" s="1" t="s">
        <v>104</v>
      </c>
      <c r="W1116" s="1" t="s">
        <v>104</v>
      </c>
      <c r="X1116" s="1" t="s">
        <v>727</v>
      </c>
      <c r="Y1116" s="1"/>
      <c r="Z1116" s="8"/>
      <c r="AA1116" s="8"/>
      <c r="AB1116" s="8">
        <v>1</v>
      </c>
      <c r="AC1116" s="8"/>
      <c r="AD1116" s="8"/>
      <c r="AE1116" s="8">
        <v>1</v>
      </c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>
        <v>1</v>
      </c>
      <c r="AY1116" s="8">
        <v>1</v>
      </c>
      <c r="AZ1116" s="8">
        <v>1</v>
      </c>
      <c r="BA1116" s="8"/>
      <c r="BB1116" s="1"/>
      <c r="BL1116" s="58"/>
      <c r="BP1116" t="str">
        <f t="shared" si="43"/>
        <v>PsychicGround</v>
      </c>
      <c r="BQ1116" t="s">
        <v>2</v>
      </c>
      <c r="BR1116">
        <v>8</v>
      </c>
    </row>
    <row r="1117" spans="1:70" x14ac:dyDescent="0.25">
      <c r="A1117">
        <f t="shared" si="42"/>
        <v>1058</v>
      </c>
      <c r="B1117" t="s">
        <v>2402</v>
      </c>
      <c r="D1117" s="1" t="s">
        <v>4</v>
      </c>
      <c r="E1117" s="1" t="s">
        <v>8</v>
      </c>
      <c r="F1117" s="1" t="s">
        <v>50</v>
      </c>
      <c r="G1117" s="1" t="s">
        <v>50</v>
      </c>
      <c r="H1117" s="1" t="s">
        <v>50</v>
      </c>
      <c r="I1117" s="1" t="s">
        <v>50</v>
      </c>
      <c r="J1117" s="1" t="s">
        <v>50</v>
      </c>
      <c r="K1117" s="1" t="s">
        <v>50</v>
      </c>
      <c r="L1117" s="1"/>
      <c r="M1117" s="1" t="s">
        <v>104</v>
      </c>
      <c r="N1117" s="1" t="s">
        <v>50</v>
      </c>
      <c r="O1117" s="1" t="s">
        <v>50</v>
      </c>
      <c r="P1117" s="13" t="s">
        <v>2063</v>
      </c>
      <c r="Q1117" s="1" t="s">
        <v>50</v>
      </c>
      <c r="R1117" s="1" t="s">
        <v>50</v>
      </c>
      <c r="S1117" s="1" t="s">
        <v>50</v>
      </c>
      <c r="T1117" s="1" t="s">
        <v>50</v>
      </c>
      <c r="U1117" s="1" t="s">
        <v>50</v>
      </c>
      <c r="V1117" s="1" t="s">
        <v>50</v>
      </c>
      <c r="W1117" s="1" t="s">
        <v>50</v>
      </c>
      <c r="X1117" s="1" t="s">
        <v>727</v>
      </c>
      <c r="Y1117" s="1"/>
      <c r="Z1117" s="8"/>
      <c r="AA1117" s="8"/>
      <c r="AB1117" s="8">
        <v>1</v>
      </c>
      <c r="AC1117" s="8"/>
      <c r="AD1117" s="8"/>
      <c r="AE1117" s="8">
        <v>1</v>
      </c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>
        <v>1</v>
      </c>
      <c r="AY1117" s="8">
        <v>1</v>
      </c>
      <c r="AZ1117" s="8">
        <v>1</v>
      </c>
      <c r="BA1117" s="8"/>
      <c r="BB1117" s="1"/>
      <c r="BK1117">
        <v>3</v>
      </c>
      <c r="BL1117" s="58"/>
      <c r="BP1117" t="str">
        <f t="shared" si="43"/>
        <v>PsychicGround</v>
      </c>
      <c r="BR1117">
        <v>8</v>
      </c>
    </row>
    <row r="1118" spans="1:70" x14ac:dyDescent="0.25">
      <c r="A1118">
        <f t="shared" si="42"/>
        <v>1059</v>
      </c>
      <c r="B1118" t="s">
        <v>2403</v>
      </c>
      <c r="D1118" s="1" t="s">
        <v>3</v>
      </c>
      <c r="E1118" s="1">
        <v>0</v>
      </c>
      <c r="F1118" s="1" t="s">
        <v>50</v>
      </c>
      <c r="G1118" s="1" t="s">
        <v>50</v>
      </c>
      <c r="H1118" s="1"/>
      <c r="I1118" s="1" t="s">
        <v>50</v>
      </c>
      <c r="J1118" s="1" t="s">
        <v>50</v>
      </c>
      <c r="K1118" s="1" t="s">
        <v>50</v>
      </c>
      <c r="L1118" s="1"/>
      <c r="M1118" s="1" t="s">
        <v>50</v>
      </c>
      <c r="N1118" s="1" t="s">
        <v>50</v>
      </c>
      <c r="O1118" s="1" t="s">
        <v>50</v>
      </c>
      <c r="P1118" s="1" t="s">
        <v>2070</v>
      </c>
      <c r="Q1118" s="1" t="s">
        <v>104</v>
      </c>
      <c r="R1118" s="1" t="s">
        <v>104</v>
      </c>
      <c r="S1118" s="1" t="s">
        <v>104</v>
      </c>
      <c r="T1118" s="1" t="s">
        <v>104</v>
      </c>
      <c r="U1118" s="1" t="s">
        <v>104</v>
      </c>
      <c r="V1118" s="1" t="s">
        <v>104</v>
      </c>
      <c r="W1118" s="1" t="s">
        <v>104</v>
      </c>
      <c r="X1118" s="1" t="s">
        <v>1705</v>
      </c>
      <c r="Y1118" s="1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>
        <v>1</v>
      </c>
      <c r="AT1118" s="8">
        <v>1</v>
      </c>
      <c r="AU1118" s="8"/>
      <c r="AV1118" s="8"/>
      <c r="AW1118" s="8"/>
      <c r="AX1118" s="8">
        <v>1</v>
      </c>
      <c r="AY1118" s="8">
        <v>1</v>
      </c>
      <c r="AZ1118" s="8"/>
      <c r="BA1118" s="8"/>
      <c r="BB1118" s="1"/>
      <c r="BL1118" s="58"/>
      <c r="BP1118" t="str">
        <f t="shared" si="43"/>
        <v>Electric0</v>
      </c>
      <c r="BQ1118" t="s">
        <v>2</v>
      </c>
      <c r="BR1118">
        <v>9</v>
      </c>
    </row>
    <row r="1119" spans="1:70" x14ac:dyDescent="0.25">
      <c r="A1119">
        <f t="shared" si="42"/>
        <v>1060</v>
      </c>
      <c r="B1119" t="s">
        <v>2404</v>
      </c>
      <c r="D1119" s="1" t="s">
        <v>3</v>
      </c>
      <c r="E1119" s="1" t="s">
        <v>7</v>
      </c>
      <c r="F1119" s="1" t="s">
        <v>50</v>
      </c>
      <c r="G1119" s="1" t="s">
        <v>50</v>
      </c>
      <c r="H1119" s="1" t="s">
        <v>50</v>
      </c>
      <c r="I1119" s="1" t="s">
        <v>50</v>
      </c>
      <c r="J1119" s="1" t="s">
        <v>50</v>
      </c>
      <c r="K1119" s="1" t="s">
        <v>50</v>
      </c>
      <c r="L1119" s="1"/>
      <c r="M1119" s="1" t="s">
        <v>104</v>
      </c>
      <c r="N1119" s="1" t="s">
        <v>50</v>
      </c>
      <c r="O1119" s="1" t="s">
        <v>50</v>
      </c>
      <c r="P1119" s="1" t="s">
        <v>2070</v>
      </c>
      <c r="Q1119" s="1" t="s">
        <v>104</v>
      </c>
      <c r="R1119" s="1" t="s">
        <v>104</v>
      </c>
      <c r="S1119" s="1" t="s">
        <v>104</v>
      </c>
      <c r="T1119" s="1" t="s">
        <v>104</v>
      </c>
      <c r="U1119" s="1" t="s">
        <v>104</v>
      </c>
      <c r="V1119" s="1" t="s">
        <v>104</v>
      </c>
      <c r="W1119" s="1" t="s">
        <v>104</v>
      </c>
      <c r="X1119" s="1" t="s">
        <v>1705</v>
      </c>
      <c r="Y1119" s="1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>
        <v>1</v>
      </c>
      <c r="AT1119" s="8">
        <v>1</v>
      </c>
      <c r="AU1119" s="8"/>
      <c r="AV1119" s="8"/>
      <c r="AW1119" s="8"/>
      <c r="AX1119" s="8">
        <v>1</v>
      </c>
      <c r="AY1119" s="8">
        <v>1</v>
      </c>
      <c r="AZ1119" s="8"/>
      <c r="BA1119" s="8"/>
      <c r="BB1119" s="1"/>
      <c r="BL1119" s="58">
        <v>1</v>
      </c>
      <c r="BP1119" t="str">
        <f t="shared" si="43"/>
        <v>ElectricFairy</v>
      </c>
      <c r="BR1119">
        <v>9</v>
      </c>
    </row>
    <row r="1120" spans="1:70" x14ac:dyDescent="0.25">
      <c r="A1120">
        <f t="shared" si="42"/>
        <v>1061</v>
      </c>
      <c r="B1120" t="s">
        <v>2405</v>
      </c>
      <c r="D1120" s="1" t="s">
        <v>3</v>
      </c>
      <c r="E1120" s="1" t="s">
        <v>5</v>
      </c>
      <c r="F1120" s="1" t="s">
        <v>50</v>
      </c>
      <c r="G1120" s="1" t="s">
        <v>50</v>
      </c>
      <c r="H1120" s="1" t="s">
        <v>50</v>
      </c>
      <c r="I1120" s="1" t="s">
        <v>50</v>
      </c>
      <c r="J1120" s="1" t="s">
        <v>50</v>
      </c>
      <c r="K1120" s="1" t="s">
        <v>50</v>
      </c>
      <c r="L1120" s="1"/>
      <c r="M1120" s="1" t="s">
        <v>104</v>
      </c>
      <c r="N1120" s="1" t="s">
        <v>50</v>
      </c>
      <c r="O1120" s="1" t="s">
        <v>50</v>
      </c>
      <c r="P1120" s="1" t="s">
        <v>2070</v>
      </c>
      <c r="Q1120" s="1" t="s">
        <v>104</v>
      </c>
      <c r="R1120" s="1" t="s">
        <v>104</v>
      </c>
      <c r="S1120" s="1" t="s">
        <v>104</v>
      </c>
      <c r="T1120" s="1" t="s">
        <v>104</v>
      </c>
      <c r="U1120" s="1" t="s">
        <v>104</v>
      </c>
      <c r="V1120" s="1" t="s">
        <v>104</v>
      </c>
      <c r="W1120" s="1" t="s">
        <v>104</v>
      </c>
      <c r="X1120" s="1" t="s">
        <v>1705</v>
      </c>
      <c r="Y1120" s="1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>
        <v>1</v>
      </c>
      <c r="AT1120" s="8">
        <v>1</v>
      </c>
      <c r="AU1120" s="8"/>
      <c r="AV1120" s="8"/>
      <c r="AW1120" s="8"/>
      <c r="AX1120" s="8">
        <v>1</v>
      </c>
      <c r="AY1120" s="8">
        <v>1</v>
      </c>
      <c r="AZ1120" s="8"/>
      <c r="BA1120" s="8"/>
      <c r="BB1120" s="1"/>
      <c r="BK1120">
        <v>9</v>
      </c>
      <c r="BL1120" s="58"/>
      <c r="BP1120" t="str">
        <f t="shared" si="43"/>
        <v>ElectricIce</v>
      </c>
      <c r="BR1120">
        <v>9</v>
      </c>
    </row>
    <row r="1121" spans="1:70" x14ac:dyDescent="0.25">
      <c r="A1121">
        <f t="shared" si="42"/>
        <v>1062</v>
      </c>
      <c r="B1121" t="s">
        <v>2406</v>
      </c>
      <c r="C1121" t="s">
        <v>2410</v>
      </c>
      <c r="D1121" s="1" t="s">
        <v>13</v>
      </c>
      <c r="E1121" s="1">
        <v>0</v>
      </c>
      <c r="F1121" s="1" t="s">
        <v>50</v>
      </c>
      <c r="G1121" s="1" t="s">
        <v>50</v>
      </c>
      <c r="H1121" s="1"/>
      <c r="I1121" s="1" t="s">
        <v>50</v>
      </c>
      <c r="J1121" s="1" t="s">
        <v>50</v>
      </c>
      <c r="K1121" s="1" t="s">
        <v>50</v>
      </c>
      <c r="L1121" s="1"/>
      <c r="M1121" s="1" t="s">
        <v>50</v>
      </c>
      <c r="N1121" s="1" t="s">
        <v>50</v>
      </c>
      <c r="O1121" s="1" t="s">
        <v>50</v>
      </c>
      <c r="P1121" s="1" t="s">
        <v>2070</v>
      </c>
      <c r="Q1121" s="1" t="s">
        <v>104</v>
      </c>
      <c r="R1121" s="1" t="s">
        <v>104</v>
      </c>
      <c r="S1121" s="1" t="s">
        <v>104</v>
      </c>
      <c r="T1121" s="1" t="s">
        <v>104</v>
      </c>
      <c r="U1121" s="1" t="s">
        <v>104</v>
      </c>
      <c r="V1121" s="1" t="s">
        <v>104</v>
      </c>
      <c r="W1121" s="1" t="s">
        <v>104</v>
      </c>
      <c r="X1121" s="1" t="s">
        <v>2408</v>
      </c>
      <c r="Y1121" s="1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>
        <v>1</v>
      </c>
      <c r="AT1121" s="8">
        <v>1</v>
      </c>
      <c r="AU1121" s="8"/>
      <c r="AV1121" s="8"/>
      <c r="AW1121" s="8"/>
      <c r="AX1121" s="8">
        <v>1</v>
      </c>
      <c r="AY1121" s="8">
        <v>1</v>
      </c>
      <c r="AZ1121" s="8"/>
      <c r="BA1121" s="8"/>
      <c r="BB1121" s="1"/>
      <c r="BL1121" s="58"/>
      <c r="BP1121" t="str">
        <f t="shared" si="43"/>
        <v>Fire0</v>
      </c>
      <c r="BQ1121" t="s">
        <v>2</v>
      </c>
      <c r="BR1121">
        <v>3</v>
      </c>
    </row>
    <row r="1122" spans="1:70" x14ac:dyDescent="0.25">
      <c r="A1122">
        <f t="shared" si="42"/>
        <v>1063</v>
      </c>
      <c r="B1122" t="s">
        <v>2407</v>
      </c>
      <c r="C1122" t="s">
        <v>2410</v>
      </c>
      <c r="D1122" s="1" t="s">
        <v>13</v>
      </c>
      <c r="E1122" s="1">
        <v>0</v>
      </c>
      <c r="F1122" s="1" t="s">
        <v>50</v>
      </c>
      <c r="G1122" s="1" t="s">
        <v>50</v>
      </c>
      <c r="H1122" s="1" t="s">
        <v>50</v>
      </c>
      <c r="I1122" s="1" t="s">
        <v>50</v>
      </c>
      <c r="J1122" s="1" t="s">
        <v>50</v>
      </c>
      <c r="K1122" s="1" t="s">
        <v>50</v>
      </c>
      <c r="L1122" s="1"/>
      <c r="M1122" s="1" t="s">
        <v>104</v>
      </c>
      <c r="N1122" s="1" t="s">
        <v>50</v>
      </c>
      <c r="O1122" s="1" t="s">
        <v>50</v>
      </c>
      <c r="P1122" s="1" t="s">
        <v>2070</v>
      </c>
      <c r="Q1122" s="1" t="s">
        <v>104</v>
      </c>
      <c r="R1122" s="1" t="s">
        <v>104</v>
      </c>
      <c r="S1122" s="1" t="s">
        <v>104</v>
      </c>
      <c r="T1122" s="1" t="s">
        <v>104</v>
      </c>
      <c r="U1122" s="1" t="s">
        <v>104</v>
      </c>
      <c r="V1122" s="1" t="s">
        <v>104</v>
      </c>
      <c r="W1122" s="1" t="s">
        <v>104</v>
      </c>
      <c r="X1122" s="1" t="s">
        <v>2408</v>
      </c>
      <c r="Y1122" s="1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>
        <v>1</v>
      </c>
      <c r="AT1122" s="8">
        <v>1</v>
      </c>
      <c r="AU1122" s="8"/>
      <c r="AV1122" s="8"/>
      <c r="AW1122" s="8"/>
      <c r="AX1122" s="8">
        <v>1</v>
      </c>
      <c r="AY1122" s="8">
        <v>1</v>
      </c>
      <c r="AZ1122" s="8"/>
      <c r="BA1122" s="8"/>
      <c r="BB1122" s="1"/>
      <c r="BL1122" s="58"/>
      <c r="BP1122" t="str">
        <f t="shared" si="43"/>
        <v>Fire0</v>
      </c>
      <c r="BR1122">
        <v>3</v>
      </c>
    </row>
    <row r="1123" spans="1:70" x14ac:dyDescent="0.25">
      <c r="A1123" s="1" t="s">
        <v>50</v>
      </c>
      <c r="B1123" t="s">
        <v>2406</v>
      </c>
      <c r="C1123" t="s">
        <v>2409</v>
      </c>
      <c r="D1123" s="1" t="s">
        <v>10</v>
      </c>
      <c r="E1123" s="1">
        <v>0</v>
      </c>
      <c r="F1123" s="1" t="s">
        <v>50</v>
      </c>
      <c r="G1123" s="1" t="s">
        <v>50</v>
      </c>
      <c r="H1123" s="1"/>
      <c r="I1123" s="1" t="s">
        <v>50</v>
      </c>
      <c r="J1123" s="1" t="s">
        <v>50</v>
      </c>
      <c r="K1123" s="1" t="s">
        <v>50</v>
      </c>
      <c r="L1123" s="1"/>
      <c r="M1123" s="1" t="s">
        <v>50</v>
      </c>
      <c r="N1123" s="1" t="s">
        <v>50</v>
      </c>
      <c r="O1123" s="1" t="s">
        <v>50</v>
      </c>
      <c r="P1123" s="1" t="s">
        <v>2070</v>
      </c>
      <c r="Q1123" s="1" t="s">
        <v>104</v>
      </c>
      <c r="R1123" s="1" t="s">
        <v>104</v>
      </c>
      <c r="S1123" s="1" t="s">
        <v>104</v>
      </c>
      <c r="T1123" s="1" t="s">
        <v>104</v>
      </c>
      <c r="U1123" s="1" t="s">
        <v>104</v>
      </c>
      <c r="V1123" s="1" t="s">
        <v>104</v>
      </c>
      <c r="W1123" s="1" t="s">
        <v>104</v>
      </c>
      <c r="X1123" s="1" t="s">
        <v>2329</v>
      </c>
      <c r="Y1123" s="1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>
        <v>1</v>
      </c>
      <c r="AT1123" s="8">
        <v>1</v>
      </c>
      <c r="AU1123" s="8"/>
      <c r="AV1123" s="8"/>
      <c r="AW1123" s="8"/>
      <c r="AX1123" s="8">
        <v>1</v>
      </c>
      <c r="AY1123" s="8">
        <v>1</v>
      </c>
      <c r="AZ1123" s="8"/>
      <c r="BA1123" s="8"/>
      <c r="BB1123" s="1"/>
      <c r="BL1123" s="58"/>
      <c r="BP1123" t="str">
        <f t="shared" si="43"/>
        <v>Poison0</v>
      </c>
      <c r="BQ1123" t="s">
        <v>2</v>
      </c>
      <c r="BR1123">
        <v>3</v>
      </c>
    </row>
    <row r="1124" spans="1:70" x14ac:dyDescent="0.25">
      <c r="A1124" s="1" t="s">
        <v>50</v>
      </c>
      <c r="B1124" t="s">
        <v>2407</v>
      </c>
      <c r="C1124" t="s">
        <v>2409</v>
      </c>
      <c r="D1124" s="1" t="s">
        <v>10</v>
      </c>
      <c r="E1124" s="1">
        <v>0</v>
      </c>
      <c r="F1124" s="1" t="s">
        <v>50</v>
      </c>
      <c r="G1124" s="1" t="s">
        <v>50</v>
      </c>
      <c r="H1124" s="1" t="s">
        <v>50</v>
      </c>
      <c r="I1124" s="1" t="s">
        <v>50</v>
      </c>
      <c r="J1124" s="1" t="s">
        <v>50</v>
      </c>
      <c r="K1124" s="1" t="s">
        <v>50</v>
      </c>
      <c r="L1124" s="1"/>
      <c r="M1124" s="1" t="s">
        <v>104</v>
      </c>
      <c r="N1124" s="1" t="s">
        <v>50</v>
      </c>
      <c r="O1124" s="1" t="s">
        <v>50</v>
      </c>
      <c r="P1124" s="1" t="s">
        <v>2070</v>
      </c>
      <c r="Q1124" s="1" t="s">
        <v>104</v>
      </c>
      <c r="R1124" s="1" t="s">
        <v>104</v>
      </c>
      <c r="S1124" s="1" t="s">
        <v>104</v>
      </c>
      <c r="T1124" s="1" t="s">
        <v>104</v>
      </c>
      <c r="U1124" s="1" t="s">
        <v>104</v>
      </c>
      <c r="V1124" s="1" t="s">
        <v>104</v>
      </c>
      <c r="W1124" s="1" t="s">
        <v>104</v>
      </c>
      <c r="X1124" s="1" t="s">
        <v>2329</v>
      </c>
      <c r="Y1124" s="1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>
        <v>1</v>
      </c>
      <c r="AT1124" s="8">
        <v>1</v>
      </c>
      <c r="AU1124" s="8"/>
      <c r="AV1124" s="8"/>
      <c r="AW1124" s="8"/>
      <c r="AX1124" s="8">
        <v>1</v>
      </c>
      <c r="AY1124" s="8">
        <v>1</v>
      </c>
      <c r="AZ1124" s="8"/>
      <c r="BA1124" s="8"/>
      <c r="BB1124" s="1"/>
      <c r="BL1124" s="58"/>
      <c r="BP1124" t="str">
        <f t="shared" si="43"/>
        <v>Poison0</v>
      </c>
      <c r="BR1124">
        <v>3</v>
      </c>
    </row>
    <row r="1125" spans="1:70" x14ac:dyDescent="0.25">
      <c r="A1125">
        <f>A1122+1</f>
        <v>1064</v>
      </c>
      <c r="B1125" t="s">
        <v>2411</v>
      </c>
      <c r="D1125" s="1" t="s">
        <v>15</v>
      </c>
      <c r="E1125" s="1">
        <v>0</v>
      </c>
      <c r="F1125" s="1" t="s">
        <v>50</v>
      </c>
      <c r="G1125" s="1" t="s">
        <v>50</v>
      </c>
      <c r="H1125" s="1" t="s">
        <v>50</v>
      </c>
      <c r="I1125" s="1" t="s">
        <v>50</v>
      </c>
      <c r="J1125" s="1" t="s">
        <v>50</v>
      </c>
      <c r="K1125" s="1" t="s">
        <v>50</v>
      </c>
      <c r="L1125" s="1"/>
      <c r="M1125" s="1" t="s">
        <v>50</v>
      </c>
      <c r="N1125" s="1" t="s">
        <v>50</v>
      </c>
      <c r="O1125" s="1" t="s">
        <v>50</v>
      </c>
      <c r="P1125" s="1" t="s">
        <v>2070</v>
      </c>
      <c r="Q1125" s="1" t="s">
        <v>104</v>
      </c>
      <c r="R1125" s="1" t="s">
        <v>104</v>
      </c>
      <c r="S1125" s="1" t="s">
        <v>104</v>
      </c>
      <c r="T1125" s="1" t="s">
        <v>104</v>
      </c>
      <c r="U1125" s="1" t="s">
        <v>104</v>
      </c>
      <c r="V1125" s="1" t="s">
        <v>104</v>
      </c>
      <c r="W1125" s="1" t="s">
        <v>104</v>
      </c>
      <c r="X1125" s="1" t="s">
        <v>2329</v>
      </c>
      <c r="Y1125" s="1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>
        <v>1</v>
      </c>
      <c r="AL1125" s="8">
        <v>1</v>
      </c>
      <c r="AM1125" s="8">
        <v>1</v>
      </c>
      <c r="AN1125" s="8">
        <v>1</v>
      </c>
      <c r="AO1125" s="8"/>
      <c r="AP1125" s="8"/>
      <c r="AQ1125" s="8"/>
      <c r="AR1125" s="8"/>
      <c r="AS1125" s="8">
        <v>1</v>
      </c>
      <c r="AT1125" s="8">
        <v>1</v>
      </c>
      <c r="AU1125" s="8"/>
      <c r="AV1125" s="8"/>
      <c r="AW1125" s="8"/>
      <c r="AX1125" s="8">
        <v>1</v>
      </c>
      <c r="AY1125" s="8">
        <v>1</v>
      </c>
      <c r="AZ1125" s="8"/>
      <c r="BA1125" s="8"/>
      <c r="BB1125" s="1"/>
      <c r="BL1125" s="58"/>
      <c r="BP1125" t="str">
        <f t="shared" si="43"/>
        <v>Water0</v>
      </c>
      <c r="BR1125">
        <v>7</v>
      </c>
    </row>
    <row r="1126" spans="1:70" x14ac:dyDescent="0.25">
      <c r="A1126">
        <f t="shared" ref="A1126:A1231" si="44">A1125+1</f>
        <v>1065</v>
      </c>
      <c r="B1126" t="s">
        <v>2412</v>
      </c>
      <c r="D1126" s="1" t="s">
        <v>17</v>
      </c>
      <c r="E1126" s="1" t="s">
        <v>10</v>
      </c>
      <c r="F1126" s="1" t="s">
        <v>50</v>
      </c>
      <c r="G1126" s="1" t="s">
        <v>50</v>
      </c>
      <c r="H1126" s="1" t="s">
        <v>50</v>
      </c>
      <c r="I1126" s="1" t="s">
        <v>50</v>
      </c>
      <c r="J1126" s="1" t="s">
        <v>50</v>
      </c>
      <c r="K1126" s="1" t="s">
        <v>50</v>
      </c>
      <c r="L1126" s="1"/>
      <c r="M1126" s="1" t="s">
        <v>50</v>
      </c>
      <c r="N1126" s="1" t="s">
        <v>50</v>
      </c>
      <c r="O1126" s="1" t="s">
        <v>50</v>
      </c>
      <c r="P1126" s="1" t="s">
        <v>2422</v>
      </c>
      <c r="Q1126" s="1" t="s">
        <v>104</v>
      </c>
      <c r="R1126" s="1" t="s">
        <v>104</v>
      </c>
      <c r="S1126" s="1" t="s">
        <v>104</v>
      </c>
      <c r="T1126" s="1" t="s">
        <v>104</v>
      </c>
      <c r="U1126" s="1" t="s">
        <v>104</v>
      </c>
      <c r="V1126" s="1" t="s">
        <v>104</v>
      </c>
      <c r="W1126" s="1" t="s">
        <v>104</v>
      </c>
      <c r="X1126" s="1" t="s">
        <v>2076</v>
      </c>
      <c r="Y1126" s="1"/>
      <c r="Z1126" s="8"/>
      <c r="AA1126" s="8"/>
      <c r="AB1126" s="8"/>
      <c r="AC1126" s="8"/>
      <c r="AD1126" s="8">
        <v>1</v>
      </c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>
        <v>1</v>
      </c>
      <c r="AZ1126" s="8"/>
      <c r="BA1126" s="8"/>
      <c r="BB1126" s="1"/>
      <c r="BK1126">
        <v>2</v>
      </c>
      <c r="BL1126" s="58"/>
      <c r="BP1126" t="str">
        <f t="shared" si="43"/>
        <v>BugPoison</v>
      </c>
      <c r="BR1126">
        <v>3</v>
      </c>
    </row>
    <row r="1127" spans="1:70" x14ac:dyDescent="0.25">
      <c r="A1127">
        <f t="shared" si="44"/>
        <v>1066</v>
      </c>
      <c r="B1127" t="s">
        <v>2413</v>
      </c>
      <c r="D1127" s="1" t="s">
        <v>17</v>
      </c>
      <c r="E1127" s="1" t="s">
        <v>9</v>
      </c>
      <c r="F1127" s="1" t="s">
        <v>50</v>
      </c>
      <c r="G1127" s="1" t="s">
        <v>50</v>
      </c>
      <c r="H1127" s="1" t="s">
        <v>50</v>
      </c>
      <c r="I1127" s="1" t="s">
        <v>50</v>
      </c>
      <c r="J1127" s="1" t="s">
        <v>50</v>
      </c>
      <c r="K1127" s="1" t="s">
        <v>50</v>
      </c>
      <c r="L1127" s="1"/>
      <c r="M1127" s="1" t="s">
        <v>50</v>
      </c>
      <c r="N1127" s="1" t="s">
        <v>50</v>
      </c>
      <c r="O1127" s="1" t="s">
        <v>50</v>
      </c>
      <c r="P1127" s="1" t="s">
        <v>2422</v>
      </c>
      <c r="Q1127" s="1" t="s">
        <v>104</v>
      </c>
      <c r="R1127" s="1" t="s">
        <v>104</v>
      </c>
      <c r="S1127" s="1" t="s">
        <v>104</v>
      </c>
      <c r="T1127" s="1" t="s">
        <v>104</v>
      </c>
      <c r="U1127" s="1" t="s">
        <v>104</v>
      </c>
      <c r="V1127" s="1" t="s">
        <v>104</v>
      </c>
      <c r="W1127" s="1" t="s">
        <v>104</v>
      </c>
      <c r="X1127" s="1" t="s">
        <v>2076</v>
      </c>
      <c r="Y1127" s="1"/>
      <c r="Z1127" s="8"/>
      <c r="AA1127" s="8"/>
      <c r="AB1127" s="8"/>
      <c r="AC1127" s="8"/>
      <c r="AD1127" s="8">
        <v>1</v>
      </c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>
        <v>1</v>
      </c>
      <c r="AZ1127" s="8"/>
      <c r="BA1127" s="8"/>
      <c r="BB1127" s="1"/>
      <c r="BL1127" s="58"/>
      <c r="BP1127" t="str">
        <f t="shared" si="43"/>
        <v>BugRock</v>
      </c>
      <c r="BR1127">
        <v>3</v>
      </c>
    </row>
    <row r="1128" spans="1:70" x14ac:dyDescent="0.25">
      <c r="A1128">
        <f t="shared" si="44"/>
        <v>1067</v>
      </c>
      <c r="B1128" t="s">
        <v>2414</v>
      </c>
      <c r="D1128" s="1" t="s">
        <v>4</v>
      </c>
      <c r="E1128" s="1" t="s">
        <v>42</v>
      </c>
      <c r="F1128" s="1" t="s">
        <v>50</v>
      </c>
      <c r="G1128" s="1" t="s">
        <v>50</v>
      </c>
      <c r="H1128" s="1"/>
      <c r="I1128" s="1" t="s">
        <v>50</v>
      </c>
      <c r="J1128" s="1" t="s">
        <v>50</v>
      </c>
      <c r="K1128" s="1" t="s">
        <v>50</v>
      </c>
      <c r="L1128" s="1"/>
      <c r="M1128" s="1" t="s">
        <v>50</v>
      </c>
      <c r="N1128" s="1" t="s">
        <v>50</v>
      </c>
      <c r="O1128" s="1" t="s">
        <v>50</v>
      </c>
      <c r="P1128" s="1" t="s">
        <v>2070</v>
      </c>
      <c r="Q1128" s="1" t="s">
        <v>104</v>
      </c>
      <c r="R1128" s="1" t="s">
        <v>104</v>
      </c>
      <c r="S1128" s="1" t="s">
        <v>104</v>
      </c>
      <c r="T1128" s="1" t="s">
        <v>104</v>
      </c>
      <c r="U1128" s="1" t="s">
        <v>104</v>
      </c>
      <c r="V1128" s="1" t="s">
        <v>104</v>
      </c>
      <c r="W1128" s="1" t="s">
        <v>104</v>
      </c>
      <c r="X1128" s="1" t="s">
        <v>2416</v>
      </c>
      <c r="Y1128" s="1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>
        <v>1</v>
      </c>
      <c r="AV1128" s="8"/>
      <c r="AW1128" s="8"/>
      <c r="AX1128" s="8"/>
      <c r="AY1128" s="8"/>
      <c r="AZ1128" s="8"/>
      <c r="BA1128" s="8"/>
      <c r="BB1128" s="1"/>
      <c r="BL1128" s="58"/>
      <c r="BP1128" t="str">
        <f t="shared" si="43"/>
        <v>PsychicCosmic</v>
      </c>
      <c r="BR1128">
        <v>1</v>
      </c>
    </row>
    <row r="1129" spans="1:70" x14ac:dyDescent="0.25">
      <c r="A1129">
        <f t="shared" si="44"/>
        <v>1068</v>
      </c>
      <c r="B1129" t="s">
        <v>2415</v>
      </c>
      <c r="D1129" s="1" t="s">
        <v>4</v>
      </c>
      <c r="E1129" s="1" t="s">
        <v>42</v>
      </c>
      <c r="F1129" s="1" t="s">
        <v>50</v>
      </c>
      <c r="G1129" s="1" t="s">
        <v>50</v>
      </c>
      <c r="H1129" s="1" t="s">
        <v>50</v>
      </c>
      <c r="I1129" s="1" t="s">
        <v>50</v>
      </c>
      <c r="J1129" s="1" t="s">
        <v>50</v>
      </c>
      <c r="K1129" s="1" t="s">
        <v>50</v>
      </c>
      <c r="L1129" s="1"/>
      <c r="M1129" s="1" t="s">
        <v>104</v>
      </c>
      <c r="N1129" s="1" t="s">
        <v>50</v>
      </c>
      <c r="O1129" s="1" t="s">
        <v>50</v>
      </c>
      <c r="P1129" s="1" t="s">
        <v>2070</v>
      </c>
      <c r="Q1129" s="1" t="s">
        <v>104</v>
      </c>
      <c r="R1129" s="1" t="s">
        <v>104</v>
      </c>
      <c r="S1129" s="1" t="s">
        <v>104</v>
      </c>
      <c r="T1129" s="1" t="s">
        <v>104</v>
      </c>
      <c r="U1129" s="1" t="s">
        <v>104</v>
      </c>
      <c r="V1129" s="1" t="s">
        <v>104</v>
      </c>
      <c r="W1129" s="1" t="s">
        <v>104</v>
      </c>
      <c r="X1129" s="1" t="s">
        <v>2416</v>
      </c>
      <c r="Y1129" s="1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>
        <v>1</v>
      </c>
      <c r="AV1129" s="8"/>
      <c r="AW1129" s="8"/>
      <c r="AX1129" s="8"/>
      <c r="AY1129" s="8"/>
      <c r="AZ1129" s="8"/>
      <c r="BA1129" s="8"/>
      <c r="BB1129" s="1"/>
      <c r="BK1129">
        <v>8</v>
      </c>
      <c r="BL1129" s="58"/>
      <c r="BP1129" t="str">
        <f t="shared" si="43"/>
        <v>PsychicCosmic</v>
      </c>
      <c r="BR1129">
        <v>2</v>
      </c>
    </row>
    <row r="1130" spans="1:70" x14ac:dyDescent="0.25">
      <c r="A1130">
        <f t="shared" si="44"/>
        <v>1069</v>
      </c>
      <c r="B1130" t="s">
        <v>2417</v>
      </c>
      <c r="D1130" s="1" t="s">
        <v>17</v>
      </c>
      <c r="E1130" s="1">
        <v>0</v>
      </c>
      <c r="F1130" s="1" t="s">
        <v>50</v>
      </c>
      <c r="G1130" s="1" t="s">
        <v>50</v>
      </c>
      <c r="H1130" s="1"/>
      <c r="I1130" s="1" t="s">
        <v>50</v>
      </c>
      <c r="J1130" s="1" t="s">
        <v>50</v>
      </c>
      <c r="K1130" s="1" t="s">
        <v>50</v>
      </c>
      <c r="L1130" s="1"/>
      <c r="M1130" s="1" t="s">
        <v>50</v>
      </c>
      <c r="N1130" s="1" t="s">
        <v>50</v>
      </c>
      <c r="O1130" s="1" t="s">
        <v>50</v>
      </c>
      <c r="P1130" s="1" t="s">
        <v>2348</v>
      </c>
      <c r="Q1130" s="1" t="s">
        <v>104</v>
      </c>
      <c r="R1130" s="1" t="s">
        <v>104</v>
      </c>
      <c r="S1130" s="1" t="s">
        <v>104</v>
      </c>
      <c r="T1130" s="1" t="s">
        <v>104</v>
      </c>
      <c r="U1130" s="1" t="s">
        <v>104</v>
      </c>
      <c r="V1130" s="1" t="s">
        <v>104</v>
      </c>
      <c r="W1130" s="1" t="s">
        <v>104</v>
      </c>
      <c r="X1130" s="1" t="s">
        <v>730</v>
      </c>
      <c r="Y1130" s="1"/>
      <c r="Z1130" s="8"/>
      <c r="AA1130" s="8"/>
      <c r="AB1130" s="8">
        <v>1</v>
      </c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>
        <v>1</v>
      </c>
      <c r="BA1130" s="8"/>
      <c r="BB1130" s="1"/>
      <c r="BL1130" s="58"/>
      <c r="BP1130" t="str">
        <f t="shared" si="43"/>
        <v>Bug0</v>
      </c>
      <c r="BR1130">
        <v>1</v>
      </c>
    </row>
    <row r="1131" spans="1:70" x14ac:dyDescent="0.25">
      <c r="A1131">
        <f t="shared" si="44"/>
        <v>1070</v>
      </c>
      <c r="B1131" t="s">
        <v>2418</v>
      </c>
      <c r="D1131" s="1" t="s">
        <v>17</v>
      </c>
      <c r="E1131" s="1">
        <v>0</v>
      </c>
      <c r="F1131" s="1" t="s">
        <v>50</v>
      </c>
      <c r="G1131" s="1" t="s">
        <v>50</v>
      </c>
      <c r="H1131" s="1"/>
      <c r="I1131" s="1" t="s">
        <v>50</v>
      </c>
      <c r="J1131" s="1" t="s">
        <v>50</v>
      </c>
      <c r="K1131" s="1" t="s">
        <v>50</v>
      </c>
      <c r="L1131" s="1"/>
      <c r="M1131" s="1" t="s">
        <v>104</v>
      </c>
      <c r="N1131" s="1" t="s">
        <v>50</v>
      </c>
      <c r="O1131" s="1" t="s">
        <v>50</v>
      </c>
      <c r="P1131" s="1" t="s">
        <v>2348</v>
      </c>
      <c r="Q1131" s="1" t="s">
        <v>104</v>
      </c>
      <c r="R1131" s="1" t="s">
        <v>104</v>
      </c>
      <c r="S1131" s="1" t="s">
        <v>104</v>
      </c>
      <c r="T1131" s="1" t="s">
        <v>104</v>
      </c>
      <c r="U1131" s="1" t="s">
        <v>104</v>
      </c>
      <c r="V1131" s="1" t="s">
        <v>104</v>
      </c>
      <c r="W1131" s="1" t="s">
        <v>104</v>
      </c>
      <c r="X1131" s="1" t="s">
        <v>730</v>
      </c>
      <c r="Y1131" s="1"/>
      <c r="Z1131" s="8"/>
      <c r="AA1131" s="8"/>
      <c r="AB1131" s="8">
        <v>1</v>
      </c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>
        <v>1</v>
      </c>
      <c r="BA1131" s="8"/>
      <c r="BB1131" s="1"/>
      <c r="BL1131" s="58"/>
      <c r="BP1131" t="str">
        <f t="shared" si="43"/>
        <v>Bug0</v>
      </c>
      <c r="BR1131">
        <v>1</v>
      </c>
    </row>
    <row r="1132" spans="1:70" x14ac:dyDescent="0.25">
      <c r="A1132">
        <f t="shared" si="44"/>
        <v>1071</v>
      </c>
      <c r="B1132" t="s">
        <v>2419</v>
      </c>
      <c r="D1132" s="1" t="s">
        <v>17</v>
      </c>
      <c r="E1132" s="1" t="s">
        <v>16</v>
      </c>
      <c r="F1132" s="1" t="s">
        <v>50</v>
      </c>
      <c r="G1132" s="1" t="s">
        <v>50</v>
      </c>
      <c r="H1132" s="1" t="s">
        <v>50</v>
      </c>
      <c r="I1132" s="1" t="s">
        <v>50</v>
      </c>
      <c r="J1132" s="1" t="s">
        <v>50</v>
      </c>
      <c r="K1132" s="1" t="s">
        <v>50</v>
      </c>
      <c r="L1132" s="1"/>
      <c r="M1132" s="1" t="s">
        <v>104</v>
      </c>
      <c r="N1132" s="1" t="s">
        <v>50</v>
      </c>
      <c r="O1132" s="1" t="s">
        <v>50</v>
      </c>
      <c r="P1132" s="1" t="s">
        <v>2348</v>
      </c>
      <c r="Q1132" s="1" t="s">
        <v>50</v>
      </c>
      <c r="R1132" s="1" t="s">
        <v>50</v>
      </c>
      <c r="S1132" s="1" t="s">
        <v>50</v>
      </c>
      <c r="T1132" s="1" t="s">
        <v>50</v>
      </c>
      <c r="U1132" s="1" t="s">
        <v>50</v>
      </c>
      <c r="V1132" s="1" t="s">
        <v>50</v>
      </c>
      <c r="W1132" s="1" t="s">
        <v>50</v>
      </c>
      <c r="X1132" s="1" t="s">
        <v>730</v>
      </c>
      <c r="Y1132" s="1"/>
      <c r="Z1132" s="8"/>
      <c r="AA1132" s="8"/>
      <c r="AB1132" s="8">
        <v>1</v>
      </c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>
        <v>1</v>
      </c>
      <c r="BA1132" s="8"/>
      <c r="BB1132" s="1"/>
      <c r="BK1132">
        <v>5</v>
      </c>
      <c r="BL1132" s="58"/>
      <c r="BP1132" t="str">
        <f t="shared" si="43"/>
        <v>BugFlying</v>
      </c>
      <c r="BR1132">
        <v>1</v>
      </c>
    </row>
    <row r="1133" spans="1:70" x14ac:dyDescent="0.25">
      <c r="A1133">
        <f t="shared" si="44"/>
        <v>1072</v>
      </c>
      <c r="B1133" t="s">
        <v>2420</v>
      </c>
      <c r="D1133" s="1" t="s">
        <v>4</v>
      </c>
      <c r="E1133" s="1">
        <v>0</v>
      </c>
      <c r="F1133" s="1" t="s">
        <v>50</v>
      </c>
      <c r="G1133" s="1" t="s">
        <v>50</v>
      </c>
      <c r="H1133" s="1"/>
      <c r="I1133" s="1" t="s">
        <v>50</v>
      </c>
      <c r="J1133" s="1" t="s">
        <v>50</v>
      </c>
      <c r="K1133" s="1" t="s">
        <v>50</v>
      </c>
      <c r="L1133" s="1"/>
      <c r="M1133" s="1" t="s">
        <v>50</v>
      </c>
      <c r="N1133" s="1" t="s">
        <v>50</v>
      </c>
      <c r="O1133" s="1" t="s">
        <v>50</v>
      </c>
      <c r="P1133" s="1" t="s">
        <v>2070</v>
      </c>
      <c r="Q1133" s="1" t="s">
        <v>104</v>
      </c>
      <c r="R1133" s="1" t="s">
        <v>104</v>
      </c>
      <c r="S1133" s="1" t="s">
        <v>104</v>
      </c>
      <c r="T1133" s="1" t="s">
        <v>104</v>
      </c>
      <c r="U1133" s="1" t="s">
        <v>104</v>
      </c>
      <c r="V1133" s="1" t="s">
        <v>104</v>
      </c>
      <c r="W1133" s="1" t="s">
        <v>104</v>
      </c>
      <c r="X1133" s="1" t="s">
        <v>726</v>
      </c>
      <c r="Y1133" s="1"/>
      <c r="Z1133" s="8"/>
      <c r="AA1133" s="8"/>
      <c r="AB1133" s="8">
        <v>1</v>
      </c>
      <c r="AC1133" s="8"/>
      <c r="AD1133" s="8"/>
      <c r="AE1133" s="8"/>
      <c r="AF1133" s="8"/>
      <c r="AG1133" s="8"/>
      <c r="AH1133" s="8">
        <v>1</v>
      </c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>
        <v>1</v>
      </c>
      <c r="AT1133" s="8">
        <v>1</v>
      </c>
      <c r="AU1133" s="8"/>
      <c r="AV1133" s="8"/>
      <c r="AW1133" s="8"/>
      <c r="AX1133" s="8"/>
      <c r="AY1133" s="8"/>
      <c r="AZ1133" s="8">
        <v>1</v>
      </c>
      <c r="BA1133" s="8"/>
      <c r="BB1133" s="1"/>
      <c r="BL1133" s="58"/>
      <c r="BP1133" t="str">
        <f t="shared" si="43"/>
        <v>Psychic0</v>
      </c>
      <c r="BQ1133" t="s">
        <v>2</v>
      </c>
      <c r="BR1133">
        <v>9</v>
      </c>
    </row>
    <row r="1134" spans="1:70" x14ac:dyDescent="0.25">
      <c r="A1134">
        <f t="shared" si="44"/>
        <v>1073</v>
      </c>
      <c r="B1134" t="s">
        <v>2421</v>
      </c>
      <c r="D1134" s="1" t="s">
        <v>4</v>
      </c>
      <c r="E1134" s="1" t="s">
        <v>6</v>
      </c>
      <c r="F1134" s="1" t="s">
        <v>50</v>
      </c>
      <c r="G1134" s="1" t="s">
        <v>50</v>
      </c>
      <c r="H1134" s="1" t="s">
        <v>50</v>
      </c>
      <c r="I1134" s="1" t="s">
        <v>50</v>
      </c>
      <c r="J1134" s="1" t="s">
        <v>50</v>
      </c>
      <c r="K1134" s="1" t="s">
        <v>50</v>
      </c>
      <c r="L1134" s="1"/>
      <c r="M1134" s="1" t="s">
        <v>104</v>
      </c>
      <c r="N1134" s="1" t="s">
        <v>50</v>
      </c>
      <c r="O1134" s="1" t="s">
        <v>50</v>
      </c>
      <c r="P1134" s="1" t="s">
        <v>2070</v>
      </c>
      <c r="Q1134" s="1" t="s">
        <v>104</v>
      </c>
      <c r="R1134" s="1" t="s">
        <v>104</v>
      </c>
      <c r="S1134" s="1" t="s">
        <v>104</v>
      </c>
      <c r="T1134" s="1" t="s">
        <v>104</v>
      </c>
      <c r="U1134" s="1" t="s">
        <v>104</v>
      </c>
      <c r="V1134" s="1" t="s">
        <v>104</v>
      </c>
      <c r="W1134" s="1" t="s">
        <v>104</v>
      </c>
      <c r="X1134" s="1" t="s">
        <v>726</v>
      </c>
      <c r="Y1134" s="1"/>
      <c r="Z1134" s="8"/>
      <c r="AA1134" s="8"/>
      <c r="AB1134" s="8">
        <v>1</v>
      </c>
      <c r="AC1134" s="8"/>
      <c r="AD1134" s="8"/>
      <c r="AE1134" s="8"/>
      <c r="AF1134" s="8"/>
      <c r="AG1134" s="8"/>
      <c r="AH1134" s="8">
        <v>1</v>
      </c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>
        <v>1</v>
      </c>
      <c r="AT1134" s="8">
        <v>1</v>
      </c>
      <c r="AU1134" s="8"/>
      <c r="AV1134" s="8"/>
      <c r="AW1134" s="8"/>
      <c r="AX1134" s="8"/>
      <c r="AY1134" s="8"/>
      <c r="AZ1134" s="8">
        <v>1</v>
      </c>
      <c r="BA1134" s="8"/>
      <c r="BB1134" s="1"/>
      <c r="BK1134">
        <v>1</v>
      </c>
      <c r="BL1134" s="58"/>
      <c r="BP1134" t="str">
        <f t="shared" si="43"/>
        <v>PsychicSteel</v>
      </c>
      <c r="BR1134">
        <v>9</v>
      </c>
    </row>
    <row r="1135" spans="1:70" x14ac:dyDescent="0.25">
      <c r="A1135">
        <f t="shared" si="44"/>
        <v>1074</v>
      </c>
      <c r="B1135" t="s">
        <v>2447</v>
      </c>
      <c r="D1135" s="1" t="s">
        <v>42</v>
      </c>
      <c r="E1135" s="1" t="s">
        <v>18</v>
      </c>
      <c r="F1135" s="1" t="s">
        <v>50</v>
      </c>
      <c r="G1135" s="1" t="s">
        <v>50</v>
      </c>
      <c r="H1135" s="1"/>
      <c r="I1135" s="1" t="s">
        <v>50</v>
      </c>
      <c r="J1135" s="1" t="s">
        <v>50</v>
      </c>
      <c r="K1135" s="1" t="s">
        <v>50</v>
      </c>
      <c r="L1135" s="1"/>
      <c r="M1135" s="1" t="s">
        <v>50</v>
      </c>
      <c r="N1135" s="1" t="s">
        <v>50</v>
      </c>
      <c r="O1135" s="1" t="s">
        <v>50</v>
      </c>
      <c r="P1135" s="1" t="s">
        <v>2059</v>
      </c>
      <c r="Q1135" s="1" t="s">
        <v>50</v>
      </c>
      <c r="R1135" s="1" t="s">
        <v>50</v>
      </c>
      <c r="S1135" s="1" t="s">
        <v>50</v>
      </c>
      <c r="T1135" s="1" t="s">
        <v>50</v>
      </c>
      <c r="U1135" s="1" t="s">
        <v>50</v>
      </c>
      <c r="V1135" s="1" t="s">
        <v>50</v>
      </c>
      <c r="W1135" s="1" t="s">
        <v>50</v>
      </c>
      <c r="X1135" s="1" t="s">
        <v>730</v>
      </c>
      <c r="Y1135" s="1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>
        <v>1</v>
      </c>
      <c r="AV1135" s="8"/>
      <c r="AW1135" s="8"/>
      <c r="AX1135" s="8"/>
      <c r="AY1135" s="8"/>
      <c r="AZ1135" s="8"/>
      <c r="BA1135" s="8"/>
      <c r="BB1135" s="1"/>
      <c r="BL1135" s="58"/>
      <c r="BP1135" t="str">
        <f t="shared" ref="BP1135" si="45">D1135&amp;E1135</f>
        <v>CosmicFighting</v>
      </c>
      <c r="BR1135">
        <v>1</v>
      </c>
    </row>
    <row r="1136" spans="1:70" x14ac:dyDescent="0.25">
      <c r="A1136">
        <f t="shared" si="44"/>
        <v>1075</v>
      </c>
      <c r="B1136" t="s">
        <v>2445</v>
      </c>
      <c r="D1136" s="1" t="s">
        <v>12</v>
      </c>
      <c r="E1136" s="1" t="s">
        <v>44</v>
      </c>
      <c r="F1136" s="1" t="s">
        <v>50</v>
      </c>
      <c r="G1136" s="1" t="s">
        <v>50</v>
      </c>
      <c r="H1136" s="1"/>
      <c r="I1136" s="1" t="s">
        <v>50</v>
      </c>
      <c r="J1136" s="1" t="s">
        <v>50</v>
      </c>
      <c r="K1136" s="1" t="s">
        <v>50</v>
      </c>
      <c r="L1136" s="1"/>
      <c r="M1136" s="1" t="s">
        <v>50</v>
      </c>
      <c r="N1136" s="1" t="s">
        <v>50</v>
      </c>
      <c r="O1136" s="1" t="s">
        <v>50</v>
      </c>
      <c r="P1136" s="13" t="s">
        <v>2555</v>
      </c>
      <c r="Q1136" s="1" t="s">
        <v>104</v>
      </c>
      <c r="R1136" s="1" t="s">
        <v>104</v>
      </c>
      <c r="S1136" s="1" t="s">
        <v>104</v>
      </c>
      <c r="T1136" s="1" t="s">
        <v>104</v>
      </c>
      <c r="U1136" s="1" t="s">
        <v>104</v>
      </c>
      <c r="V1136" s="1" t="s">
        <v>104</v>
      </c>
      <c r="W1136" s="1" t="s">
        <v>104</v>
      </c>
      <c r="X1136" s="1" t="s">
        <v>2446</v>
      </c>
      <c r="Y1136" s="1"/>
      <c r="Z1136" s="8"/>
      <c r="AA1136" s="8"/>
      <c r="AB1136" s="8">
        <v>1</v>
      </c>
      <c r="AC1136" s="8">
        <v>1</v>
      </c>
      <c r="AD1136" s="8"/>
      <c r="AE1136" s="8"/>
      <c r="AF1136" s="8"/>
      <c r="AG1136" s="8">
        <v>1</v>
      </c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>
        <v>1</v>
      </c>
      <c r="AY1136" s="8">
        <v>1</v>
      </c>
      <c r="AZ1136" s="8">
        <v>1</v>
      </c>
      <c r="BA1136" s="8"/>
      <c r="BB1136" s="1"/>
      <c r="BL1136" s="58"/>
      <c r="BP1136" t="str">
        <f t="shared" ref="BP1136" si="46">D1136&amp;E1136</f>
        <v>DragonLight</v>
      </c>
      <c r="BR1136">
        <v>3</v>
      </c>
    </row>
    <row r="1137" spans="1:70" x14ac:dyDescent="0.25">
      <c r="A1137">
        <f t="shared" si="44"/>
        <v>1076</v>
      </c>
      <c r="B1137" t="s">
        <v>2448</v>
      </c>
      <c r="D1137" s="1" t="s">
        <v>4</v>
      </c>
      <c r="E1137" s="1" t="s">
        <v>1</v>
      </c>
      <c r="F1137" s="1" t="s">
        <v>50</v>
      </c>
      <c r="G1137" s="1" t="s">
        <v>50</v>
      </c>
      <c r="H1137" s="1"/>
      <c r="I1137" s="1" t="s">
        <v>50</v>
      </c>
      <c r="J1137" s="1" t="s">
        <v>50</v>
      </c>
      <c r="K1137" s="1" t="s">
        <v>50</v>
      </c>
      <c r="L1137" s="1"/>
      <c r="M1137" s="1" t="s">
        <v>50</v>
      </c>
      <c r="N1137" s="1" t="s">
        <v>50</v>
      </c>
      <c r="O1137" s="1" t="s">
        <v>50</v>
      </c>
      <c r="P1137" s="13" t="s">
        <v>2426</v>
      </c>
      <c r="Q1137" s="1" t="s">
        <v>104</v>
      </c>
      <c r="R1137" s="1" t="s">
        <v>104</v>
      </c>
      <c r="S1137" s="1" t="s">
        <v>104</v>
      </c>
      <c r="T1137" s="1" t="s">
        <v>104</v>
      </c>
      <c r="U1137" s="1" t="s">
        <v>104</v>
      </c>
      <c r="V1137" s="1" t="s">
        <v>104</v>
      </c>
      <c r="W1137" s="1" t="s">
        <v>104</v>
      </c>
      <c r="X1137" s="1" t="s">
        <v>2377</v>
      </c>
      <c r="Y1137" s="1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>
        <v>1</v>
      </c>
      <c r="AU1137" s="8"/>
      <c r="AV1137" s="8"/>
      <c r="AW1137" s="8"/>
      <c r="AX1137" s="8"/>
      <c r="AY1137" s="8"/>
      <c r="AZ1137" s="8"/>
      <c r="BA1137" s="8"/>
      <c r="BB1137" s="1"/>
      <c r="BL1137" s="58"/>
      <c r="BP1137" t="str">
        <f t="shared" ref="BP1137:BP1138" si="47">D1137&amp;E1137</f>
        <v>PsychicNormal</v>
      </c>
      <c r="BR1137">
        <v>5</v>
      </c>
    </row>
    <row r="1138" spans="1:70" x14ac:dyDescent="0.25">
      <c r="A1138">
        <f t="shared" si="44"/>
        <v>1077</v>
      </c>
      <c r="B1138" t="s">
        <v>2449</v>
      </c>
      <c r="D1138" s="1" t="s">
        <v>4</v>
      </c>
      <c r="E1138" s="1" t="s">
        <v>1</v>
      </c>
      <c r="F1138" s="1" t="s">
        <v>50</v>
      </c>
      <c r="G1138" s="1" t="s">
        <v>50</v>
      </c>
      <c r="H1138" s="1"/>
      <c r="I1138" s="1" t="s">
        <v>50</v>
      </c>
      <c r="J1138" s="1" t="s">
        <v>50</v>
      </c>
      <c r="K1138" s="1" t="s">
        <v>50</v>
      </c>
      <c r="L1138" s="1"/>
      <c r="M1138" s="1" t="s">
        <v>50</v>
      </c>
      <c r="N1138" s="1" t="s">
        <v>50</v>
      </c>
      <c r="O1138" s="1" t="s">
        <v>50</v>
      </c>
      <c r="P1138" s="13" t="s">
        <v>2426</v>
      </c>
      <c r="Q1138" s="1" t="s">
        <v>104</v>
      </c>
      <c r="R1138" s="1" t="s">
        <v>104</v>
      </c>
      <c r="S1138" s="1" t="s">
        <v>104</v>
      </c>
      <c r="T1138" s="1" t="s">
        <v>104</v>
      </c>
      <c r="U1138" s="1" t="s">
        <v>104</v>
      </c>
      <c r="V1138" s="1" t="s">
        <v>104</v>
      </c>
      <c r="W1138" s="1" t="s">
        <v>104</v>
      </c>
      <c r="X1138" s="1" t="s">
        <v>2377</v>
      </c>
      <c r="Y1138" s="1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>
        <v>1</v>
      </c>
      <c r="AU1138" s="8"/>
      <c r="AV1138" s="8"/>
      <c r="AW1138" s="8"/>
      <c r="AX1138" s="8"/>
      <c r="AY1138" s="8"/>
      <c r="AZ1138" s="8"/>
      <c r="BA1138" s="8"/>
      <c r="BB1138" s="1"/>
      <c r="BL1138" s="58"/>
      <c r="BP1138" t="str">
        <f t="shared" si="47"/>
        <v>PsychicNormal</v>
      </c>
      <c r="BR1138">
        <v>5</v>
      </c>
    </row>
    <row r="1139" spans="1:70" x14ac:dyDescent="0.25">
      <c r="A1139">
        <f t="shared" si="44"/>
        <v>1078</v>
      </c>
      <c r="B1139" t="s">
        <v>2450</v>
      </c>
      <c r="D1139" s="1" t="s">
        <v>7</v>
      </c>
      <c r="E1139" s="1" t="s">
        <v>17</v>
      </c>
      <c r="F1139" s="1" t="s">
        <v>50</v>
      </c>
      <c r="G1139" s="1" t="s">
        <v>50</v>
      </c>
      <c r="H1139" s="1"/>
      <c r="I1139" s="1" t="s">
        <v>50</v>
      </c>
      <c r="J1139" s="1" t="s">
        <v>50</v>
      </c>
      <c r="K1139" s="1" t="s">
        <v>50</v>
      </c>
      <c r="L1139" s="1"/>
      <c r="M1139" s="1" t="s">
        <v>50</v>
      </c>
      <c r="N1139" s="1" t="s">
        <v>50</v>
      </c>
      <c r="O1139" s="1" t="s">
        <v>50</v>
      </c>
      <c r="P1139" s="13" t="s">
        <v>1719</v>
      </c>
      <c r="Q1139" s="1" t="s">
        <v>104</v>
      </c>
      <c r="R1139" s="1" t="s">
        <v>104</v>
      </c>
      <c r="S1139" s="1" t="s">
        <v>104</v>
      </c>
      <c r="T1139" s="1" t="s">
        <v>104</v>
      </c>
      <c r="U1139" s="1" t="s">
        <v>104</v>
      </c>
      <c r="V1139" s="1" t="s">
        <v>104</v>
      </c>
      <c r="W1139" s="1" t="s">
        <v>104</v>
      </c>
      <c r="X1139" s="1" t="s">
        <v>2377</v>
      </c>
      <c r="Y1139" s="1"/>
      <c r="Z1139" s="8"/>
      <c r="AA1139" s="8"/>
      <c r="AB1139" s="8"/>
      <c r="AC1139" s="8"/>
      <c r="AD1139" s="8">
        <v>1</v>
      </c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>
        <v>1</v>
      </c>
      <c r="AT1139" s="8"/>
      <c r="AU1139" s="8"/>
      <c r="AV1139" s="8"/>
      <c r="AW1139" s="8"/>
      <c r="AX1139" s="8">
        <v>1</v>
      </c>
      <c r="AY1139" s="8"/>
      <c r="AZ1139" s="8"/>
      <c r="BA1139" s="8"/>
      <c r="BB1139" s="1"/>
      <c r="BL1139" s="58"/>
      <c r="BP1139" t="str">
        <f t="shared" ref="BP1139:BP1141" si="48">D1139&amp;E1139</f>
        <v>FairyBug</v>
      </c>
      <c r="BR1139">
        <v>9</v>
      </c>
    </row>
    <row r="1140" spans="1:70" x14ac:dyDescent="0.25">
      <c r="A1140">
        <f t="shared" si="44"/>
        <v>1079</v>
      </c>
      <c r="B1140" t="s">
        <v>2451</v>
      </c>
      <c r="D1140" s="1" t="s">
        <v>7</v>
      </c>
      <c r="E1140" s="1" t="s">
        <v>17</v>
      </c>
      <c r="F1140" s="1" t="s">
        <v>50</v>
      </c>
      <c r="G1140" s="1" t="s">
        <v>50</v>
      </c>
      <c r="H1140" s="1"/>
      <c r="I1140" s="1" t="s">
        <v>50</v>
      </c>
      <c r="J1140" s="1" t="s">
        <v>50</v>
      </c>
      <c r="K1140" s="1" t="s">
        <v>50</v>
      </c>
      <c r="L1140" s="1"/>
      <c r="M1140" s="1" t="s">
        <v>104</v>
      </c>
      <c r="N1140" s="1" t="s">
        <v>50</v>
      </c>
      <c r="O1140" s="1" t="s">
        <v>50</v>
      </c>
      <c r="P1140" s="13" t="s">
        <v>1719</v>
      </c>
      <c r="Q1140" s="1" t="s">
        <v>104</v>
      </c>
      <c r="R1140" s="1" t="s">
        <v>104</v>
      </c>
      <c r="S1140" s="1" t="s">
        <v>104</v>
      </c>
      <c r="T1140" s="1" t="s">
        <v>104</v>
      </c>
      <c r="U1140" s="1" t="s">
        <v>104</v>
      </c>
      <c r="V1140" s="1" t="s">
        <v>104</v>
      </c>
      <c r="W1140" s="1" t="s">
        <v>104</v>
      </c>
      <c r="X1140" s="1" t="s">
        <v>2377</v>
      </c>
      <c r="Y1140" s="1"/>
      <c r="Z1140" s="8"/>
      <c r="AA1140" s="8"/>
      <c r="AB1140" s="8"/>
      <c r="AC1140" s="8"/>
      <c r="AD1140" s="8">
        <v>1</v>
      </c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>
        <v>1</v>
      </c>
      <c r="AT1140" s="8"/>
      <c r="AU1140" s="8"/>
      <c r="AV1140" s="8"/>
      <c r="AW1140" s="8"/>
      <c r="AX1140" s="8">
        <v>1</v>
      </c>
      <c r="AY1140" s="8"/>
      <c r="AZ1140" s="8"/>
      <c r="BA1140" s="8"/>
      <c r="BB1140" s="1"/>
      <c r="BL1140" s="58"/>
      <c r="BP1140" t="str">
        <f t="shared" si="48"/>
        <v>FairyBug</v>
      </c>
      <c r="BR1140">
        <v>9</v>
      </c>
    </row>
    <row r="1141" spans="1:70" x14ac:dyDescent="0.25">
      <c r="A1141">
        <f t="shared" si="44"/>
        <v>1080</v>
      </c>
      <c r="B1141" t="s">
        <v>2452</v>
      </c>
      <c r="D1141" s="1" t="s">
        <v>17</v>
      </c>
      <c r="E1141" s="1">
        <v>0</v>
      </c>
      <c r="F1141" s="1" t="s">
        <v>50</v>
      </c>
      <c r="G1141" s="1" t="s">
        <v>50</v>
      </c>
      <c r="H1141" s="1"/>
      <c r="I1141" s="1" t="s">
        <v>50</v>
      </c>
      <c r="J1141" s="1" t="s">
        <v>50</v>
      </c>
      <c r="K1141" s="1" t="s">
        <v>50</v>
      </c>
      <c r="L1141" s="1"/>
      <c r="M1141" s="1" t="s">
        <v>50</v>
      </c>
      <c r="N1141" s="1" t="s">
        <v>50</v>
      </c>
      <c r="O1141" s="1" t="s">
        <v>50</v>
      </c>
      <c r="P1141" s="1" t="s">
        <v>2440</v>
      </c>
      <c r="Q1141" s="1" t="s">
        <v>50</v>
      </c>
      <c r="R1141" s="1" t="s">
        <v>50</v>
      </c>
      <c r="S1141" s="1" t="s">
        <v>50</v>
      </c>
      <c r="T1141" s="1" t="s">
        <v>50</v>
      </c>
      <c r="U1141" s="1" t="s">
        <v>50</v>
      </c>
      <c r="V1141" s="1" t="s">
        <v>50</v>
      </c>
      <c r="W1141" s="1" t="s">
        <v>50</v>
      </c>
      <c r="X1141" s="1" t="s">
        <v>2446</v>
      </c>
      <c r="Y1141" s="1"/>
      <c r="Z1141" s="8"/>
      <c r="AA1141" s="8"/>
      <c r="AB1141" s="8"/>
      <c r="AC1141" s="8"/>
      <c r="AD1141" s="8">
        <v>1</v>
      </c>
      <c r="AE1141" s="8">
        <v>1</v>
      </c>
      <c r="AF1141" s="8">
        <v>1</v>
      </c>
      <c r="AG1141" s="8">
        <v>1</v>
      </c>
      <c r="AH1141" s="8"/>
      <c r="AI1141" s="8"/>
      <c r="AJ1141" s="8">
        <v>1</v>
      </c>
      <c r="AK1141" s="8"/>
      <c r="AL1141" s="8"/>
      <c r="AM1141" s="8"/>
      <c r="AN1141" s="8"/>
      <c r="AO1141" s="8"/>
      <c r="AP1141" s="8"/>
      <c r="AQ1141" s="8"/>
      <c r="AR1141" s="8"/>
      <c r="AS1141" s="8"/>
      <c r="AT1141" s="8">
        <v>1</v>
      </c>
      <c r="AU1141" s="8"/>
      <c r="AV1141" s="8">
        <v>1</v>
      </c>
      <c r="AW1141" s="8">
        <v>1</v>
      </c>
      <c r="AX1141" s="8">
        <v>1</v>
      </c>
      <c r="AY1141" s="8">
        <v>1</v>
      </c>
      <c r="AZ1141" s="8"/>
      <c r="BA1141" s="8"/>
      <c r="BB1141" s="1"/>
      <c r="BL1141" s="58"/>
      <c r="BP1141" t="str">
        <f t="shared" si="48"/>
        <v>Bug0</v>
      </c>
      <c r="BR1141">
        <v>7</v>
      </c>
    </row>
    <row r="1142" spans="1:70" x14ac:dyDescent="0.25">
      <c r="A1142">
        <f t="shared" si="44"/>
        <v>1081</v>
      </c>
      <c r="B1142" t="s">
        <v>2453</v>
      </c>
      <c r="D1142" s="1" t="s">
        <v>16</v>
      </c>
      <c r="E1142" s="1">
        <v>0</v>
      </c>
      <c r="F1142" s="1" t="s">
        <v>50</v>
      </c>
      <c r="G1142" s="1" t="s">
        <v>50</v>
      </c>
      <c r="H1142" s="1"/>
      <c r="I1142" s="1" t="s">
        <v>50</v>
      </c>
      <c r="J1142" s="1" t="s">
        <v>50</v>
      </c>
      <c r="K1142" s="1" t="s">
        <v>50</v>
      </c>
      <c r="L1142" s="1"/>
      <c r="M1142" s="1" t="s">
        <v>50</v>
      </c>
      <c r="N1142" s="1" t="s">
        <v>50</v>
      </c>
      <c r="O1142" s="1" t="s">
        <v>50</v>
      </c>
      <c r="P1142" s="1" t="s">
        <v>2440</v>
      </c>
      <c r="Q1142" s="1" t="s">
        <v>104</v>
      </c>
      <c r="R1142" s="1" t="s">
        <v>104</v>
      </c>
      <c r="S1142" s="1" t="s">
        <v>104</v>
      </c>
      <c r="T1142" s="1" t="s">
        <v>104</v>
      </c>
      <c r="U1142" s="1" t="s">
        <v>104</v>
      </c>
      <c r="V1142" s="1" t="s">
        <v>104</v>
      </c>
      <c r="W1142" s="1" t="s">
        <v>104</v>
      </c>
      <c r="X1142" s="1" t="s">
        <v>2377</v>
      </c>
      <c r="Y1142" s="1"/>
      <c r="Z1142" s="8">
        <v>1</v>
      </c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>
        <v>1</v>
      </c>
      <c r="AR1142" s="8"/>
      <c r="AS1142" s="8"/>
      <c r="AT1142" s="8"/>
      <c r="AU1142" s="8">
        <v>1</v>
      </c>
      <c r="AV1142" s="8"/>
      <c r="AW1142" s="8"/>
      <c r="AX1142" s="8"/>
      <c r="AY1142" s="8"/>
      <c r="AZ1142" s="8"/>
      <c r="BA1142" s="8"/>
      <c r="BB1142" s="1"/>
      <c r="BL1142" s="58"/>
      <c r="BP1142" t="str">
        <f t="shared" ref="BP1142:BP1146" si="49">D1142&amp;E1142</f>
        <v>Flying0</v>
      </c>
      <c r="BR1142">
        <v>9</v>
      </c>
    </row>
    <row r="1143" spans="1:70" x14ac:dyDescent="0.25">
      <c r="A1143">
        <f t="shared" si="44"/>
        <v>1082</v>
      </c>
      <c r="B1143" t="s">
        <v>2454</v>
      </c>
      <c r="D1143" s="1" t="s">
        <v>16</v>
      </c>
      <c r="E1143" s="1" t="s">
        <v>42</v>
      </c>
      <c r="F1143" s="1" t="s">
        <v>50</v>
      </c>
      <c r="G1143" s="1" t="s">
        <v>50</v>
      </c>
      <c r="H1143" s="1"/>
      <c r="I1143" s="1" t="s">
        <v>50</v>
      </c>
      <c r="J1143" s="1" t="s">
        <v>50</v>
      </c>
      <c r="K1143" s="1" t="s">
        <v>50</v>
      </c>
      <c r="L1143" s="1"/>
      <c r="M1143" s="1" t="s">
        <v>104</v>
      </c>
      <c r="N1143" s="1" t="s">
        <v>50</v>
      </c>
      <c r="O1143" s="1" t="s">
        <v>50</v>
      </c>
      <c r="P1143" s="1" t="s">
        <v>2440</v>
      </c>
      <c r="Q1143" s="1" t="s">
        <v>104</v>
      </c>
      <c r="R1143" s="1" t="s">
        <v>104</v>
      </c>
      <c r="S1143" s="1" t="s">
        <v>104</v>
      </c>
      <c r="T1143" s="1" t="s">
        <v>104</v>
      </c>
      <c r="U1143" s="1" t="s">
        <v>104</v>
      </c>
      <c r="V1143" s="1" t="s">
        <v>104</v>
      </c>
      <c r="W1143" s="1" t="s">
        <v>104</v>
      </c>
      <c r="X1143" s="1" t="s">
        <v>2377</v>
      </c>
      <c r="Y1143" s="1"/>
      <c r="Z1143" s="8">
        <v>1</v>
      </c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>
        <v>1</v>
      </c>
      <c r="AR1143" s="8"/>
      <c r="AS1143" s="8"/>
      <c r="AT1143" s="8"/>
      <c r="AU1143" s="8">
        <v>1</v>
      </c>
      <c r="AV1143" s="8"/>
      <c r="AW1143" s="8"/>
      <c r="AX1143" s="8"/>
      <c r="AY1143" s="8"/>
      <c r="AZ1143" s="8"/>
      <c r="BA1143" s="8"/>
      <c r="BB1143" s="1"/>
      <c r="BL1143" s="58">
        <v>4</v>
      </c>
      <c r="BP1143" t="str">
        <f t="shared" si="49"/>
        <v>FlyingCosmic</v>
      </c>
      <c r="BR1143">
        <v>9</v>
      </c>
    </row>
    <row r="1144" spans="1:70" x14ac:dyDescent="0.25">
      <c r="A1144">
        <f t="shared" si="44"/>
        <v>1083</v>
      </c>
      <c r="B1144" t="s">
        <v>2460</v>
      </c>
      <c r="D1144" s="1" t="s">
        <v>9</v>
      </c>
      <c r="E1144" s="1" t="s">
        <v>6</v>
      </c>
      <c r="F1144" s="1" t="s">
        <v>50</v>
      </c>
      <c r="G1144" s="1" t="s">
        <v>50</v>
      </c>
      <c r="H1144" s="1"/>
      <c r="I1144" s="1" t="s">
        <v>50</v>
      </c>
      <c r="J1144" s="1" t="s">
        <v>50</v>
      </c>
      <c r="K1144" s="1" t="s">
        <v>50</v>
      </c>
      <c r="L1144" s="1"/>
      <c r="M1144" s="1" t="s">
        <v>50</v>
      </c>
      <c r="N1144" s="1" t="s">
        <v>50</v>
      </c>
      <c r="O1144" s="1" t="s">
        <v>50</v>
      </c>
      <c r="P1144" s="1" t="s">
        <v>2429</v>
      </c>
      <c r="Q1144" s="1" t="s">
        <v>104</v>
      </c>
      <c r="R1144" s="1" t="s">
        <v>104</v>
      </c>
      <c r="S1144" s="1" t="s">
        <v>104</v>
      </c>
      <c r="T1144" s="1" t="s">
        <v>104</v>
      </c>
      <c r="U1144" s="1" t="s">
        <v>104</v>
      </c>
      <c r="V1144" s="1" t="s">
        <v>104</v>
      </c>
      <c r="W1144" s="1" t="s">
        <v>104</v>
      </c>
      <c r="X1144" s="1" t="s">
        <v>2277</v>
      </c>
      <c r="Y1144" s="1"/>
      <c r="Z1144" s="8"/>
      <c r="AA1144" s="8"/>
      <c r="AB1144" s="8"/>
      <c r="AC1144" s="8"/>
      <c r="AD1144" s="8">
        <v>1</v>
      </c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>
        <v>1</v>
      </c>
      <c r="AS1144" s="8"/>
      <c r="AT1144" s="8"/>
      <c r="AU1144" s="8">
        <v>1</v>
      </c>
      <c r="AV1144" s="8">
        <v>1</v>
      </c>
      <c r="AW1144" s="8"/>
      <c r="AX1144" s="8">
        <v>1</v>
      </c>
      <c r="AY1144" s="8">
        <v>1</v>
      </c>
      <c r="AZ1144" s="8"/>
      <c r="BA1144" s="8"/>
      <c r="BB1144" s="1"/>
      <c r="BL1144" s="58"/>
      <c r="BP1144" t="str">
        <f t="shared" si="49"/>
        <v>RockSteel</v>
      </c>
      <c r="BR1144">
        <v>1</v>
      </c>
    </row>
    <row r="1145" spans="1:70" x14ac:dyDescent="0.25">
      <c r="A1145">
        <f t="shared" si="44"/>
        <v>1084</v>
      </c>
      <c r="B1145" t="s">
        <v>2461</v>
      </c>
      <c r="D1145" s="1" t="s">
        <v>9</v>
      </c>
      <c r="E1145" s="1" t="s">
        <v>6</v>
      </c>
      <c r="F1145" s="1" t="s">
        <v>50</v>
      </c>
      <c r="G1145" s="1" t="s">
        <v>50</v>
      </c>
      <c r="H1145" s="1"/>
      <c r="I1145" s="1" t="s">
        <v>50</v>
      </c>
      <c r="J1145" s="1" t="s">
        <v>50</v>
      </c>
      <c r="K1145" s="1" t="s">
        <v>50</v>
      </c>
      <c r="L1145" s="1"/>
      <c r="M1145" s="1" t="s">
        <v>104</v>
      </c>
      <c r="N1145" s="1" t="s">
        <v>50</v>
      </c>
      <c r="O1145" s="1" t="s">
        <v>50</v>
      </c>
      <c r="P1145" s="1" t="s">
        <v>2429</v>
      </c>
      <c r="Q1145" s="1" t="s">
        <v>104</v>
      </c>
      <c r="R1145" s="1" t="s">
        <v>104</v>
      </c>
      <c r="S1145" s="1" t="s">
        <v>104</v>
      </c>
      <c r="T1145" s="1" t="s">
        <v>104</v>
      </c>
      <c r="U1145" s="1" t="s">
        <v>104</v>
      </c>
      <c r="V1145" s="1" t="s">
        <v>104</v>
      </c>
      <c r="W1145" s="1" t="s">
        <v>104</v>
      </c>
      <c r="X1145" s="1" t="s">
        <v>2277</v>
      </c>
      <c r="Y1145" s="1"/>
      <c r="Z1145" s="8"/>
      <c r="AA1145" s="8"/>
      <c r="AB1145" s="8"/>
      <c r="AC1145" s="8"/>
      <c r="AD1145" s="8">
        <v>1</v>
      </c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>
        <v>1</v>
      </c>
      <c r="AS1145" s="8"/>
      <c r="AT1145" s="8"/>
      <c r="AU1145" s="8">
        <v>1</v>
      </c>
      <c r="AV1145" s="8">
        <v>1</v>
      </c>
      <c r="AW1145" s="8"/>
      <c r="AX1145" s="8">
        <v>1</v>
      </c>
      <c r="AY1145" s="8">
        <v>1</v>
      </c>
      <c r="AZ1145" s="8"/>
      <c r="BA1145" s="8"/>
      <c r="BB1145" s="1"/>
      <c r="BL1145" s="58"/>
      <c r="BP1145" t="str">
        <f t="shared" si="49"/>
        <v>RockSteel</v>
      </c>
      <c r="BR1145">
        <v>1</v>
      </c>
    </row>
    <row r="1146" spans="1:70" x14ac:dyDescent="0.25">
      <c r="A1146">
        <f t="shared" si="44"/>
        <v>1085</v>
      </c>
      <c r="B1146" t="s">
        <v>2462</v>
      </c>
      <c r="D1146" s="1" t="s">
        <v>9</v>
      </c>
      <c r="E1146" s="1" t="s">
        <v>6</v>
      </c>
      <c r="F1146" s="1" t="s">
        <v>50</v>
      </c>
      <c r="G1146" s="1" t="s">
        <v>50</v>
      </c>
      <c r="H1146" s="1"/>
      <c r="I1146" s="1" t="s">
        <v>50</v>
      </c>
      <c r="J1146" s="1" t="s">
        <v>50</v>
      </c>
      <c r="K1146" s="1" t="s">
        <v>50</v>
      </c>
      <c r="L1146" s="1"/>
      <c r="M1146" s="1" t="s">
        <v>104</v>
      </c>
      <c r="N1146" s="1" t="s">
        <v>50</v>
      </c>
      <c r="O1146" s="1" t="s">
        <v>50</v>
      </c>
      <c r="P1146" s="1" t="s">
        <v>2429</v>
      </c>
      <c r="Q1146" s="1" t="s">
        <v>50</v>
      </c>
      <c r="R1146" s="1" t="s">
        <v>50</v>
      </c>
      <c r="S1146" s="1" t="s">
        <v>50</v>
      </c>
      <c r="T1146" s="1" t="s">
        <v>50</v>
      </c>
      <c r="U1146" s="1" t="s">
        <v>50</v>
      </c>
      <c r="V1146" s="1" t="s">
        <v>50</v>
      </c>
      <c r="W1146" s="1" t="s">
        <v>50</v>
      </c>
      <c r="X1146" s="1" t="s">
        <v>2277</v>
      </c>
      <c r="Y1146" s="1"/>
      <c r="Z1146" s="8"/>
      <c r="AA1146" s="8"/>
      <c r="AB1146" s="8"/>
      <c r="AC1146" s="8"/>
      <c r="AD1146" s="8">
        <v>1</v>
      </c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>
        <v>1</v>
      </c>
      <c r="AS1146" s="8"/>
      <c r="AT1146" s="8"/>
      <c r="AU1146" s="8">
        <v>1</v>
      </c>
      <c r="AV1146" s="8">
        <v>1</v>
      </c>
      <c r="AW1146" s="8"/>
      <c r="AX1146" s="8">
        <v>1</v>
      </c>
      <c r="AY1146" s="8">
        <v>1</v>
      </c>
      <c r="AZ1146" s="8"/>
      <c r="BA1146" s="8"/>
      <c r="BB1146" s="1"/>
      <c r="BL1146" s="58">
        <v>3</v>
      </c>
      <c r="BP1146" t="str">
        <f t="shared" si="49"/>
        <v>RockSteel</v>
      </c>
      <c r="BR1146">
        <v>1</v>
      </c>
    </row>
    <row r="1147" spans="1:70" x14ac:dyDescent="0.25">
      <c r="A1147">
        <f t="shared" si="44"/>
        <v>1086</v>
      </c>
      <c r="B1147" t="s">
        <v>2458</v>
      </c>
      <c r="D1147" s="1" t="s">
        <v>44</v>
      </c>
      <c r="E1147" s="1">
        <v>0</v>
      </c>
      <c r="F1147" s="1" t="s">
        <v>50</v>
      </c>
      <c r="G1147" s="1" t="s">
        <v>50</v>
      </c>
      <c r="H1147" s="1"/>
      <c r="I1147" s="1" t="s">
        <v>50</v>
      </c>
      <c r="J1147" s="1" t="s">
        <v>50</v>
      </c>
      <c r="K1147" s="1" t="s">
        <v>50</v>
      </c>
      <c r="L1147" s="1"/>
      <c r="M1147" s="1" t="s">
        <v>50</v>
      </c>
      <c r="N1147" s="1" t="s">
        <v>50</v>
      </c>
      <c r="O1147" s="1" t="s">
        <v>50</v>
      </c>
      <c r="P1147" s="13" t="s">
        <v>2235</v>
      </c>
      <c r="Q1147" s="1" t="s">
        <v>104</v>
      </c>
      <c r="R1147" s="1" t="s">
        <v>104</v>
      </c>
      <c r="S1147" s="1" t="s">
        <v>104</v>
      </c>
      <c r="T1147" s="1" t="s">
        <v>104</v>
      </c>
      <c r="U1147" s="1" t="s">
        <v>104</v>
      </c>
      <c r="V1147" s="1" t="s">
        <v>104</v>
      </c>
      <c r="W1147" s="1" t="s">
        <v>104</v>
      </c>
      <c r="X1147" s="1" t="s">
        <v>2467</v>
      </c>
      <c r="Y1147" s="1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>
        <v>1</v>
      </c>
      <c r="AT1147" s="8">
        <v>1</v>
      </c>
      <c r="AU1147" s="8"/>
      <c r="AV1147" s="8"/>
      <c r="AW1147" s="8"/>
      <c r="AX1147" s="8"/>
      <c r="AY1147" s="8"/>
      <c r="AZ1147" s="8"/>
      <c r="BA1147" s="8"/>
      <c r="BB1147" s="1"/>
      <c r="BL1147" s="58"/>
      <c r="BP1147" t="str">
        <f t="shared" ref="BP1147:BP1149" si="50">D1147&amp;E1147</f>
        <v>Light0</v>
      </c>
      <c r="BR1147">
        <v>2</v>
      </c>
    </row>
    <row r="1148" spans="1:70" x14ac:dyDescent="0.25">
      <c r="A1148">
        <f t="shared" si="44"/>
        <v>1087</v>
      </c>
      <c r="B1148" t="s">
        <v>2459</v>
      </c>
      <c r="D1148" s="1" t="s">
        <v>44</v>
      </c>
      <c r="E1148" s="1" t="s">
        <v>0</v>
      </c>
      <c r="F1148" s="1" t="s">
        <v>50</v>
      </c>
      <c r="G1148" s="1" t="s">
        <v>50</v>
      </c>
      <c r="H1148" s="1"/>
      <c r="I1148" s="1" t="s">
        <v>50</v>
      </c>
      <c r="J1148" s="1" t="s">
        <v>50</v>
      </c>
      <c r="K1148" s="1" t="s">
        <v>50</v>
      </c>
      <c r="L1148" s="1"/>
      <c r="M1148" s="1" t="s">
        <v>104</v>
      </c>
      <c r="N1148" s="1" t="s">
        <v>50</v>
      </c>
      <c r="O1148" s="1" t="s">
        <v>50</v>
      </c>
      <c r="P1148" s="13" t="s">
        <v>2235</v>
      </c>
      <c r="Q1148" s="1" t="s">
        <v>104</v>
      </c>
      <c r="R1148" s="1" t="s">
        <v>104</v>
      </c>
      <c r="S1148" s="1" t="s">
        <v>104</v>
      </c>
      <c r="T1148" s="1" t="s">
        <v>104</v>
      </c>
      <c r="U1148" s="1" t="s">
        <v>104</v>
      </c>
      <c r="V1148" s="1" t="s">
        <v>104</v>
      </c>
      <c r="W1148" s="1" t="s">
        <v>104</v>
      </c>
      <c r="X1148" s="1" t="s">
        <v>2467</v>
      </c>
      <c r="Y1148" s="1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>
        <v>1</v>
      </c>
      <c r="AT1148" s="8">
        <v>1</v>
      </c>
      <c r="AU1148" s="8"/>
      <c r="AV1148" s="8"/>
      <c r="AW1148" s="8"/>
      <c r="AX1148" s="8"/>
      <c r="AY1148" s="8"/>
      <c r="AZ1148" s="8"/>
      <c r="BA1148" s="8"/>
      <c r="BB1148" s="1"/>
      <c r="BL1148" s="58">
        <v>1</v>
      </c>
      <c r="BP1148" t="str">
        <f t="shared" si="50"/>
        <v>LightDark</v>
      </c>
      <c r="BR1148">
        <v>9</v>
      </c>
    </row>
    <row r="1149" spans="1:70" x14ac:dyDescent="0.25">
      <c r="A1149">
        <f t="shared" si="44"/>
        <v>1088</v>
      </c>
      <c r="B1149" t="s">
        <v>2463</v>
      </c>
      <c r="D1149" s="1" t="s">
        <v>11</v>
      </c>
      <c r="E1149" s="1" t="s">
        <v>44</v>
      </c>
      <c r="F1149" s="1" t="s">
        <v>50</v>
      </c>
      <c r="G1149" s="1" t="s">
        <v>50</v>
      </c>
      <c r="H1149" s="1"/>
      <c r="I1149" s="1" t="s">
        <v>50</v>
      </c>
      <c r="J1149" s="1" t="s">
        <v>50</v>
      </c>
      <c r="K1149" s="1" t="s">
        <v>50</v>
      </c>
      <c r="L1149" s="1"/>
      <c r="M1149" s="1" t="s">
        <v>50</v>
      </c>
      <c r="N1149" s="1" t="s">
        <v>50</v>
      </c>
      <c r="O1149" s="1" t="s">
        <v>50</v>
      </c>
      <c r="P1149" s="1" t="s">
        <v>830</v>
      </c>
      <c r="Q1149" s="1" t="s">
        <v>104</v>
      </c>
      <c r="R1149" s="1" t="s">
        <v>104</v>
      </c>
      <c r="S1149" s="1" t="s">
        <v>104</v>
      </c>
      <c r="T1149" s="1" t="s">
        <v>104</v>
      </c>
      <c r="U1149" s="1" t="s">
        <v>104</v>
      </c>
      <c r="V1149" s="1" t="s">
        <v>104</v>
      </c>
      <c r="W1149" s="1" t="s">
        <v>104</v>
      </c>
      <c r="X1149" s="1" t="s">
        <v>2377</v>
      </c>
      <c r="Y1149" s="1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>
        <v>1</v>
      </c>
      <c r="AP1149" s="8">
        <v>1</v>
      </c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1"/>
      <c r="BL1149" s="58"/>
      <c r="BP1149" t="str">
        <f t="shared" si="50"/>
        <v>GrassLight</v>
      </c>
      <c r="BR1149">
        <v>7</v>
      </c>
    </row>
    <row r="1150" spans="1:70" x14ac:dyDescent="0.25">
      <c r="A1150">
        <f t="shared" si="44"/>
        <v>1089</v>
      </c>
      <c r="B1150" t="s">
        <v>2464</v>
      </c>
      <c r="D1150" s="1" t="s">
        <v>17</v>
      </c>
      <c r="E1150" s="1" t="s">
        <v>3</v>
      </c>
      <c r="F1150" s="1" t="s">
        <v>50</v>
      </c>
      <c r="G1150" s="1" t="s">
        <v>50</v>
      </c>
      <c r="H1150" s="1"/>
      <c r="I1150" s="1" t="s">
        <v>50</v>
      </c>
      <c r="J1150" s="1" t="s">
        <v>50</v>
      </c>
      <c r="K1150" s="1" t="s">
        <v>50</v>
      </c>
      <c r="L1150" s="1"/>
      <c r="M1150" s="1" t="s">
        <v>50</v>
      </c>
      <c r="N1150" s="1" t="s">
        <v>50</v>
      </c>
      <c r="O1150" s="1" t="s">
        <v>50</v>
      </c>
      <c r="P1150" s="1" t="s">
        <v>2429</v>
      </c>
      <c r="Q1150" s="1" t="s">
        <v>50</v>
      </c>
      <c r="R1150" s="1" t="s">
        <v>50</v>
      </c>
      <c r="S1150" s="1" t="s">
        <v>50</v>
      </c>
      <c r="T1150" s="1" t="s">
        <v>50</v>
      </c>
      <c r="U1150" s="1" t="s">
        <v>50</v>
      </c>
      <c r="V1150" s="1" t="s">
        <v>50</v>
      </c>
      <c r="W1150" s="1" t="s">
        <v>50</v>
      </c>
      <c r="X1150" s="1" t="s">
        <v>2465</v>
      </c>
      <c r="Y1150" s="1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>
        <v>1</v>
      </c>
      <c r="AT1150" s="8"/>
      <c r="AU1150" s="8"/>
      <c r="AV1150" s="8"/>
      <c r="AW1150" s="8"/>
      <c r="AX1150" s="8"/>
      <c r="AY1150" s="8"/>
      <c r="AZ1150" s="8"/>
      <c r="BA1150" s="8"/>
      <c r="BB1150" s="1"/>
      <c r="BL1150" s="58">
        <v>2</v>
      </c>
      <c r="BP1150" t="str">
        <f t="shared" ref="BP1150" si="51">D1150&amp;E1150</f>
        <v>BugElectric</v>
      </c>
      <c r="BR1150">
        <v>8</v>
      </c>
    </row>
    <row r="1151" spans="1:70" x14ac:dyDescent="0.25">
      <c r="A1151">
        <f t="shared" si="44"/>
        <v>1090</v>
      </c>
      <c r="B1151" t="s">
        <v>2468</v>
      </c>
      <c r="D1151" s="1" t="s">
        <v>17</v>
      </c>
      <c r="E1151" s="1" t="s">
        <v>6</v>
      </c>
      <c r="F1151" s="1" t="s">
        <v>50</v>
      </c>
      <c r="G1151" s="1" t="s">
        <v>50</v>
      </c>
      <c r="H1151" s="1"/>
      <c r="I1151" s="1" t="s">
        <v>50</v>
      </c>
      <c r="J1151" s="1" t="s">
        <v>50</v>
      </c>
      <c r="K1151" s="1" t="s">
        <v>50</v>
      </c>
      <c r="L1151" s="1"/>
      <c r="M1151" s="1" t="s">
        <v>50</v>
      </c>
      <c r="N1151" s="1" t="s">
        <v>50</v>
      </c>
      <c r="O1151" s="1" t="s">
        <v>50</v>
      </c>
      <c r="P1151" s="13" t="s">
        <v>2482</v>
      </c>
      <c r="Q1151" s="1" t="s">
        <v>104</v>
      </c>
      <c r="R1151" s="1" t="s">
        <v>104</v>
      </c>
      <c r="S1151" s="1" t="s">
        <v>104</v>
      </c>
      <c r="T1151" s="1" t="s">
        <v>104</v>
      </c>
      <c r="U1151" s="1" t="s">
        <v>104</v>
      </c>
      <c r="V1151" s="1" t="s">
        <v>104</v>
      </c>
      <c r="W1151" s="1" t="s">
        <v>104</v>
      </c>
      <c r="X1151" s="1" t="s">
        <v>726</v>
      </c>
      <c r="Y1151" s="1"/>
      <c r="Z1151" s="8"/>
      <c r="AA1151" s="8"/>
      <c r="AB1151" s="8"/>
      <c r="AC1151" s="8"/>
      <c r="AD1151" s="8"/>
      <c r="AE1151" s="8">
        <v>1</v>
      </c>
      <c r="AF1151" s="8">
        <v>1</v>
      </c>
      <c r="AG1151" s="8">
        <v>1</v>
      </c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>
        <v>1</v>
      </c>
      <c r="AY1151" s="8">
        <v>1</v>
      </c>
      <c r="AZ1151" s="8"/>
      <c r="BA1151" s="8"/>
      <c r="BB1151" s="1"/>
      <c r="BL1151" s="58"/>
      <c r="BP1151" t="str">
        <f t="shared" ref="BP1151:BP1155" si="52">D1151&amp;E1151</f>
        <v>BugSteel</v>
      </c>
      <c r="BR1151">
        <v>5</v>
      </c>
    </row>
    <row r="1152" spans="1:70" x14ac:dyDescent="0.25">
      <c r="A1152">
        <f t="shared" si="44"/>
        <v>1091</v>
      </c>
      <c r="B1152" t="s">
        <v>2469</v>
      </c>
      <c r="D1152" s="1" t="s">
        <v>17</v>
      </c>
      <c r="E1152" s="1" t="s">
        <v>6</v>
      </c>
      <c r="F1152" s="1" t="s">
        <v>50</v>
      </c>
      <c r="G1152" s="1" t="s">
        <v>50</v>
      </c>
      <c r="H1152" s="1"/>
      <c r="I1152" s="1" t="s">
        <v>50</v>
      </c>
      <c r="J1152" s="1" t="s">
        <v>50</v>
      </c>
      <c r="K1152" s="1" t="s">
        <v>50</v>
      </c>
      <c r="L1152" s="1"/>
      <c r="M1152" s="1" t="s">
        <v>104</v>
      </c>
      <c r="N1152" s="1" t="s">
        <v>50</v>
      </c>
      <c r="O1152" s="1" t="s">
        <v>50</v>
      </c>
      <c r="P1152" s="13" t="s">
        <v>2482</v>
      </c>
      <c r="Q1152" s="1" t="s">
        <v>104</v>
      </c>
      <c r="R1152" s="1" t="s">
        <v>104</v>
      </c>
      <c r="S1152" s="1" t="s">
        <v>104</v>
      </c>
      <c r="T1152" s="1" t="s">
        <v>104</v>
      </c>
      <c r="U1152" s="1" t="s">
        <v>104</v>
      </c>
      <c r="V1152" s="1" t="s">
        <v>104</v>
      </c>
      <c r="W1152" s="1" t="s">
        <v>104</v>
      </c>
      <c r="X1152" s="1" t="s">
        <v>726</v>
      </c>
      <c r="Y1152" s="1"/>
      <c r="Z1152" s="8"/>
      <c r="AA1152" s="8"/>
      <c r="AB1152" s="8"/>
      <c r="AC1152" s="8"/>
      <c r="AD1152" s="8"/>
      <c r="AE1152" s="8">
        <v>1</v>
      </c>
      <c r="AF1152" s="8">
        <v>1</v>
      </c>
      <c r="AG1152" s="8">
        <v>1</v>
      </c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>
        <v>1</v>
      </c>
      <c r="AY1152" s="8">
        <v>1</v>
      </c>
      <c r="AZ1152" s="8"/>
      <c r="BA1152" s="8"/>
      <c r="BB1152" s="1"/>
      <c r="BL1152" s="58"/>
      <c r="BP1152" t="str">
        <f t="shared" si="52"/>
        <v>BugSteel</v>
      </c>
      <c r="BR1152">
        <v>5</v>
      </c>
    </row>
    <row r="1153" spans="1:70" x14ac:dyDescent="0.25">
      <c r="A1153">
        <f t="shared" si="44"/>
        <v>1092</v>
      </c>
      <c r="B1153" t="s">
        <v>2470</v>
      </c>
      <c r="D1153" s="1" t="s">
        <v>17</v>
      </c>
      <c r="E1153" s="1" t="s">
        <v>6</v>
      </c>
      <c r="F1153" s="1" t="s">
        <v>50</v>
      </c>
      <c r="G1153" s="1" t="s">
        <v>50</v>
      </c>
      <c r="H1153" s="1"/>
      <c r="I1153" s="1" t="s">
        <v>50</v>
      </c>
      <c r="J1153" s="1" t="s">
        <v>50</v>
      </c>
      <c r="K1153" s="1" t="s">
        <v>50</v>
      </c>
      <c r="L1153" s="1"/>
      <c r="M1153" s="1" t="s">
        <v>104</v>
      </c>
      <c r="N1153" s="1" t="s">
        <v>50</v>
      </c>
      <c r="O1153" s="1" t="s">
        <v>50</v>
      </c>
      <c r="P1153" s="13" t="s">
        <v>2482</v>
      </c>
      <c r="Q1153" s="1" t="s">
        <v>104</v>
      </c>
      <c r="R1153" s="1" t="s">
        <v>104</v>
      </c>
      <c r="S1153" s="1" t="s">
        <v>104</v>
      </c>
      <c r="T1153" s="1" t="s">
        <v>104</v>
      </c>
      <c r="U1153" s="1" t="s">
        <v>104</v>
      </c>
      <c r="V1153" s="1" t="s">
        <v>104</v>
      </c>
      <c r="W1153" s="1" t="s">
        <v>104</v>
      </c>
      <c r="X1153" s="1" t="s">
        <v>726</v>
      </c>
      <c r="Y1153" s="1"/>
      <c r="Z1153" s="8"/>
      <c r="AA1153" s="8"/>
      <c r="AB1153" s="8"/>
      <c r="AC1153" s="8"/>
      <c r="AD1153" s="8"/>
      <c r="AE1153" s="8">
        <v>1</v>
      </c>
      <c r="AF1153" s="8">
        <v>1</v>
      </c>
      <c r="AG1153" s="8">
        <v>1</v>
      </c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>
        <v>1</v>
      </c>
      <c r="AY1153" s="8">
        <v>1</v>
      </c>
      <c r="AZ1153" s="8"/>
      <c r="BA1153" s="8"/>
      <c r="BB1153" s="1"/>
      <c r="BL1153" s="58">
        <v>1</v>
      </c>
      <c r="BP1153" t="str">
        <f t="shared" si="52"/>
        <v>BugSteel</v>
      </c>
      <c r="BR1153">
        <v>5</v>
      </c>
    </row>
    <row r="1154" spans="1:70" x14ac:dyDescent="0.25">
      <c r="A1154">
        <f t="shared" si="44"/>
        <v>1093</v>
      </c>
      <c r="B1154" t="s">
        <v>2471</v>
      </c>
      <c r="D1154" s="1" t="s">
        <v>15</v>
      </c>
      <c r="E1154" s="1" t="s">
        <v>12</v>
      </c>
      <c r="F1154" s="1" t="s">
        <v>50</v>
      </c>
      <c r="G1154" s="1" t="s">
        <v>50</v>
      </c>
      <c r="H1154" s="1"/>
      <c r="I1154" s="1" t="s">
        <v>50</v>
      </c>
      <c r="J1154" s="1" t="s">
        <v>50</v>
      </c>
      <c r="K1154" s="1" t="s">
        <v>50</v>
      </c>
      <c r="L1154" s="1"/>
      <c r="M1154" s="1" t="s">
        <v>50</v>
      </c>
      <c r="N1154" s="1" t="s">
        <v>50</v>
      </c>
      <c r="O1154" s="1" t="s">
        <v>50</v>
      </c>
      <c r="P1154" s="13" t="s">
        <v>2235</v>
      </c>
      <c r="Q1154" s="1" t="s">
        <v>104</v>
      </c>
      <c r="R1154" s="1" t="s">
        <v>104</v>
      </c>
      <c r="S1154" s="1" t="s">
        <v>104</v>
      </c>
      <c r="T1154" s="1" t="s">
        <v>104</v>
      </c>
      <c r="U1154" s="1" t="s">
        <v>104</v>
      </c>
      <c r="V1154" s="1" t="s">
        <v>104</v>
      </c>
      <c r="W1154" s="1" t="s">
        <v>104</v>
      </c>
      <c r="X1154" s="1" t="s">
        <v>2144</v>
      </c>
      <c r="Y1154" s="1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>
        <v>1</v>
      </c>
      <c r="AJ1154" s="8">
        <v>1</v>
      </c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1"/>
      <c r="BL1154" s="58"/>
      <c r="BP1154" t="str">
        <f t="shared" si="52"/>
        <v>WaterDragon</v>
      </c>
      <c r="BR1154">
        <v>2</v>
      </c>
    </row>
    <row r="1155" spans="1:70" x14ac:dyDescent="0.25">
      <c r="A1155">
        <f t="shared" si="44"/>
        <v>1094</v>
      </c>
      <c r="B1155" t="s">
        <v>2472</v>
      </c>
      <c r="D1155" s="1" t="s">
        <v>15</v>
      </c>
      <c r="E1155" s="1" t="s">
        <v>12</v>
      </c>
      <c r="F1155" s="1" t="s">
        <v>50</v>
      </c>
      <c r="G1155" s="1" t="s">
        <v>50</v>
      </c>
      <c r="H1155" s="1"/>
      <c r="I1155" s="1" t="s">
        <v>50</v>
      </c>
      <c r="J1155" s="1" t="s">
        <v>50</v>
      </c>
      <c r="K1155" s="1" t="s">
        <v>50</v>
      </c>
      <c r="L1155" s="1"/>
      <c r="M1155" s="1" t="s">
        <v>104</v>
      </c>
      <c r="N1155" s="1" t="s">
        <v>50</v>
      </c>
      <c r="O1155" s="1" t="s">
        <v>50</v>
      </c>
      <c r="P1155" s="13" t="s">
        <v>2235</v>
      </c>
      <c r="Q1155" s="1" t="s">
        <v>50</v>
      </c>
      <c r="R1155" s="1" t="s">
        <v>50</v>
      </c>
      <c r="S1155" s="1" t="s">
        <v>50</v>
      </c>
      <c r="T1155" s="1" t="s">
        <v>50</v>
      </c>
      <c r="U1155" s="1" t="s">
        <v>50</v>
      </c>
      <c r="V1155" s="1" t="s">
        <v>50</v>
      </c>
      <c r="W1155" s="1" t="s">
        <v>50</v>
      </c>
      <c r="X1155" s="1" t="s">
        <v>2144</v>
      </c>
      <c r="Y1155" s="1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>
        <v>1</v>
      </c>
      <c r="AJ1155" s="8">
        <v>1</v>
      </c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1"/>
      <c r="BL1155" s="58">
        <v>2</v>
      </c>
      <c r="BP1155" t="str">
        <f t="shared" si="52"/>
        <v>WaterDragon</v>
      </c>
      <c r="BR1155">
        <v>2</v>
      </c>
    </row>
    <row r="1156" spans="1:70" x14ac:dyDescent="0.25">
      <c r="A1156">
        <f t="shared" si="44"/>
        <v>1095</v>
      </c>
      <c r="B1156" t="s">
        <v>2473</v>
      </c>
      <c r="D1156" s="1" t="s">
        <v>13</v>
      </c>
      <c r="E1156" s="1">
        <v>0</v>
      </c>
      <c r="F1156" s="1" t="s">
        <v>50</v>
      </c>
      <c r="G1156" s="1" t="s">
        <v>50</v>
      </c>
      <c r="H1156" s="1"/>
      <c r="I1156" s="1" t="s">
        <v>50</v>
      </c>
      <c r="J1156" s="1" t="s">
        <v>50</v>
      </c>
      <c r="K1156" s="1" t="s">
        <v>50</v>
      </c>
      <c r="L1156" s="1"/>
      <c r="M1156" s="1" t="s">
        <v>50</v>
      </c>
      <c r="N1156" s="1" t="s">
        <v>50</v>
      </c>
      <c r="O1156" s="1" t="s">
        <v>50</v>
      </c>
      <c r="P1156" s="1" t="s">
        <v>2059</v>
      </c>
      <c r="Q1156" s="1" t="s">
        <v>104</v>
      </c>
      <c r="R1156" s="1" t="s">
        <v>104</v>
      </c>
      <c r="S1156" s="1" t="s">
        <v>104</v>
      </c>
      <c r="T1156" s="1" t="s">
        <v>104</v>
      </c>
      <c r="U1156" s="1" t="s">
        <v>104</v>
      </c>
      <c r="V1156" s="1" t="s">
        <v>104</v>
      </c>
      <c r="W1156" s="1" t="s">
        <v>104</v>
      </c>
      <c r="X1156" s="1" t="s">
        <v>730</v>
      </c>
      <c r="Y1156" s="1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>
        <v>1</v>
      </c>
      <c r="AX1156" s="8"/>
      <c r="AY1156" s="8"/>
      <c r="AZ1156" s="8"/>
      <c r="BA1156" s="8"/>
      <c r="BB1156" s="1"/>
      <c r="BL1156" s="58"/>
      <c r="BP1156" t="str">
        <f t="shared" ref="BP1156:BP1158" si="53">D1156&amp;E1156</f>
        <v>Fire0</v>
      </c>
      <c r="BR1156">
        <v>1</v>
      </c>
    </row>
    <row r="1157" spans="1:70" x14ac:dyDescent="0.25">
      <c r="A1157">
        <f t="shared" si="44"/>
        <v>1096</v>
      </c>
      <c r="B1157" t="s">
        <v>2474</v>
      </c>
      <c r="D1157" s="1" t="s">
        <v>13</v>
      </c>
      <c r="E1157" s="1">
        <v>0</v>
      </c>
      <c r="F1157" s="1" t="s">
        <v>50</v>
      </c>
      <c r="G1157" s="1" t="s">
        <v>50</v>
      </c>
      <c r="H1157" s="1"/>
      <c r="I1157" s="1" t="s">
        <v>50</v>
      </c>
      <c r="J1157" s="1" t="s">
        <v>50</v>
      </c>
      <c r="K1157" s="1" t="s">
        <v>50</v>
      </c>
      <c r="L1157" s="1"/>
      <c r="M1157" s="1" t="s">
        <v>104</v>
      </c>
      <c r="N1157" s="1" t="s">
        <v>50</v>
      </c>
      <c r="O1157" s="1" t="s">
        <v>50</v>
      </c>
      <c r="P1157" s="1" t="s">
        <v>2059</v>
      </c>
      <c r="Q1157" s="1" t="s">
        <v>104</v>
      </c>
      <c r="R1157" s="1" t="s">
        <v>104</v>
      </c>
      <c r="S1157" s="1" t="s">
        <v>104</v>
      </c>
      <c r="T1157" s="1" t="s">
        <v>104</v>
      </c>
      <c r="U1157" s="1" t="s">
        <v>104</v>
      </c>
      <c r="V1157" s="1" t="s">
        <v>104</v>
      </c>
      <c r="W1157" s="1" t="s">
        <v>104</v>
      </c>
      <c r="X1157" s="1" t="s">
        <v>730</v>
      </c>
      <c r="Y1157" s="1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>
        <v>1</v>
      </c>
      <c r="AX1157" s="8"/>
      <c r="AY1157" s="8"/>
      <c r="AZ1157" s="8"/>
      <c r="BA1157" s="8"/>
      <c r="BB1157" s="1"/>
      <c r="BL1157" s="58"/>
      <c r="BP1157" t="str">
        <f t="shared" si="53"/>
        <v>Fire0</v>
      </c>
      <c r="BR1157">
        <v>1</v>
      </c>
    </row>
    <row r="1158" spans="1:70" x14ac:dyDescent="0.25">
      <c r="A1158">
        <f t="shared" si="44"/>
        <v>1097</v>
      </c>
      <c r="B1158" t="s">
        <v>2475</v>
      </c>
      <c r="D1158" s="1" t="s">
        <v>13</v>
      </c>
      <c r="E1158" s="1">
        <v>0</v>
      </c>
      <c r="F1158" s="1" t="s">
        <v>50</v>
      </c>
      <c r="G1158" s="1" t="s">
        <v>50</v>
      </c>
      <c r="H1158" s="1"/>
      <c r="I1158" s="1" t="s">
        <v>50</v>
      </c>
      <c r="J1158" s="1" t="s">
        <v>50</v>
      </c>
      <c r="K1158" s="1" t="s">
        <v>50</v>
      </c>
      <c r="L1158" s="1"/>
      <c r="M1158" s="1" t="s">
        <v>104</v>
      </c>
      <c r="N1158" s="1" t="s">
        <v>50</v>
      </c>
      <c r="O1158" s="1" t="s">
        <v>50</v>
      </c>
      <c r="P1158" s="1" t="s">
        <v>2059</v>
      </c>
      <c r="Q1158" s="1" t="s">
        <v>104</v>
      </c>
      <c r="R1158" s="1" t="s">
        <v>104</v>
      </c>
      <c r="S1158" s="1" t="s">
        <v>104</v>
      </c>
      <c r="T1158" s="1" t="s">
        <v>104</v>
      </c>
      <c r="U1158" s="1" t="s">
        <v>104</v>
      </c>
      <c r="V1158" s="1" t="s">
        <v>104</v>
      </c>
      <c r="W1158" s="1" t="s">
        <v>104</v>
      </c>
      <c r="X1158" s="1" t="s">
        <v>730</v>
      </c>
      <c r="Y1158" s="1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>
        <v>1</v>
      </c>
      <c r="AX1158" s="8"/>
      <c r="AY1158" s="8"/>
      <c r="AZ1158" s="8"/>
      <c r="BA1158" s="8"/>
      <c r="BB1158" s="1"/>
      <c r="BL1158" s="58">
        <v>3</v>
      </c>
      <c r="BP1158" t="str">
        <f t="shared" si="53"/>
        <v>Fire0</v>
      </c>
      <c r="BR1158">
        <v>1</v>
      </c>
    </row>
    <row r="1159" spans="1:70" x14ac:dyDescent="0.25">
      <c r="A1159">
        <f t="shared" si="44"/>
        <v>1098</v>
      </c>
      <c r="B1159" t="s">
        <v>2476</v>
      </c>
      <c r="D1159" s="1" t="s">
        <v>5</v>
      </c>
      <c r="E1159" s="1">
        <v>0</v>
      </c>
      <c r="F1159" s="1" t="s">
        <v>50</v>
      </c>
      <c r="G1159" s="1" t="s">
        <v>50</v>
      </c>
      <c r="H1159" s="1"/>
      <c r="I1159" s="1" t="s">
        <v>50</v>
      </c>
      <c r="J1159" s="1" t="s">
        <v>50</v>
      </c>
      <c r="K1159" s="1" t="s">
        <v>50</v>
      </c>
      <c r="L1159" s="1"/>
      <c r="M1159" s="1" t="s">
        <v>50</v>
      </c>
      <c r="N1159" s="1" t="s">
        <v>50</v>
      </c>
      <c r="O1159" s="1" t="s">
        <v>50</v>
      </c>
      <c r="P1159" s="1" t="s">
        <v>2059</v>
      </c>
      <c r="Q1159" s="1" t="s">
        <v>104</v>
      </c>
      <c r="R1159" s="1" t="s">
        <v>104</v>
      </c>
      <c r="S1159" s="1" t="s">
        <v>104</v>
      </c>
      <c r="T1159" s="1" t="s">
        <v>104</v>
      </c>
      <c r="U1159" s="1" t="s">
        <v>104</v>
      </c>
      <c r="V1159" s="1" t="s">
        <v>104</v>
      </c>
      <c r="W1159" s="1" t="s">
        <v>104</v>
      </c>
      <c r="X1159" s="1" t="s">
        <v>730</v>
      </c>
      <c r="Y1159" s="1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>
        <v>1</v>
      </c>
      <c r="AQ1159" s="8">
        <v>1</v>
      </c>
      <c r="AR1159" s="8">
        <v>1</v>
      </c>
      <c r="AS1159" s="8"/>
      <c r="AT1159" s="8"/>
      <c r="AU1159" s="8"/>
      <c r="AV1159" s="8"/>
      <c r="AW1159" s="8"/>
      <c r="AX1159" s="8"/>
      <c r="AY1159" s="8"/>
      <c r="AZ1159" s="8"/>
      <c r="BA1159" s="8"/>
      <c r="BB1159" s="1"/>
      <c r="BL1159" s="58"/>
      <c r="BP1159" t="str">
        <f t="shared" ref="BP1159:BP1165" si="54">D1159&amp;E1159</f>
        <v>Ice0</v>
      </c>
      <c r="BR1159">
        <v>1</v>
      </c>
    </row>
    <row r="1160" spans="1:70" x14ac:dyDescent="0.25">
      <c r="A1160">
        <f t="shared" si="44"/>
        <v>1099</v>
      </c>
      <c r="B1160" t="s">
        <v>2477</v>
      </c>
      <c r="D1160" s="1" t="s">
        <v>5</v>
      </c>
      <c r="E1160" s="1">
        <v>0</v>
      </c>
      <c r="F1160" s="1" t="s">
        <v>50</v>
      </c>
      <c r="G1160" s="1" t="s">
        <v>50</v>
      </c>
      <c r="H1160" s="1"/>
      <c r="I1160" s="1" t="s">
        <v>50</v>
      </c>
      <c r="J1160" s="1" t="s">
        <v>50</v>
      </c>
      <c r="K1160" s="1" t="s">
        <v>50</v>
      </c>
      <c r="L1160" s="1"/>
      <c r="M1160" s="1" t="s">
        <v>104</v>
      </c>
      <c r="N1160" s="1" t="s">
        <v>50</v>
      </c>
      <c r="O1160" s="1" t="s">
        <v>50</v>
      </c>
      <c r="P1160" s="1" t="s">
        <v>2059</v>
      </c>
      <c r="Q1160" s="1" t="s">
        <v>104</v>
      </c>
      <c r="R1160" s="1" t="s">
        <v>104</v>
      </c>
      <c r="S1160" s="1" t="s">
        <v>104</v>
      </c>
      <c r="T1160" s="1" t="s">
        <v>104</v>
      </c>
      <c r="U1160" s="1" t="s">
        <v>104</v>
      </c>
      <c r="V1160" s="1" t="s">
        <v>104</v>
      </c>
      <c r="W1160" s="1" t="s">
        <v>104</v>
      </c>
      <c r="X1160" s="1" t="s">
        <v>730</v>
      </c>
      <c r="Y1160" s="1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>
        <v>1</v>
      </c>
      <c r="AQ1160" s="8">
        <v>1</v>
      </c>
      <c r="AR1160" s="8">
        <v>1</v>
      </c>
      <c r="AS1160" s="8"/>
      <c r="AT1160" s="8"/>
      <c r="AU1160" s="8"/>
      <c r="AV1160" s="8"/>
      <c r="AW1160" s="8"/>
      <c r="AX1160" s="8"/>
      <c r="AY1160" s="8"/>
      <c r="AZ1160" s="8"/>
      <c r="BA1160" s="8"/>
      <c r="BB1160" s="1"/>
      <c r="BL1160" s="58"/>
      <c r="BP1160" t="str">
        <f t="shared" si="54"/>
        <v>Ice0</v>
      </c>
      <c r="BR1160">
        <v>1</v>
      </c>
    </row>
    <row r="1161" spans="1:70" x14ac:dyDescent="0.25">
      <c r="A1161">
        <f t="shared" si="44"/>
        <v>1100</v>
      </c>
      <c r="B1161" t="s">
        <v>2478</v>
      </c>
      <c r="D1161" s="1" t="s">
        <v>5</v>
      </c>
      <c r="E1161" s="1">
        <v>0</v>
      </c>
      <c r="F1161" s="1" t="s">
        <v>50</v>
      </c>
      <c r="G1161" s="1" t="s">
        <v>50</v>
      </c>
      <c r="H1161" s="1"/>
      <c r="I1161" s="1" t="s">
        <v>50</v>
      </c>
      <c r="J1161" s="1" t="s">
        <v>50</v>
      </c>
      <c r="K1161" s="1" t="s">
        <v>50</v>
      </c>
      <c r="L1161" s="1"/>
      <c r="M1161" s="1" t="s">
        <v>104</v>
      </c>
      <c r="N1161" s="1" t="s">
        <v>50</v>
      </c>
      <c r="O1161" s="1" t="s">
        <v>50</v>
      </c>
      <c r="P1161" s="1" t="s">
        <v>2059</v>
      </c>
      <c r="Q1161" s="1" t="s">
        <v>104</v>
      </c>
      <c r="R1161" s="1" t="s">
        <v>104</v>
      </c>
      <c r="S1161" s="1" t="s">
        <v>104</v>
      </c>
      <c r="T1161" s="1" t="s">
        <v>104</v>
      </c>
      <c r="U1161" s="1" t="s">
        <v>104</v>
      </c>
      <c r="V1161" s="1" t="s">
        <v>104</v>
      </c>
      <c r="W1161" s="1" t="s">
        <v>104</v>
      </c>
      <c r="X1161" s="1" t="s">
        <v>730</v>
      </c>
      <c r="Y1161" s="1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>
        <v>1</v>
      </c>
      <c r="AQ1161" s="8">
        <v>1</v>
      </c>
      <c r="AR1161" s="8">
        <v>1</v>
      </c>
      <c r="AS1161" s="8"/>
      <c r="AT1161" s="8"/>
      <c r="AU1161" s="8"/>
      <c r="AV1161" s="8"/>
      <c r="AW1161" s="8"/>
      <c r="AX1161" s="8"/>
      <c r="AY1161" s="8"/>
      <c r="AZ1161" s="8"/>
      <c r="BA1161" s="8"/>
      <c r="BB1161" s="1"/>
      <c r="BL1161" s="58">
        <v>1</v>
      </c>
      <c r="BP1161" t="str">
        <f t="shared" si="54"/>
        <v>Ice0</v>
      </c>
      <c r="BR1161">
        <v>1</v>
      </c>
    </row>
    <row r="1162" spans="1:70" x14ac:dyDescent="0.25">
      <c r="A1162">
        <f t="shared" si="44"/>
        <v>1101</v>
      </c>
      <c r="B1162" t="s">
        <v>2479</v>
      </c>
      <c r="D1162" s="1" t="s">
        <v>13</v>
      </c>
      <c r="E1162" s="1">
        <v>0</v>
      </c>
      <c r="F1162" s="1" t="s">
        <v>50</v>
      </c>
      <c r="G1162" s="1" t="s">
        <v>50</v>
      </c>
      <c r="H1162" s="1"/>
      <c r="I1162" s="1" t="s">
        <v>50</v>
      </c>
      <c r="J1162" s="1" t="s">
        <v>50</v>
      </c>
      <c r="K1162" s="1" t="s">
        <v>50</v>
      </c>
      <c r="L1162" s="1"/>
      <c r="M1162" s="1" t="s">
        <v>50</v>
      </c>
      <c r="N1162" s="1" t="s">
        <v>50</v>
      </c>
      <c r="O1162" s="1" t="s">
        <v>50</v>
      </c>
      <c r="P1162" s="1" t="s">
        <v>820</v>
      </c>
      <c r="Q1162" s="1" t="s">
        <v>104</v>
      </c>
      <c r="R1162" s="1" t="s">
        <v>104</v>
      </c>
      <c r="S1162" s="1" t="s">
        <v>104</v>
      </c>
      <c r="T1162" s="1" t="s">
        <v>104</v>
      </c>
      <c r="U1162" s="1" t="s">
        <v>104</v>
      </c>
      <c r="V1162" s="1" t="s">
        <v>104</v>
      </c>
      <c r="W1162" s="1" t="s">
        <v>104</v>
      </c>
      <c r="X1162" s="1" t="s">
        <v>2144</v>
      </c>
      <c r="Y1162" s="1"/>
      <c r="Z1162" s="8"/>
      <c r="AA1162" s="8"/>
      <c r="AB1162" s="8"/>
      <c r="AC1162" s="8"/>
      <c r="AD1162" s="8"/>
      <c r="AE1162" s="8">
        <v>1</v>
      </c>
      <c r="AF1162" s="8">
        <v>1</v>
      </c>
      <c r="AG1162" s="8">
        <v>1</v>
      </c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>
        <v>1</v>
      </c>
      <c r="AX1162" s="8">
        <v>1</v>
      </c>
      <c r="AY1162" s="8">
        <v>1</v>
      </c>
      <c r="AZ1162" s="8"/>
      <c r="BA1162" s="8"/>
      <c r="BB1162" s="1"/>
      <c r="BL1162" s="58"/>
      <c r="BP1162" t="str">
        <f t="shared" si="54"/>
        <v>Fire0</v>
      </c>
      <c r="BR1162">
        <v>8</v>
      </c>
    </row>
    <row r="1163" spans="1:70" x14ac:dyDescent="0.25">
      <c r="A1163">
        <f t="shared" si="44"/>
        <v>1102</v>
      </c>
      <c r="B1163" t="s">
        <v>2480</v>
      </c>
      <c r="D1163" s="1" t="s">
        <v>13</v>
      </c>
      <c r="E1163" s="1" t="s">
        <v>18</v>
      </c>
      <c r="F1163" s="1" t="s">
        <v>50</v>
      </c>
      <c r="G1163" s="1" t="s">
        <v>50</v>
      </c>
      <c r="H1163" s="1"/>
      <c r="I1163" s="1" t="s">
        <v>50</v>
      </c>
      <c r="J1163" s="1" t="s">
        <v>50</v>
      </c>
      <c r="K1163" s="1" t="s">
        <v>50</v>
      </c>
      <c r="L1163" s="1"/>
      <c r="M1163" s="1" t="s">
        <v>104</v>
      </c>
      <c r="N1163" s="1" t="s">
        <v>50</v>
      </c>
      <c r="O1163" s="1" t="s">
        <v>50</v>
      </c>
      <c r="P1163" s="1" t="s">
        <v>820</v>
      </c>
      <c r="Q1163" s="1" t="s">
        <v>104</v>
      </c>
      <c r="R1163" s="1" t="s">
        <v>104</v>
      </c>
      <c r="S1163" s="1" t="s">
        <v>104</v>
      </c>
      <c r="T1163" s="1" t="s">
        <v>104</v>
      </c>
      <c r="U1163" s="1" t="s">
        <v>104</v>
      </c>
      <c r="V1163" s="1" t="s">
        <v>104</v>
      </c>
      <c r="W1163" s="1" t="s">
        <v>104</v>
      </c>
      <c r="X1163" s="1" t="s">
        <v>2144</v>
      </c>
      <c r="Y1163" s="1"/>
      <c r="Z1163" s="8"/>
      <c r="AA1163" s="8"/>
      <c r="AB1163" s="8"/>
      <c r="AC1163" s="8"/>
      <c r="AD1163" s="8"/>
      <c r="AE1163" s="8">
        <v>1</v>
      </c>
      <c r="AF1163" s="8">
        <v>1</v>
      </c>
      <c r="AG1163" s="8">
        <v>1</v>
      </c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>
        <v>1</v>
      </c>
      <c r="AX1163" s="8">
        <v>1</v>
      </c>
      <c r="AY1163" s="8">
        <v>1</v>
      </c>
      <c r="AZ1163" s="8"/>
      <c r="BA1163" s="8"/>
      <c r="BB1163" s="1"/>
      <c r="BL1163" s="58"/>
      <c r="BP1163" t="str">
        <f t="shared" si="54"/>
        <v>FireFighting</v>
      </c>
      <c r="BR1163">
        <v>8</v>
      </c>
    </row>
    <row r="1164" spans="1:70" x14ac:dyDescent="0.25">
      <c r="A1164">
        <f t="shared" si="44"/>
        <v>1103</v>
      </c>
      <c r="B1164" t="s">
        <v>2481</v>
      </c>
      <c r="D1164" s="1" t="s">
        <v>13</v>
      </c>
      <c r="E1164" s="1" t="s">
        <v>18</v>
      </c>
      <c r="F1164" s="1" t="s">
        <v>50</v>
      </c>
      <c r="G1164" s="1" t="s">
        <v>50</v>
      </c>
      <c r="H1164" s="1"/>
      <c r="I1164" s="1" t="s">
        <v>50</v>
      </c>
      <c r="J1164" s="1" t="s">
        <v>50</v>
      </c>
      <c r="K1164" s="1" t="s">
        <v>50</v>
      </c>
      <c r="L1164" s="1"/>
      <c r="M1164" s="1" t="s">
        <v>104</v>
      </c>
      <c r="N1164" s="1" t="s">
        <v>50</v>
      </c>
      <c r="O1164" s="1" t="s">
        <v>50</v>
      </c>
      <c r="P1164" s="1" t="s">
        <v>820</v>
      </c>
      <c r="Q1164" s="1" t="s">
        <v>104</v>
      </c>
      <c r="R1164" s="1" t="s">
        <v>104</v>
      </c>
      <c r="S1164" s="1" t="s">
        <v>104</v>
      </c>
      <c r="T1164" s="1" t="s">
        <v>104</v>
      </c>
      <c r="U1164" s="1" t="s">
        <v>104</v>
      </c>
      <c r="V1164" s="1" t="s">
        <v>104</v>
      </c>
      <c r="W1164" s="1" t="s">
        <v>104</v>
      </c>
      <c r="X1164" s="1" t="s">
        <v>2144</v>
      </c>
      <c r="Y1164" s="1"/>
      <c r="Z1164" s="8"/>
      <c r="AA1164" s="8"/>
      <c r="AB1164" s="8"/>
      <c r="AC1164" s="8"/>
      <c r="AD1164" s="8"/>
      <c r="AE1164" s="8">
        <v>1</v>
      </c>
      <c r="AF1164" s="8">
        <v>1</v>
      </c>
      <c r="AG1164" s="8">
        <v>1</v>
      </c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>
        <v>1</v>
      </c>
      <c r="AX1164" s="8">
        <v>1</v>
      </c>
      <c r="AY1164" s="8">
        <v>1</v>
      </c>
      <c r="AZ1164" s="8"/>
      <c r="BA1164" s="8"/>
      <c r="BB1164" s="1"/>
      <c r="BL1164" s="58">
        <v>4</v>
      </c>
      <c r="BP1164" t="str">
        <f t="shared" si="54"/>
        <v>FireFighting</v>
      </c>
      <c r="BR1164">
        <v>8</v>
      </c>
    </row>
    <row r="1165" spans="1:70" x14ac:dyDescent="0.25">
      <c r="A1165">
        <f t="shared" si="44"/>
        <v>1104</v>
      </c>
      <c r="B1165" t="s">
        <v>2483</v>
      </c>
      <c r="D1165" s="1" t="s">
        <v>11</v>
      </c>
      <c r="E1165" s="1" t="s">
        <v>41</v>
      </c>
      <c r="F1165" s="1" t="s">
        <v>50</v>
      </c>
      <c r="G1165" s="1" t="s">
        <v>50</v>
      </c>
      <c r="H1165" s="1"/>
      <c r="I1165" s="1" t="s">
        <v>50</v>
      </c>
      <c r="J1165" s="13" t="s">
        <v>50</v>
      </c>
      <c r="K1165" s="1" t="s">
        <v>50</v>
      </c>
      <c r="L1165" s="1"/>
      <c r="M1165" s="1" t="s">
        <v>50</v>
      </c>
      <c r="N1165" s="1" t="s">
        <v>50</v>
      </c>
      <c r="O1165" s="1" t="s">
        <v>50</v>
      </c>
      <c r="P1165" s="13" t="s">
        <v>781</v>
      </c>
      <c r="Q1165" s="1" t="s">
        <v>104</v>
      </c>
      <c r="R1165" s="1" t="s">
        <v>104</v>
      </c>
      <c r="S1165" s="1" t="s">
        <v>104</v>
      </c>
      <c r="T1165" s="1" t="s">
        <v>104</v>
      </c>
      <c r="U1165" s="1" t="s">
        <v>104</v>
      </c>
      <c r="V1165" s="1" t="s">
        <v>104</v>
      </c>
      <c r="W1165" s="1" t="s">
        <v>104</v>
      </c>
      <c r="X1165" s="1" t="s">
        <v>730</v>
      </c>
      <c r="Y1165" s="1"/>
      <c r="Z1165" s="8"/>
      <c r="AA1165" s="8">
        <v>1</v>
      </c>
      <c r="AB1165" s="8">
        <v>1</v>
      </c>
      <c r="AC1165" s="8"/>
      <c r="AD1165" s="8"/>
      <c r="AE1165" s="8"/>
      <c r="AF1165" s="8"/>
      <c r="AG1165" s="8"/>
      <c r="AH1165" s="8"/>
      <c r="AI1165" s="8"/>
      <c r="AJ1165" s="8">
        <v>1</v>
      </c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>
        <v>1</v>
      </c>
      <c r="AY1165" s="8"/>
      <c r="AZ1165" s="8"/>
      <c r="BA1165" s="8"/>
      <c r="BB1165" s="1"/>
      <c r="BL1165" s="58"/>
      <c r="BP1165" t="str">
        <f t="shared" si="54"/>
        <v>GrassSound</v>
      </c>
      <c r="BR1165">
        <v>4</v>
      </c>
    </row>
    <row r="1166" spans="1:70" x14ac:dyDescent="0.25">
      <c r="A1166">
        <f t="shared" si="44"/>
        <v>1105</v>
      </c>
      <c r="B1166" t="s">
        <v>2484</v>
      </c>
      <c r="D1166" s="1" t="s">
        <v>4</v>
      </c>
      <c r="E1166" s="1" t="s">
        <v>12</v>
      </c>
      <c r="F1166" s="1" t="s">
        <v>50</v>
      </c>
      <c r="G1166" s="1" t="s">
        <v>50</v>
      </c>
      <c r="H1166" s="1"/>
      <c r="I1166" s="1" t="s">
        <v>50</v>
      </c>
      <c r="J1166" s="13" t="s">
        <v>50</v>
      </c>
      <c r="K1166" s="1" t="s">
        <v>50</v>
      </c>
      <c r="L1166" s="1"/>
      <c r="M1166" s="1" t="s">
        <v>50</v>
      </c>
      <c r="N1166" s="1" t="s">
        <v>50</v>
      </c>
      <c r="O1166" s="1" t="s">
        <v>50</v>
      </c>
      <c r="P1166" s="13" t="s">
        <v>1787</v>
      </c>
      <c r="Q1166" s="1" t="s">
        <v>104</v>
      </c>
      <c r="R1166" s="1" t="s">
        <v>104</v>
      </c>
      <c r="S1166" s="1" t="s">
        <v>104</v>
      </c>
      <c r="T1166" s="1" t="s">
        <v>104</v>
      </c>
      <c r="U1166" s="1" t="s">
        <v>104</v>
      </c>
      <c r="V1166" s="1" t="s">
        <v>104</v>
      </c>
      <c r="W1166" s="1" t="s">
        <v>104</v>
      </c>
      <c r="X1166" s="1" t="s">
        <v>2485</v>
      </c>
      <c r="Y1166" s="1"/>
      <c r="Z1166" s="8"/>
      <c r="AA1166" s="8">
        <v>1</v>
      </c>
      <c r="AB1166" s="8">
        <v>1</v>
      </c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>
        <v>1</v>
      </c>
      <c r="BA1166" s="8"/>
      <c r="BB1166" s="1"/>
      <c r="BL1166" s="58"/>
      <c r="BP1166" t="str">
        <f t="shared" ref="BP1166:BP1169" si="55">D1166&amp;E1166</f>
        <v>PsychicDragon</v>
      </c>
      <c r="BR1166">
        <v>3</v>
      </c>
    </row>
    <row r="1167" spans="1:70" x14ac:dyDescent="0.25">
      <c r="A1167">
        <f t="shared" si="44"/>
        <v>1106</v>
      </c>
      <c r="B1167" t="s">
        <v>2486</v>
      </c>
      <c r="D1167" s="1" t="s">
        <v>15</v>
      </c>
      <c r="E1167" s="1">
        <v>0</v>
      </c>
      <c r="F1167" s="1" t="s">
        <v>50</v>
      </c>
      <c r="G1167" s="1" t="s">
        <v>50</v>
      </c>
      <c r="H1167" s="1"/>
      <c r="I1167" s="1" t="s">
        <v>50</v>
      </c>
      <c r="J1167" s="1" t="s">
        <v>50</v>
      </c>
      <c r="K1167" s="1" t="s">
        <v>50</v>
      </c>
      <c r="L1167" s="1"/>
      <c r="M1167" s="1" t="s">
        <v>50</v>
      </c>
      <c r="N1167" s="1" t="s">
        <v>50</v>
      </c>
      <c r="O1167" s="1" t="s">
        <v>50</v>
      </c>
      <c r="P1167" s="1" t="s">
        <v>1814</v>
      </c>
      <c r="Q1167" s="1" t="s">
        <v>104</v>
      </c>
      <c r="R1167" s="1" t="s">
        <v>104</v>
      </c>
      <c r="S1167" s="1" t="s">
        <v>104</v>
      </c>
      <c r="T1167" s="1" t="s">
        <v>104</v>
      </c>
      <c r="U1167" s="1" t="s">
        <v>104</v>
      </c>
      <c r="V1167" s="1" t="s">
        <v>104</v>
      </c>
      <c r="W1167" s="1" t="s">
        <v>104</v>
      </c>
      <c r="X1167" s="1" t="s">
        <v>726</v>
      </c>
      <c r="Y1167" s="1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>
        <v>1</v>
      </c>
      <c r="AL1167" s="8">
        <v>1</v>
      </c>
      <c r="AM1167" s="8">
        <v>1</v>
      </c>
      <c r="AN1167" s="8">
        <v>1</v>
      </c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1"/>
      <c r="BL1167" s="58"/>
      <c r="BP1167" t="str">
        <f t="shared" si="55"/>
        <v>Water0</v>
      </c>
      <c r="BR1167">
        <v>5</v>
      </c>
    </row>
    <row r="1168" spans="1:70" x14ac:dyDescent="0.25">
      <c r="A1168">
        <f t="shared" si="44"/>
        <v>1107</v>
      </c>
      <c r="B1168" t="s">
        <v>2487</v>
      </c>
      <c r="D1168" s="1" t="s">
        <v>15</v>
      </c>
      <c r="E1168" s="1" t="s">
        <v>0</v>
      </c>
      <c r="F1168" s="1" t="s">
        <v>50</v>
      </c>
      <c r="G1168" s="1" t="s">
        <v>50</v>
      </c>
      <c r="H1168" s="1"/>
      <c r="I1168" s="1" t="s">
        <v>50</v>
      </c>
      <c r="J1168" s="1" t="s">
        <v>50</v>
      </c>
      <c r="K1168" s="1" t="s">
        <v>50</v>
      </c>
      <c r="L1168" s="1"/>
      <c r="M1168" s="1" t="s">
        <v>104</v>
      </c>
      <c r="N1168" s="1" t="s">
        <v>50</v>
      </c>
      <c r="O1168" s="1" t="s">
        <v>50</v>
      </c>
      <c r="P1168" s="1" t="s">
        <v>1814</v>
      </c>
      <c r="Q1168" s="1" t="s">
        <v>104</v>
      </c>
      <c r="R1168" s="1" t="s">
        <v>104</v>
      </c>
      <c r="S1168" s="1" t="s">
        <v>104</v>
      </c>
      <c r="T1168" s="1" t="s">
        <v>104</v>
      </c>
      <c r="U1168" s="1" t="s">
        <v>104</v>
      </c>
      <c r="V1168" s="1" t="s">
        <v>104</v>
      </c>
      <c r="W1168" s="1" t="s">
        <v>104</v>
      </c>
      <c r="X1168" s="1" t="s">
        <v>726</v>
      </c>
      <c r="Y1168" s="1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>
        <v>1</v>
      </c>
      <c r="AL1168" s="8">
        <v>1</v>
      </c>
      <c r="AM1168" s="8">
        <v>1</v>
      </c>
      <c r="AN1168" s="8">
        <v>1</v>
      </c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1"/>
      <c r="BL1168" s="58"/>
      <c r="BP1168" t="str">
        <f t="shared" si="55"/>
        <v>WaterDark</v>
      </c>
      <c r="BR1168">
        <v>5</v>
      </c>
    </row>
    <row r="1169" spans="1:70" x14ac:dyDescent="0.25">
      <c r="A1169">
        <f t="shared" si="44"/>
        <v>1108</v>
      </c>
      <c r="B1169" t="s">
        <v>2488</v>
      </c>
      <c r="D1169" s="1" t="s">
        <v>15</v>
      </c>
      <c r="E1169" s="1" t="s">
        <v>0</v>
      </c>
      <c r="F1169" s="1" t="s">
        <v>50</v>
      </c>
      <c r="G1169" s="1" t="s">
        <v>50</v>
      </c>
      <c r="H1169" s="1"/>
      <c r="I1169" s="1" t="s">
        <v>50</v>
      </c>
      <c r="J1169" s="1" t="s">
        <v>50</v>
      </c>
      <c r="K1169" s="1" t="s">
        <v>50</v>
      </c>
      <c r="L1169" s="1"/>
      <c r="M1169" s="1" t="s">
        <v>104</v>
      </c>
      <c r="N1169" s="1" t="s">
        <v>50</v>
      </c>
      <c r="O1169" s="1" t="s">
        <v>50</v>
      </c>
      <c r="P1169" s="1" t="s">
        <v>1814</v>
      </c>
      <c r="Q1169" s="1" t="s">
        <v>104</v>
      </c>
      <c r="R1169" s="1" t="s">
        <v>104</v>
      </c>
      <c r="S1169" s="1" t="s">
        <v>104</v>
      </c>
      <c r="T1169" s="1" t="s">
        <v>104</v>
      </c>
      <c r="U1169" s="1" t="s">
        <v>104</v>
      </c>
      <c r="V1169" s="1" t="s">
        <v>104</v>
      </c>
      <c r="W1169" s="1" t="s">
        <v>104</v>
      </c>
      <c r="X1169" s="1" t="s">
        <v>726</v>
      </c>
      <c r="Y1169" s="1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>
        <v>1</v>
      </c>
      <c r="AL1169" s="8">
        <v>1</v>
      </c>
      <c r="AM1169" s="8">
        <v>1</v>
      </c>
      <c r="AN1169" s="8">
        <v>1</v>
      </c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1"/>
      <c r="BL1169" s="58">
        <v>3</v>
      </c>
      <c r="BP1169" t="str">
        <f t="shared" si="55"/>
        <v>WaterDark</v>
      </c>
      <c r="BR1169">
        <v>9</v>
      </c>
    </row>
    <row r="1170" spans="1:70" x14ac:dyDescent="0.25">
      <c r="A1170">
        <f t="shared" si="44"/>
        <v>1109</v>
      </c>
      <c r="B1170" t="s">
        <v>2490</v>
      </c>
      <c r="D1170" s="1" t="s">
        <v>8</v>
      </c>
      <c r="E1170" s="1">
        <v>0</v>
      </c>
      <c r="F1170" s="1" t="s">
        <v>50</v>
      </c>
      <c r="G1170" s="1" t="s">
        <v>50</v>
      </c>
      <c r="H1170" s="1"/>
      <c r="I1170" s="1" t="s">
        <v>50</v>
      </c>
      <c r="J1170" s="1" t="s">
        <v>50</v>
      </c>
      <c r="K1170" s="1" t="s">
        <v>50</v>
      </c>
      <c r="L1170" s="1"/>
      <c r="M1170" s="1" t="s">
        <v>50</v>
      </c>
      <c r="N1170" s="1" t="s">
        <v>50</v>
      </c>
      <c r="O1170" s="1" t="s">
        <v>50</v>
      </c>
      <c r="P1170" s="1" t="s">
        <v>2429</v>
      </c>
      <c r="Q1170" s="1" t="s">
        <v>104</v>
      </c>
      <c r="R1170" s="1" t="s">
        <v>104</v>
      </c>
      <c r="S1170" s="1" t="s">
        <v>104</v>
      </c>
      <c r="T1170" s="1" t="s">
        <v>104</v>
      </c>
      <c r="U1170" s="1" t="s">
        <v>104</v>
      </c>
      <c r="V1170" s="1" t="s">
        <v>104</v>
      </c>
      <c r="W1170" s="1" t="s">
        <v>104</v>
      </c>
      <c r="X1170" s="1" t="s">
        <v>2446</v>
      </c>
      <c r="Y1170" s="1"/>
      <c r="Z1170" s="8"/>
      <c r="AA1170" s="8"/>
      <c r="AB1170" s="8"/>
      <c r="AC1170" s="8"/>
      <c r="AD1170" s="8"/>
      <c r="AE1170" s="8">
        <v>1</v>
      </c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1"/>
      <c r="BL1170" s="58"/>
      <c r="BP1170" t="str">
        <f t="shared" ref="BP1170:BP1172" si="56">D1170&amp;E1170</f>
        <v>Ground0</v>
      </c>
      <c r="BR1170">
        <v>3</v>
      </c>
    </row>
    <row r="1171" spans="1:70" x14ac:dyDescent="0.25">
      <c r="A1171">
        <f t="shared" si="44"/>
        <v>1110</v>
      </c>
      <c r="B1171" t="s">
        <v>2491</v>
      </c>
      <c r="D1171" s="1" t="s">
        <v>3</v>
      </c>
      <c r="E1171" s="1">
        <v>0</v>
      </c>
      <c r="F1171" s="1" t="s">
        <v>50</v>
      </c>
      <c r="G1171" s="1" t="s">
        <v>50</v>
      </c>
      <c r="H1171" s="1"/>
      <c r="I1171" s="1" t="s">
        <v>50</v>
      </c>
      <c r="J1171" s="1" t="s">
        <v>50</v>
      </c>
      <c r="K1171" s="1" t="s">
        <v>50</v>
      </c>
      <c r="L1171" s="1"/>
      <c r="M1171" s="1" t="s">
        <v>50</v>
      </c>
      <c r="N1171" s="1" t="s">
        <v>50</v>
      </c>
      <c r="O1171" s="1" t="s">
        <v>50</v>
      </c>
      <c r="P1171" s="1" t="s">
        <v>2059</v>
      </c>
      <c r="Q1171" s="1" t="s">
        <v>104</v>
      </c>
      <c r="R1171" s="1" t="s">
        <v>104</v>
      </c>
      <c r="S1171" s="1" t="s">
        <v>104</v>
      </c>
      <c r="T1171" s="1" t="s">
        <v>104</v>
      </c>
      <c r="U1171" s="1" t="s">
        <v>104</v>
      </c>
      <c r="V1171" s="1" t="s">
        <v>104</v>
      </c>
      <c r="W1171" s="1" t="s">
        <v>104</v>
      </c>
      <c r="X1171" s="1" t="s">
        <v>730</v>
      </c>
      <c r="Y1171" s="1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>
        <v>1</v>
      </c>
      <c r="AT1171" s="8">
        <v>1</v>
      </c>
      <c r="AU1171" s="8"/>
      <c r="AV1171" s="8"/>
      <c r="AW1171" s="8"/>
      <c r="AX1171" s="8"/>
      <c r="AY1171" s="8"/>
      <c r="AZ1171" s="8"/>
      <c r="BA1171" s="8"/>
      <c r="BB1171" s="1"/>
      <c r="BL1171" s="58"/>
      <c r="BP1171" t="str">
        <f t="shared" si="56"/>
        <v>Electric0</v>
      </c>
      <c r="BR1171">
        <v>6</v>
      </c>
    </row>
    <row r="1172" spans="1:70" x14ac:dyDescent="0.25">
      <c r="A1172">
        <f t="shared" si="44"/>
        <v>1111</v>
      </c>
      <c r="B1172" t="s">
        <v>2492</v>
      </c>
      <c r="D1172" s="1" t="s">
        <v>3</v>
      </c>
      <c r="E1172" s="1">
        <v>0</v>
      </c>
      <c r="F1172" s="1" t="s">
        <v>50</v>
      </c>
      <c r="G1172" s="1" t="s">
        <v>50</v>
      </c>
      <c r="H1172" s="1"/>
      <c r="I1172" s="1" t="s">
        <v>50</v>
      </c>
      <c r="J1172" s="1" t="s">
        <v>50</v>
      </c>
      <c r="K1172" s="1" t="s">
        <v>50</v>
      </c>
      <c r="L1172" s="1"/>
      <c r="M1172" s="1" t="s">
        <v>104</v>
      </c>
      <c r="N1172" s="1" t="s">
        <v>50</v>
      </c>
      <c r="O1172" s="1" t="s">
        <v>50</v>
      </c>
      <c r="P1172" s="1" t="s">
        <v>2059</v>
      </c>
      <c r="Q1172" s="1" t="s">
        <v>104</v>
      </c>
      <c r="R1172" s="1" t="s">
        <v>104</v>
      </c>
      <c r="S1172" s="1" t="s">
        <v>104</v>
      </c>
      <c r="T1172" s="1" t="s">
        <v>104</v>
      </c>
      <c r="U1172" s="1" t="s">
        <v>104</v>
      </c>
      <c r="V1172" s="1" t="s">
        <v>104</v>
      </c>
      <c r="W1172" s="1" t="s">
        <v>104</v>
      </c>
      <c r="X1172" s="1" t="s">
        <v>730</v>
      </c>
      <c r="Y1172" s="1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>
        <v>1</v>
      </c>
      <c r="AT1172" s="8">
        <v>1</v>
      </c>
      <c r="AU1172" s="8"/>
      <c r="AV1172" s="8"/>
      <c r="AW1172" s="8"/>
      <c r="AX1172" s="8"/>
      <c r="AY1172" s="8"/>
      <c r="AZ1172" s="8"/>
      <c r="BA1172" s="8"/>
      <c r="BB1172" s="1"/>
      <c r="BL1172" s="58"/>
      <c r="BP1172" t="str">
        <f t="shared" si="56"/>
        <v>Electric0</v>
      </c>
      <c r="BR1172">
        <v>6</v>
      </c>
    </row>
    <row r="1173" spans="1:70" x14ac:dyDescent="0.25">
      <c r="A1173">
        <f t="shared" si="44"/>
        <v>1112</v>
      </c>
      <c r="B1173" t="s">
        <v>2493</v>
      </c>
      <c r="D1173" s="1" t="s">
        <v>1</v>
      </c>
      <c r="E1173" s="1">
        <v>0</v>
      </c>
      <c r="F1173" s="1" t="s">
        <v>50</v>
      </c>
      <c r="G1173" s="1" t="s">
        <v>50</v>
      </c>
      <c r="H1173" s="1"/>
      <c r="I1173" s="1" t="s">
        <v>50</v>
      </c>
      <c r="J1173" s="1" t="s">
        <v>50</v>
      </c>
      <c r="K1173" s="1" t="s">
        <v>50</v>
      </c>
      <c r="L1173" s="1"/>
      <c r="M1173" s="1" t="s">
        <v>50</v>
      </c>
      <c r="N1173" s="1" t="s">
        <v>50</v>
      </c>
      <c r="O1173" s="1" t="s">
        <v>50</v>
      </c>
      <c r="P1173" s="1" t="s">
        <v>2348</v>
      </c>
      <c r="Q1173" s="1" t="s">
        <v>104</v>
      </c>
      <c r="R1173" s="1" t="s">
        <v>104</v>
      </c>
      <c r="S1173" s="1" t="s">
        <v>104</v>
      </c>
      <c r="T1173" s="1" t="s">
        <v>104</v>
      </c>
      <c r="U1173" s="1" t="s">
        <v>104</v>
      </c>
      <c r="V1173" s="1" t="s">
        <v>104</v>
      </c>
      <c r="W1173" s="1" t="s">
        <v>104</v>
      </c>
      <c r="X1173" s="1" t="s">
        <v>2329</v>
      </c>
      <c r="Y1173" s="1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>
        <v>1</v>
      </c>
      <c r="AY1173" s="8"/>
      <c r="AZ1173" s="8"/>
      <c r="BA1173" s="8"/>
      <c r="BB1173" s="1"/>
      <c r="BL1173" s="58"/>
      <c r="BP1173" t="str">
        <f t="shared" ref="BP1173:BP1174" si="57">D1173&amp;E1173</f>
        <v>Normal0</v>
      </c>
      <c r="BR1173">
        <v>3</v>
      </c>
    </row>
    <row r="1174" spans="1:70" x14ac:dyDescent="0.25">
      <c r="A1174">
        <f t="shared" si="44"/>
        <v>1113</v>
      </c>
      <c r="B1174" t="s">
        <v>2494</v>
      </c>
      <c r="D1174" s="1" t="s">
        <v>1</v>
      </c>
      <c r="E1174" s="1" t="s">
        <v>16</v>
      </c>
      <c r="F1174" s="1" t="s">
        <v>50</v>
      </c>
      <c r="G1174" s="1" t="s">
        <v>50</v>
      </c>
      <c r="H1174" s="1"/>
      <c r="I1174" s="1" t="s">
        <v>50</v>
      </c>
      <c r="J1174" s="1" t="s">
        <v>50</v>
      </c>
      <c r="K1174" s="1" t="s">
        <v>50</v>
      </c>
      <c r="L1174" s="1" t="s">
        <v>50</v>
      </c>
      <c r="M1174" s="1" t="s">
        <v>104</v>
      </c>
      <c r="N1174" s="1" t="s">
        <v>50</v>
      </c>
      <c r="O1174" s="1" t="s">
        <v>50</v>
      </c>
      <c r="P1174" s="1" t="s">
        <v>2348</v>
      </c>
      <c r="Q1174" s="1" t="s">
        <v>104</v>
      </c>
      <c r="R1174" s="1" t="s">
        <v>104</v>
      </c>
      <c r="S1174" s="1" t="s">
        <v>104</v>
      </c>
      <c r="T1174" s="1" t="s">
        <v>104</v>
      </c>
      <c r="U1174" s="1" t="s">
        <v>104</v>
      </c>
      <c r="V1174" s="1" t="s">
        <v>104</v>
      </c>
      <c r="W1174" s="1" t="s">
        <v>104</v>
      </c>
      <c r="X1174" s="1" t="s">
        <v>2329</v>
      </c>
      <c r="Y1174" s="1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>
        <v>1</v>
      </c>
      <c r="AY1174" s="8"/>
      <c r="AZ1174" s="8"/>
      <c r="BA1174" s="8"/>
      <c r="BB1174" s="1"/>
      <c r="BL1174" s="58">
        <v>1</v>
      </c>
      <c r="BP1174" t="str">
        <f t="shared" si="57"/>
        <v>NormalFlying</v>
      </c>
      <c r="BR1174">
        <v>3</v>
      </c>
    </row>
    <row r="1175" spans="1:70" x14ac:dyDescent="0.25">
      <c r="A1175">
        <f t="shared" si="44"/>
        <v>1114</v>
      </c>
      <c r="B1175" t="s">
        <v>2495</v>
      </c>
      <c r="D1175" s="1" t="s">
        <v>1</v>
      </c>
      <c r="E1175" s="1" t="s">
        <v>16</v>
      </c>
      <c r="F1175" s="1" t="s">
        <v>50</v>
      </c>
      <c r="G1175" s="1" t="s">
        <v>50</v>
      </c>
      <c r="H1175" s="1"/>
      <c r="I1175" s="1" t="s">
        <v>50</v>
      </c>
      <c r="J1175" s="1" t="s">
        <v>50</v>
      </c>
      <c r="K1175" s="1" t="s">
        <v>50</v>
      </c>
      <c r="L1175" s="1"/>
      <c r="M1175" s="1" t="s">
        <v>50</v>
      </c>
      <c r="N1175" s="1" t="s">
        <v>50</v>
      </c>
      <c r="O1175" s="1" t="s">
        <v>50</v>
      </c>
      <c r="P1175" s="1" t="s">
        <v>2499</v>
      </c>
      <c r="Q1175" s="1" t="s">
        <v>104</v>
      </c>
      <c r="R1175" s="1" t="s">
        <v>104</v>
      </c>
      <c r="S1175" s="1" t="s">
        <v>104</v>
      </c>
      <c r="T1175" s="1" t="s">
        <v>104</v>
      </c>
      <c r="U1175" s="1" t="s">
        <v>104</v>
      </c>
      <c r="V1175" s="1" t="s">
        <v>104</v>
      </c>
      <c r="W1175" s="1" t="s">
        <v>104</v>
      </c>
      <c r="X1175" s="1" t="s">
        <v>2144</v>
      </c>
      <c r="Y1175" s="1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>
        <v>1</v>
      </c>
      <c r="AY1175" s="8"/>
      <c r="AZ1175" s="8"/>
      <c r="BA1175" s="8"/>
      <c r="BB1175" s="1"/>
      <c r="BL1175" s="58"/>
      <c r="BP1175" t="str">
        <f t="shared" ref="BP1175:BP1176" si="58">D1175&amp;E1175</f>
        <v>NormalFlying</v>
      </c>
      <c r="BR1175">
        <v>4</v>
      </c>
    </row>
    <row r="1176" spans="1:70" x14ac:dyDescent="0.25">
      <c r="A1176">
        <f t="shared" si="44"/>
        <v>1115</v>
      </c>
      <c r="B1176" t="s">
        <v>2496</v>
      </c>
      <c r="D1176" s="1" t="s">
        <v>1</v>
      </c>
      <c r="E1176" s="1" t="s">
        <v>16</v>
      </c>
      <c r="F1176" s="1" t="s">
        <v>50</v>
      </c>
      <c r="G1176" s="1" t="s">
        <v>50</v>
      </c>
      <c r="H1176" s="1"/>
      <c r="I1176" s="1" t="s">
        <v>50</v>
      </c>
      <c r="J1176" s="1" t="s">
        <v>50</v>
      </c>
      <c r="K1176" s="1" t="s">
        <v>50</v>
      </c>
      <c r="L1176" s="1" t="s">
        <v>50</v>
      </c>
      <c r="M1176" s="1" t="s">
        <v>104</v>
      </c>
      <c r="N1176" s="1" t="s">
        <v>50</v>
      </c>
      <c r="O1176" s="1" t="s">
        <v>50</v>
      </c>
      <c r="P1176" s="1" t="s">
        <v>2499</v>
      </c>
      <c r="Q1176" s="1" t="s">
        <v>50</v>
      </c>
      <c r="R1176" s="1" t="s">
        <v>50</v>
      </c>
      <c r="S1176" s="1" t="s">
        <v>50</v>
      </c>
      <c r="T1176" s="1" t="s">
        <v>50</v>
      </c>
      <c r="U1176" s="1" t="s">
        <v>50</v>
      </c>
      <c r="V1176" s="1" t="s">
        <v>50</v>
      </c>
      <c r="W1176" s="1" t="s">
        <v>50</v>
      </c>
      <c r="X1176" s="1" t="s">
        <v>2144</v>
      </c>
      <c r="Y1176" s="1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>
        <v>1</v>
      </c>
      <c r="AY1176" s="8"/>
      <c r="AZ1176" s="8"/>
      <c r="BA1176" s="8"/>
      <c r="BB1176" s="1"/>
      <c r="BL1176" s="58">
        <v>4</v>
      </c>
      <c r="BP1176" t="str">
        <f t="shared" si="58"/>
        <v>NormalFlying</v>
      </c>
      <c r="BR1176">
        <v>1</v>
      </c>
    </row>
    <row r="1177" spans="1:70" x14ac:dyDescent="0.25">
      <c r="A1177">
        <f t="shared" si="44"/>
        <v>1116</v>
      </c>
      <c r="B1177" t="s">
        <v>2497</v>
      </c>
      <c r="D1177" s="1" t="s">
        <v>15</v>
      </c>
      <c r="E1177" s="1" t="s">
        <v>44</v>
      </c>
      <c r="F1177" s="1" t="s">
        <v>50</v>
      </c>
      <c r="G1177" s="1" t="s">
        <v>50</v>
      </c>
      <c r="H1177" s="1"/>
      <c r="I1177" s="1" t="s">
        <v>50</v>
      </c>
      <c r="J1177" s="1" t="s">
        <v>50</v>
      </c>
      <c r="K1177" s="1" t="s">
        <v>50</v>
      </c>
      <c r="L1177" s="1"/>
      <c r="M1177" s="1" t="s">
        <v>50</v>
      </c>
      <c r="N1177" s="1" t="s">
        <v>50</v>
      </c>
      <c r="O1177" s="1" t="s">
        <v>50</v>
      </c>
      <c r="P1177" s="1" t="s">
        <v>2498</v>
      </c>
      <c r="Q1177" s="1" t="s">
        <v>104</v>
      </c>
      <c r="R1177" s="1" t="s">
        <v>104</v>
      </c>
      <c r="S1177" s="1" t="s">
        <v>104</v>
      </c>
      <c r="T1177" s="1" t="s">
        <v>104</v>
      </c>
      <c r="U1177" s="1" t="s">
        <v>104</v>
      </c>
      <c r="V1177" s="1" t="s">
        <v>104</v>
      </c>
      <c r="W1177" s="1" t="s">
        <v>104</v>
      </c>
      <c r="X1177" s="1" t="s">
        <v>2446</v>
      </c>
      <c r="Y1177" s="1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>
        <v>1</v>
      </c>
      <c r="AL1177" s="8">
        <v>1</v>
      </c>
      <c r="AM1177" s="8">
        <v>1</v>
      </c>
      <c r="AN1177" s="8">
        <v>1</v>
      </c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1"/>
      <c r="BL1177" s="58">
        <v>1</v>
      </c>
      <c r="BP1177" t="str">
        <f t="shared" ref="BP1177:BP1179" si="59">D1177&amp;E1177</f>
        <v>WaterLight</v>
      </c>
      <c r="BR1177">
        <v>5</v>
      </c>
    </row>
    <row r="1178" spans="1:70" x14ac:dyDescent="0.25">
      <c r="A1178">
        <f t="shared" si="44"/>
        <v>1117</v>
      </c>
      <c r="B1178" t="s">
        <v>2500</v>
      </c>
      <c r="D1178" s="1" t="s">
        <v>7</v>
      </c>
      <c r="E1178" s="1" t="s">
        <v>6</v>
      </c>
      <c r="F1178" s="1" t="s">
        <v>50</v>
      </c>
      <c r="G1178" s="1" t="s">
        <v>50</v>
      </c>
      <c r="H1178" s="1"/>
      <c r="I1178" s="1" t="s">
        <v>50</v>
      </c>
      <c r="J1178" s="1" t="s">
        <v>50</v>
      </c>
      <c r="K1178" s="1" t="s">
        <v>50</v>
      </c>
      <c r="L1178" s="1"/>
      <c r="M1178" s="1" t="s">
        <v>50</v>
      </c>
      <c r="N1178" s="1" t="s">
        <v>50</v>
      </c>
      <c r="O1178" s="1" t="s">
        <v>50</v>
      </c>
      <c r="P1178" s="1" t="s">
        <v>2429</v>
      </c>
      <c r="Q1178" s="1" t="s">
        <v>104</v>
      </c>
      <c r="R1178" s="1" t="s">
        <v>104</v>
      </c>
      <c r="S1178" s="1" t="s">
        <v>104</v>
      </c>
      <c r="T1178" s="1" t="s">
        <v>104</v>
      </c>
      <c r="U1178" s="1" t="s">
        <v>104</v>
      </c>
      <c r="V1178" s="1" t="s">
        <v>104</v>
      </c>
      <c r="W1178" s="1" t="s">
        <v>104</v>
      </c>
      <c r="X1178" s="1" t="s">
        <v>2277</v>
      </c>
      <c r="Y1178" s="1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>
        <v>1</v>
      </c>
      <c r="AT1178" s="8">
        <v>1</v>
      </c>
      <c r="AU1178" s="8"/>
      <c r="AV1178" s="8"/>
      <c r="AW1178" s="8"/>
      <c r="AX1178" s="8"/>
      <c r="AY1178" s="8"/>
      <c r="AZ1178" s="8"/>
      <c r="BA1178" s="8"/>
      <c r="BB1178" s="1"/>
      <c r="BL1178" s="58"/>
      <c r="BP1178" t="str">
        <f t="shared" si="59"/>
        <v>FairySteel</v>
      </c>
      <c r="BR1178">
        <v>9</v>
      </c>
    </row>
    <row r="1179" spans="1:70" x14ac:dyDescent="0.25">
      <c r="A1179">
        <f t="shared" si="44"/>
        <v>1118</v>
      </c>
      <c r="B1179" t="s">
        <v>2501</v>
      </c>
      <c r="D1179" s="1" t="s">
        <v>7</v>
      </c>
      <c r="E1179" s="1" t="s">
        <v>6</v>
      </c>
      <c r="F1179" s="1" t="s">
        <v>50</v>
      </c>
      <c r="G1179" s="1" t="s">
        <v>50</v>
      </c>
      <c r="H1179" s="1"/>
      <c r="I1179" s="1" t="s">
        <v>50</v>
      </c>
      <c r="J1179" s="1" t="s">
        <v>50</v>
      </c>
      <c r="K1179" s="1" t="s">
        <v>50</v>
      </c>
      <c r="L1179" s="1"/>
      <c r="M1179" s="1" t="s">
        <v>104</v>
      </c>
      <c r="N1179" s="1" t="s">
        <v>50</v>
      </c>
      <c r="O1179" s="1" t="s">
        <v>50</v>
      </c>
      <c r="P1179" s="1" t="s">
        <v>2429</v>
      </c>
      <c r="Q1179" s="1" t="s">
        <v>104</v>
      </c>
      <c r="R1179" s="1" t="s">
        <v>104</v>
      </c>
      <c r="S1179" s="1" t="s">
        <v>104</v>
      </c>
      <c r="T1179" s="1" t="s">
        <v>104</v>
      </c>
      <c r="U1179" s="1" t="s">
        <v>104</v>
      </c>
      <c r="V1179" s="1" t="s">
        <v>104</v>
      </c>
      <c r="W1179" s="1" t="s">
        <v>104</v>
      </c>
      <c r="X1179" s="1" t="s">
        <v>2277</v>
      </c>
      <c r="Y1179" s="1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>
        <v>1</v>
      </c>
      <c r="AT1179" s="8">
        <v>1</v>
      </c>
      <c r="AU1179" s="8"/>
      <c r="AV1179" s="8"/>
      <c r="AW1179" s="8"/>
      <c r="AX1179" s="8"/>
      <c r="AY1179" s="8"/>
      <c r="AZ1179" s="8"/>
      <c r="BA1179" s="8"/>
      <c r="BB1179" s="1"/>
      <c r="BL1179" s="58"/>
      <c r="BP1179" t="str">
        <f t="shared" si="59"/>
        <v>FairySteel</v>
      </c>
      <c r="BR1179">
        <v>9</v>
      </c>
    </row>
    <row r="1180" spans="1:70" x14ac:dyDescent="0.25">
      <c r="A1180">
        <f t="shared" si="44"/>
        <v>1119</v>
      </c>
      <c r="B1180" t="s">
        <v>2502</v>
      </c>
      <c r="D1180" s="1" t="s">
        <v>16</v>
      </c>
      <c r="E1180" s="1" t="s">
        <v>18</v>
      </c>
      <c r="F1180" s="1" t="s">
        <v>50</v>
      </c>
      <c r="G1180" s="1" t="s">
        <v>50</v>
      </c>
      <c r="H1180" s="1"/>
      <c r="I1180" s="1" t="s">
        <v>50</v>
      </c>
      <c r="J1180" s="1" t="s">
        <v>50</v>
      </c>
      <c r="K1180" s="1" t="s">
        <v>50</v>
      </c>
      <c r="L1180" s="1"/>
      <c r="M1180" s="1" t="s">
        <v>104</v>
      </c>
      <c r="N1180" s="1" t="s">
        <v>50</v>
      </c>
      <c r="O1180" s="1" t="s">
        <v>50</v>
      </c>
      <c r="P1180" s="1" t="s">
        <v>1707</v>
      </c>
      <c r="Q1180" s="1" t="s">
        <v>104</v>
      </c>
      <c r="R1180" s="1" t="s">
        <v>104</v>
      </c>
      <c r="S1180" s="1" t="s">
        <v>104</v>
      </c>
      <c r="T1180" s="1" t="s">
        <v>104</v>
      </c>
      <c r="U1180" s="1" t="s">
        <v>104</v>
      </c>
      <c r="V1180" s="1" t="s">
        <v>104</v>
      </c>
      <c r="W1180" s="1" t="s">
        <v>104</v>
      </c>
      <c r="X1180" s="1" t="s">
        <v>733</v>
      </c>
      <c r="Y1180" s="1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>
        <v>1</v>
      </c>
      <c r="AJ1180" s="8"/>
      <c r="AK1180" s="8">
        <v>1</v>
      </c>
      <c r="AL1180" s="8"/>
      <c r="AM1180" s="8"/>
      <c r="AN1180" s="8">
        <v>1</v>
      </c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1"/>
      <c r="BL1180" s="58">
        <v>2</v>
      </c>
      <c r="BP1180" t="str">
        <f t="shared" ref="BP1180" si="60">D1180&amp;E1180</f>
        <v>FlyingFighting</v>
      </c>
      <c r="BR1180">
        <v>9</v>
      </c>
    </row>
    <row r="1181" spans="1:70" x14ac:dyDescent="0.25">
      <c r="A1181">
        <f t="shared" si="44"/>
        <v>1120</v>
      </c>
      <c r="B1181" t="s">
        <v>2506</v>
      </c>
      <c r="D1181" s="1" t="s">
        <v>0</v>
      </c>
      <c r="E1181" s="1" t="s">
        <v>7</v>
      </c>
      <c r="F1181" s="1" t="s">
        <v>50</v>
      </c>
      <c r="G1181" s="1" t="s">
        <v>50</v>
      </c>
      <c r="H1181" s="1"/>
      <c r="I1181" s="1" t="s">
        <v>50</v>
      </c>
      <c r="J1181" s="1" t="s">
        <v>50</v>
      </c>
      <c r="K1181" s="1" t="s">
        <v>50</v>
      </c>
      <c r="L1181" s="1"/>
      <c r="M1181" s="1" t="s">
        <v>50</v>
      </c>
      <c r="N1181" s="1" t="s">
        <v>50</v>
      </c>
      <c r="O1181" s="1" t="s">
        <v>50</v>
      </c>
      <c r="P1181" s="1" t="s">
        <v>2429</v>
      </c>
      <c r="Q1181" s="1" t="s">
        <v>104</v>
      </c>
      <c r="R1181" s="1" t="s">
        <v>104</v>
      </c>
      <c r="S1181" s="1" t="s">
        <v>104</v>
      </c>
      <c r="T1181" s="1" t="s">
        <v>104</v>
      </c>
      <c r="U1181" s="1" t="s">
        <v>104</v>
      </c>
      <c r="V1181" s="1" t="s">
        <v>104</v>
      </c>
      <c r="W1181" s="1" t="s">
        <v>104</v>
      </c>
      <c r="X1181" s="1" t="s">
        <v>2144</v>
      </c>
      <c r="Y1181" s="1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>
        <v>1</v>
      </c>
      <c r="AT1181" s="8"/>
      <c r="AU1181" s="8"/>
      <c r="AV1181" s="8"/>
      <c r="AW1181" s="8"/>
      <c r="AX1181" s="8"/>
      <c r="AY1181" s="8"/>
      <c r="AZ1181" s="8"/>
      <c r="BA1181" s="8"/>
      <c r="BB1181" s="1"/>
      <c r="BL1181" s="58"/>
      <c r="BP1181" t="str">
        <f t="shared" ref="BP1181:BP1190" si="61">D1181&amp;E1181</f>
        <v>DarkFairy</v>
      </c>
      <c r="BR1181">
        <v>8</v>
      </c>
    </row>
    <row r="1182" spans="1:70" x14ac:dyDescent="0.25">
      <c r="A1182">
        <f t="shared" si="44"/>
        <v>1121</v>
      </c>
      <c r="B1182" t="s">
        <v>2507</v>
      </c>
      <c r="D1182" s="1" t="s">
        <v>0</v>
      </c>
      <c r="E1182" s="1" t="s">
        <v>7</v>
      </c>
      <c r="F1182" s="1" t="s">
        <v>50</v>
      </c>
      <c r="G1182" s="1" t="s">
        <v>50</v>
      </c>
      <c r="H1182" s="1"/>
      <c r="I1182" s="1" t="s">
        <v>50</v>
      </c>
      <c r="J1182" s="1" t="s">
        <v>50</v>
      </c>
      <c r="K1182" s="1" t="s">
        <v>50</v>
      </c>
      <c r="L1182" s="1"/>
      <c r="M1182" s="1" t="s">
        <v>104</v>
      </c>
      <c r="N1182" s="1" t="s">
        <v>50</v>
      </c>
      <c r="O1182" s="1" t="s">
        <v>50</v>
      </c>
      <c r="P1182" s="1" t="s">
        <v>2429</v>
      </c>
      <c r="Q1182" s="1" t="s">
        <v>104</v>
      </c>
      <c r="R1182" s="1" t="s">
        <v>104</v>
      </c>
      <c r="S1182" s="1" t="s">
        <v>104</v>
      </c>
      <c r="T1182" s="1" t="s">
        <v>104</v>
      </c>
      <c r="U1182" s="1" t="s">
        <v>104</v>
      </c>
      <c r="V1182" s="1" t="s">
        <v>104</v>
      </c>
      <c r="W1182" s="1" t="s">
        <v>104</v>
      </c>
      <c r="X1182" s="1" t="s">
        <v>2144</v>
      </c>
      <c r="Y1182" s="1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>
        <v>1</v>
      </c>
      <c r="AT1182" s="8"/>
      <c r="AU1182" s="8"/>
      <c r="AV1182" s="8"/>
      <c r="AW1182" s="8"/>
      <c r="AX1182" s="8"/>
      <c r="AY1182" s="8"/>
      <c r="AZ1182" s="8"/>
      <c r="BA1182" s="8"/>
      <c r="BB1182" s="1"/>
      <c r="BL1182" s="58">
        <v>1</v>
      </c>
      <c r="BP1182" t="str">
        <f t="shared" si="61"/>
        <v>DarkFairy</v>
      </c>
      <c r="BR1182">
        <v>8</v>
      </c>
    </row>
    <row r="1183" spans="1:70" x14ac:dyDescent="0.25">
      <c r="A1183">
        <f t="shared" si="44"/>
        <v>1122</v>
      </c>
      <c r="B1183" t="s">
        <v>2508</v>
      </c>
      <c r="D1183" s="1" t="s">
        <v>0</v>
      </c>
      <c r="E1183" s="1" t="s">
        <v>7</v>
      </c>
      <c r="F1183" s="1" t="s">
        <v>50</v>
      </c>
      <c r="G1183" s="1" t="s">
        <v>50</v>
      </c>
      <c r="H1183" s="1"/>
      <c r="I1183" s="1" t="s">
        <v>50</v>
      </c>
      <c r="J1183" s="1" t="s">
        <v>50</v>
      </c>
      <c r="K1183" s="1" t="s">
        <v>50</v>
      </c>
      <c r="L1183" s="1"/>
      <c r="M1183" s="1" t="s">
        <v>104</v>
      </c>
      <c r="N1183" s="1" t="s">
        <v>50</v>
      </c>
      <c r="O1183" s="1" t="s">
        <v>50</v>
      </c>
      <c r="P1183" s="1" t="s">
        <v>2429</v>
      </c>
      <c r="Q1183" s="1" t="s">
        <v>104</v>
      </c>
      <c r="R1183" s="1" t="s">
        <v>104</v>
      </c>
      <c r="S1183" s="1" t="s">
        <v>104</v>
      </c>
      <c r="T1183" s="1" t="s">
        <v>104</v>
      </c>
      <c r="U1183" s="1" t="s">
        <v>104</v>
      </c>
      <c r="V1183" s="1" t="s">
        <v>104</v>
      </c>
      <c r="W1183" s="1" t="s">
        <v>104</v>
      </c>
      <c r="X1183" s="1" t="s">
        <v>2144</v>
      </c>
      <c r="Y1183" s="1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>
        <v>1</v>
      </c>
      <c r="AT1183" s="8"/>
      <c r="AU1183" s="8"/>
      <c r="AV1183" s="8"/>
      <c r="AW1183" s="8"/>
      <c r="AX1183" s="8"/>
      <c r="AY1183" s="8"/>
      <c r="AZ1183" s="8"/>
      <c r="BA1183" s="8"/>
      <c r="BB1183" s="1"/>
      <c r="BL1183" s="58"/>
      <c r="BP1183" t="str">
        <f t="shared" si="61"/>
        <v>DarkFairy</v>
      </c>
      <c r="BR1183">
        <v>8</v>
      </c>
    </row>
    <row r="1184" spans="1:70" x14ac:dyDescent="0.25">
      <c r="A1184">
        <f t="shared" si="44"/>
        <v>1123</v>
      </c>
      <c r="B1184" t="s">
        <v>2509</v>
      </c>
      <c r="D1184" s="1" t="s">
        <v>0</v>
      </c>
      <c r="E1184" s="1" t="s">
        <v>7</v>
      </c>
      <c r="F1184" s="1" t="s">
        <v>50</v>
      </c>
      <c r="G1184" s="1" t="s">
        <v>50</v>
      </c>
      <c r="H1184" s="1"/>
      <c r="I1184" s="1" t="s">
        <v>50</v>
      </c>
      <c r="J1184" s="1" t="s">
        <v>50</v>
      </c>
      <c r="K1184" s="1" t="s">
        <v>50</v>
      </c>
      <c r="L1184" s="1"/>
      <c r="M1184" s="1" t="s">
        <v>104</v>
      </c>
      <c r="N1184" s="1" t="s">
        <v>50</v>
      </c>
      <c r="O1184" s="1" t="s">
        <v>50</v>
      </c>
      <c r="P1184" s="1" t="s">
        <v>2429</v>
      </c>
      <c r="Q1184" s="1" t="s">
        <v>104</v>
      </c>
      <c r="R1184" s="1" t="s">
        <v>104</v>
      </c>
      <c r="S1184" s="1" t="s">
        <v>104</v>
      </c>
      <c r="T1184" s="1" t="s">
        <v>104</v>
      </c>
      <c r="U1184" s="1" t="s">
        <v>104</v>
      </c>
      <c r="V1184" s="1" t="s">
        <v>104</v>
      </c>
      <c r="W1184" s="1" t="s">
        <v>104</v>
      </c>
      <c r="X1184" s="1" t="s">
        <v>2144</v>
      </c>
      <c r="Y1184" s="1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>
        <v>1</v>
      </c>
      <c r="AT1184" s="8"/>
      <c r="AU1184" s="8"/>
      <c r="AV1184" s="8"/>
      <c r="AW1184" s="8"/>
      <c r="AX1184" s="8"/>
      <c r="AY1184" s="8"/>
      <c r="AZ1184" s="8"/>
      <c r="BA1184" s="8"/>
      <c r="BB1184" s="1"/>
      <c r="BL1184" s="58"/>
      <c r="BP1184" t="str">
        <f t="shared" si="61"/>
        <v>DarkFairy</v>
      </c>
      <c r="BR1184">
        <v>9</v>
      </c>
    </row>
    <row r="1185" spans="1:70" x14ac:dyDescent="0.25">
      <c r="A1185">
        <f t="shared" si="44"/>
        <v>1124</v>
      </c>
      <c r="B1185" t="s">
        <v>2510</v>
      </c>
      <c r="D1185" s="1" t="s">
        <v>0</v>
      </c>
      <c r="E1185" s="1" t="s">
        <v>7</v>
      </c>
      <c r="F1185" s="1" t="s">
        <v>50</v>
      </c>
      <c r="G1185" s="1" t="s">
        <v>50</v>
      </c>
      <c r="H1185" s="1"/>
      <c r="I1185" s="1" t="s">
        <v>50</v>
      </c>
      <c r="J1185" s="1" t="s">
        <v>50</v>
      </c>
      <c r="K1185" s="1" t="s">
        <v>50</v>
      </c>
      <c r="L1185" s="1"/>
      <c r="M1185" s="1" t="s">
        <v>104</v>
      </c>
      <c r="N1185" s="1" t="s">
        <v>50</v>
      </c>
      <c r="O1185" s="1" t="s">
        <v>50</v>
      </c>
      <c r="P1185" s="1" t="s">
        <v>2429</v>
      </c>
      <c r="Q1185" s="1" t="s">
        <v>104</v>
      </c>
      <c r="R1185" s="1" t="s">
        <v>104</v>
      </c>
      <c r="S1185" s="1" t="s">
        <v>104</v>
      </c>
      <c r="T1185" s="1" t="s">
        <v>104</v>
      </c>
      <c r="U1185" s="1" t="s">
        <v>104</v>
      </c>
      <c r="V1185" s="1" t="s">
        <v>104</v>
      </c>
      <c r="W1185" s="1" t="s">
        <v>104</v>
      </c>
      <c r="X1185" s="1" t="s">
        <v>2144</v>
      </c>
      <c r="Y1185" s="1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>
        <v>1</v>
      </c>
      <c r="AT1185" s="8"/>
      <c r="AU1185" s="8"/>
      <c r="AV1185" s="8"/>
      <c r="AW1185" s="8"/>
      <c r="AX1185" s="8"/>
      <c r="AY1185" s="8"/>
      <c r="AZ1185" s="8"/>
      <c r="BA1185" s="8"/>
      <c r="BB1185" s="1"/>
      <c r="BL1185" s="58">
        <v>3</v>
      </c>
      <c r="BP1185" t="str">
        <f t="shared" si="61"/>
        <v>DarkFairy</v>
      </c>
      <c r="BR1185">
        <v>9</v>
      </c>
    </row>
    <row r="1186" spans="1:70" x14ac:dyDescent="0.25">
      <c r="A1186">
        <f t="shared" si="44"/>
        <v>1125</v>
      </c>
      <c r="B1186" t="s">
        <v>2511</v>
      </c>
      <c r="D1186" s="1" t="s">
        <v>5</v>
      </c>
      <c r="E1186" s="1" t="s">
        <v>13</v>
      </c>
      <c r="F1186" s="1" t="s">
        <v>50</v>
      </c>
      <c r="G1186" s="1" t="s">
        <v>50</v>
      </c>
      <c r="H1186" s="1"/>
      <c r="I1186" s="1" t="s">
        <v>50</v>
      </c>
      <c r="J1186" s="1" t="s">
        <v>50</v>
      </c>
      <c r="K1186" s="1" t="s">
        <v>50</v>
      </c>
      <c r="L1186" s="1"/>
      <c r="M1186" s="1" t="s">
        <v>50</v>
      </c>
      <c r="N1186" s="1" t="s">
        <v>50</v>
      </c>
      <c r="O1186" s="1" t="s">
        <v>50</v>
      </c>
      <c r="P1186" s="1" t="s">
        <v>2429</v>
      </c>
      <c r="Q1186" s="1" t="s">
        <v>104</v>
      </c>
      <c r="R1186" s="1" t="s">
        <v>104</v>
      </c>
      <c r="S1186" s="1" t="s">
        <v>104</v>
      </c>
      <c r="T1186" s="1" t="s">
        <v>104</v>
      </c>
      <c r="U1186" s="1" t="s">
        <v>104</v>
      </c>
      <c r="V1186" s="1" t="s">
        <v>104</v>
      </c>
      <c r="W1186" s="1" t="s">
        <v>104</v>
      </c>
      <c r="X1186" s="1" t="s">
        <v>726</v>
      </c>
      <c r="Y1186" s="1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>
        <v>1</v>
      </c>
      <c r="AS1186" s="8"/>
      <c r="AT1186" s="8"/>
      <c r="AU1186" s="8"/>
      <c r="AV1186" s="8"/>
      <c r="AW1186" s="8">
        <v>1</v>
      </c>
      <c r="AX1186" s="8"/>
      <c r="AY1186" s="8"/>
      <c r="AZ1186" s="8"/>
      <c r="BA1186" s="8"/>
      <c r="BB1186" s="1"/>
      <c r="BL1186" s="58"/>
      <c r="BP1186" t="str">
        <f t="shared" si="61"/>
        <v>IceFire</v>
      </c>
      <c r="BR1186">
        <v>7</v>
      </c>
    </row>
    <row r="1187" spans="1:70" x14ac:dyDescent="0.25">
      <c r="A1187">
        <f t="shared" si="44"/>
        <v>1126</v>
      </c>
      <c r="B1187" t="s">
        <v>2512</v>
      </c>
      <c r="D1187" s="1" t="s">
        <v>5</v>
      </c>
      <c r="E1187" s="1" t="s">
        <v>13</v>
      </c>
      <c r="F1187" s="1" t="s">
        <v>50</v>
      </c>
      <c r="G1187" s="1" t="s">
        <v>50</v>
      </c>
      <c r="H1187" s="1"/>
      <c r="I1187" s="1" t="s">
        <v>50</v>
      </c>
      <c r="J1187" s="1" t="s">
        <v>50</v>
      </c>
      <c r="K1187" s="1" t="s">
        <v>50</v>
      </c>
      <c r="L1187" s="1"/>
      <c r="M1187" s="1" t="s">
        <v>104</v>
      </c>
      <c r="N1187" s="1" t="s">
        <v>50</v>
      </c>
      <c r="O1187" s="1" t="s">
        <v>50</v>
      </c>
      <c r="P1187" s="1" t="s">
        <v>2429</v>
      </c>
      <c r="Q1187" s="1" t="s">
        <v>104</v>
      </c>
      <c r="R1187" s="1" t="s">
        <v>104</v>
      </c>
      <c r="S1187" s="1" t="s">
        <v>104</v>
      </c>
      <c r="T1187" s="1" t="s">
        <v>104</v>
      </c>
      <c r="U1187" s="1" t="s">
        <v>104</v>
      </c>
      <c r="V1187" s="1" t="s">
        <v>104</v>
      </c>
      <c r="W1187" s="1" t="s">
        <v>104</v>
      </c>
      <c r="X1187" s="1" t="s">
        <v>726</v>
      </c>
      <c r="Y1187" s="1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>
        <v>1</v>
      </c>
      <c r="AS1187" s="8"/>
      <c r="AT1187" s="8"/>
      <c r="AU1187" s="8"/>
      <c r="AV1187" s="8"/>
      <c r="AW1187" s="8">
        <v>1</v>
      </c>
      <c r="AX1187" s="8"/>
      <c r="AY1187" s="8"/>
      <c r="AZ1187" s="8"/>
      <c r="BA1187" s="8"/>
      <c r="BB1187" s="1"/>
      <c r="BL1187" s="58"/>
      <c r="BP1187" t="str">
        <f t="shared" si="61"/>
        <v>IceFire</v>
      </c>
      <c r="BR1187">
        <v>7</v>
      </c>
    </row>
    <row r="1188" spans="1:70" x14ac:dyDescent="0.25">
      <c r="A1188">
        <f t="shared" si="44"/>
        <v>1127</v>
      </c>
      <c r="B1188" t="s">
        <v>2513</v>
      </c>
      <c r="D1188" s="1" t="s">
        <v>5</v>
      </c>
      <c r="E1188" s="1" t="s">
        <v>7</v>
      </c>
      <c r="F1188" s="1" t="s">
        <v>50</v>
      </c>
      <c r="G1188" s="1" t="s">
        <v>50</v>
      </c>
      <c r="H1188" s="1"/>
      <c r="I1188" s="1" t="s">
        <v>50</v>
      </c>
      <c r="J1188" s="1" t="s">
        <v>50</v>
      </c>
      <c r="K1188" s="1" t="s">
        <v>50</v>
      </c>
      <c r="L1188" s="1"/>
      <c r="M1188" s="1" t="s">
        <v>50</v>
      </c>
      <c r="N1188" s="1" t="s">
        <v>50</v>
      </c>
      <c r="O1188" s="1" t="s">
        <v>50</v>
      </c>
      <c r="P1188" s="1" t="s">
        <v>2429</v>
      </c>
      <c r="Q1188" s="1" t="s">
        <v>104</v>
      </c>
      <c r="R1188" s="1" t="s">
        <v>104</v>
      </c>
      <c r="S1188" s="1" t="s">
        <v>104</v>
      </c>
      <c r="T1188" s="1" t="s">
        <v>104</v>
      </c>
      <c r="U1188" s="1" t="s">
        <v>104</v>
      </c>
      <c r="V1188" s="1" t="s">
        <v>104</v>
      </c>
      <c r="W1188" s="1" t="s">
        <v>104</v>
      </c>
      <c r="X1188" s="1" t="s">
        <v>2446</v>
      </c>
      <c r="Y1188" s="1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>
        <v>1</v>
      </c>
      <c r="AP1188" s="8">
        <v>1</v>
      </c>
      <c r="AQ1188" s="8">
        <v>1</v>
      </c>
      <c r="AR1188" s="8">
        <v>1</v>
      </c>
      <c r="AS1188" s="8">
        <v>1</v>
      </c>
      <c r="AT1188" s="8"/>
      <c r="AU1188" s="8"/>
      <c r="AV1188" s="8"/>
      <c r="AW1188" s="8"/>
      <c r="AX1188" s="8"/>
      <c r="AY1188" s="8"/>
      <c r="AZ1188" s="8"/>
      <c r="BA1188" s="8"/>
      <c r="BB1188" s="1"/>
      <c r="BL1188" s="58"/>
      <c r="BP1188" t="str">
        <f t="shared" si="61"/>
        <v>IceFairy</v>
      </c>
      <c r="BR1188">
        <v>9</v>
      </c>
    </row>
    <row r="1189" spans="1:70" x14ac:dyDescent="0.25">
      <c r="A1189">
        <f t="shared" si="44"/>
        <v>1128</v>
      </c>
      <c r="B1189" t="s">
        <v>2514</v>
      </c>
      <c r="D1189" s="1" t="s">
        <v>5</v>
      </c>
      <c r="E1189" s="1" t="s">
        <v>7</v>
      </c>
      <c r="F1189" s="1" t="s">
        <v>50</v>
      </c>
      <c r="G1189" s="1" t="s">
        <v>50</v>
      </c>
      <c r="H1189" s="1"/>
      <c r="I1189" s="1" t="s">
        <v>50</v>
      </c>
      <c r="J1189" s="1" t="s">
        <v>50</v>
      </c>
      <c r="K1189" s="1" t="s">
        <v>50</v>
      </c>
      <c r="L1189" s="1"/>
      <c r="M1189" s="1" t="s">
        <v>104</v>
      </c>
      <c r="N1189" s="1" t="s">
        <v>50</v>
      </c>
      <c r="O1189" s="1" t="s">
        <v>50</v>
      </c>
      <c r="P1189" s="1" t="s">
        <v>2429</v>
      </c>
      <c r="Q1189" s="1" t="s">
        <v>104</v>
      </c>
      <c r="R1189" s="1" t="s">
        <v>104</v>
      </c>
      <c r="S1189" s="1" t="s">
        <v>104</v>
      </c>
      <c r="T1189" s="1" t="s">
        <v>104</v>
      </c>
      <c r="U1189" s="1" t="s">
        <v>104</v>
      </c>
      <c r="V1189" s="1" t="s">
        <v>104</v>
      </c>
      <c r="W1189" s="1" t="s">
        <v>104</v>
      </c>
      <c r="X1189" s="1" t="s">
        <v>2446</v>
      </c>
      <c r="Y1189" s="1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>
        <v>1</v>
      </c>
      <c r="AP1189" s="8">
        <v>1</v>
      </c>
      <c r="AQ1189" s="8">
        <v>1</v>
      </c>
      <c r="AR1189" s="8">
        <v>1</v>
      </c>
      <c r="AS1189" s="8">
        <v>1</v>
      </c>
      <c r="AT1189" s="8"/>
      <c r="AU1189" s="8"/>
      <c r="AV1189" s="8"/>
      <c r="AW1189" s="8"/>
      <c r="AX1189" s="8"/>
      <c r="AY1189" s="8"/>
      <c r="AZ1189" s="8"/>
      <c r="BA1189" s="8"/>
      <c r="BB1189" s="1"/>
      <c r="BL1189" s="58">
        <v>1</v>
      </c>
      <c r="BP1189" t="str">
        <f t="shared" si="61"/>
        <v>IceFairy</v>
      </c>
      <c r="BR1189">
        <v>9</v>
      </c>
    </row>
    <row r="1190" spans="1:70" x14ac:dyDescent="0.25">
      <c r="A1190">
        <f t="shared" si="44"/>
        <v>1129</v>
      </c>
      <c r="B1190" t="s">
        <v>2515</v>
      </c>
      <c r="D1190" s="1" t="s">
        <v>6</v>
      </c>
      <c r="E1190" s="1" t="s">
        <v>7</v>
      </c>
      <c r="F1190" s="1" t="s">
        <v>50</v>
      </c>
      <c r="G1190" s="1" t="s">
        <v>50</v>
      </c>
      <c r="H1190" s="1"/>
      <c r="I1190" s="1" t="s">
        <v>50</v>
      </c>
      <c r="J1190" s="1" t="s">
        <v>50</v>
      </c>
      <c r="K1190" s="1" t="s">
        <v>50</v>
      </c>
      <c r="L1190" s="1"/>
      <c r="M1190" s="1" t="s">
        <v>50</v>
      </c>
      <c r="N1190" s="1" t="s">
        <v>50</v>
      </c>
      <c r="O1190" s="1" t="s">
        <v>50</v>
      </c>
      <c r="P1190" s="1" t="s">
        <v>2516</v>
      </c>
      <c r="Q1190" s="1" t="s">
        <v>104</v>
      </c>
      <c r="R1190" s="1" t="s">
        <v>104</v>
      </c>
      <c r="S1190" s="1" t="s">
        <v>104</v>
      </c>
      <c r="T1190" s="1" t="s">
        <v>104</v>
      </c>
      <c r="U1190" s="1" t="s">
        <v>104</v>
      </c>
      <c r="V1190" s="1" t="s">
        <v>104</v>
      </c>
      <c r="W1190" s="1" t="s">
        <v>104</v>
      </c>
      <c r="X1190" s="1" t="s">
        <v>2377</v>
      </c>
      <c r="Y1190" s="1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>
        <v>1</v>
      </c>
      <c r="AT1190" s="8"/>
      <c r="AU1190" s="8"/>
      <c r="AV1190" s="8"/>
      <c r="AW1190" s="8"/>
      <c r="AX1190" s="8"/>
      <c r="AY1190" s="8"/>
      <c r="AZ1190" s="8"/>
      <c r="BA1190" s="8"/>
      <c r="BB1190" s="1"/>
      <c r="BL1190" s="58"/>
      <c r="BP1190" t="str">
        <f t="shared" si="61"/>
        <v>SteelFairy</v>
      </c>
      <c r="BR1190">
        <v>4</v>
      </c>
    </row>
    <row r="1191" spans="1:70" x14ac:dyDescent="0.25">
      <c r="A1191">
        <f t="shared" si="44"/>
        <v>1130</v>
      </c>
      <c r="B1191" t="s">
        <v>2517</v>
      </c>
      <c r="D1191" s="1" t="s">
        <v>1</v>
      </c>
      <c r="E1191" s="1" t="s">
        <v>14</v>
      </c>
      <c r="F1191" s="1" t="s">
        <v>50</v>
      </c>
      <c r="G1191" s="1" t="s">
        <v>50</v>
      </c>
      <c r="H1191" s="1"/>
      <c r="I1191" s="1" t="s">
        <v>50</v>
      </c>
      <c r="J1191" s="1" t="s">
        <v>50</v>
      </c>
      <c r="K1191" s="1" t="s">
        <v>50</v>
      </c>
      <c r="L1191" s="1"/>
      <c r="M1191" s="1" t="s">
        <v>50</v>
      </c>
      <c r="N1191" s="1" t="s">
        <v>50</v>
      </c>
      <c r="O1191" s="1" t="s">
        <v>50</v>
      </c>
      <c r="P1191" s="1" t="s">
        <v>2429</v>
      </c>
      <c r="Q1191" s="1" t="s">
        <v>104</v>
      </c>
      <c r="R1191" s="1" t="s">
        <v>104</v>
      </c>
      <c r="S1191" s="1" t="s">
        <v>104</v>
      </c>
      <c r="T1191" s="1" t="s">
        <v>104</v>
      </c>
      <c r="U1191" s="1" t="s">
        <v>104</v>
      </c>
      <c r="V1191" s="1" t="s">
        <v>104</v>
      </c>
      <c r="W1191" s="1" t="s">
        <v>104</v>
      </c>
      <c r="X1191" s="1" t="s">
        <v>2519</v>
      </c>
      <c r="Y1191" s="1"/>
      <c r="Z1191" s="8"/>
      <c r="AA1191" s="8"/>
      <c r="AB1191" s="8"/>
      <c r="AC1191" s="8"/>
      <c r="AD1191" s="8"/>
      <c r="AE1191" s="8"/>
      <c r="AF1191" s="8"/>
      <c r="AG1191" s="8">
        <v>1</v>
      </c>
      <c r="AH1191" s="8">
        <v>1</v>
      </c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1"/>
      <c r="BL1191" s="58"/>
      <c r="BP1191" t="str">
        <f t="shared" ref="BP1191:BP1192" si="62">D1191&amp;E1191</f>
        <v>NormalGhost</v>
      </c>
      <c r="BR1191">
        <v>7</v>
      </c>
    </row>
    <row r="1192" spans="1:70" x14ac:dyDescent="0.25">
      <c r="A1192">
        <f t="shared" si="44"/>
        <v>1131</v>
      </c>
      <c r="B1192" t="s">
        <v>2518</v>
      </c>
      <c r="D1192" s="1" t="s">
        <v>1</v>
      </c>
      <c r="E1192" s="1" t="s">
        <v>14</v>
      </c>
      <c r="F1192" s="1" t="s">
        <v>50</v>
      </c>
      <c r="G1192" s="1" t="s">
        <v>50</v>
      </c>
      <c r="H1192" s="1"/>
      <c r="I1192" s="1" t="s">
        <v>50</v>
      </c>
      <c r="J1192" s="1" t="s">
        <v>50</v>
      </c>
      <c r="K1192" s="1" t="s">
        <v>50</v>
      </c>
      <c r="L1192" s="1"/>
      <c r="M1192" s="1" t="s">
        <v>104</v>
      </c>
      <c r="N1192" s="1" t="s">
        <v>50</v>
      </c>
      <c r="O1192" s="1" t="s">
        <v>50</v>
      </c>
      <c r="P1192" s="1" t="s">
        <v>2429</v>
      </c>
      <c r="Q1192" s="1" t="s">
        <v>104</v>
      </c>
      <c r="R1192" s="1" t="s">
        <v>104</v>
      </c>
      <c r="S1192" s="1" t="s">
        <v>104</v>
      </c>
      <c r="T1192" s="1" t="s">
        <v>104</v>
      </c>
      <c r="U1192" s="1" t="s">
        <v>104</v>
      </c>
      <c r="V1192" s="1" t="s">
        <v>104</v>
      </c>
      <c r="W1192" s="1" t="s">
        <v>104</v>
      </c>
      <c r="X1192" s="1" t="s">
        <v>2519</v>
      </c>
      <c r="Y1192" s="1"/>
      <c r="Z1192" s="8"/>
      <c r="AA1192" s="8"/>
      <c r="AB1192" s="8"/>
      <c r="AC1192" s="8"/>
      <c r="AD1192" s="8"/>
      <c r="AE1192" s="8"/>
      <c r="AF1192" s="8"/>
      <c r="AG1192" s="8">
        <v>1</v>
      </c>
      <c r="AH1192" s="8">
        <v>1</v>
      </c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1"/>
      <c r="BL1192" s="58"/>
      <c r="BP1192" t="str">
        <f t="shared" si="62"/>
        <v>NormalGhost</v>
      </c>
      <c r="BR1192">
        <v>7</v>
      </c>
    </row>
    <row r="1193" spans="1:70" x14ac:dyDescent="0.25">
      <c r="A1193">
        <f t="shared" si="44"/>
        <v>1132</v>
      </c>
      <c r="B1193" t="s">
        <v>2520</v>
      </c>
      <c r="D1193" s="1" t="s">
        <v>6</v>
      </c>
      <c r="E1193" s="1" t="s">
        <v>18</v>
      </c>
      <c r="F1193" s="1" t="s">
        <v>50</v>
      </c>
      <c r="G1193" s="1" t="s">
        <v>50</v>
      </c>
      <c r="H1193" s="1"/>
      <c r="I1193" s="1" t="s">
        <v>50</v>
      </c>
      <c r="J1193" s="1" t="s">
        <v>50</v>
      </c>
      <c r="K1193" s="1" t="s">
        <v>50</v>
      </c>
      <c r="L1193" s="1"/>
      <c r="M1193" s="1" t="s">
        <v>50</v>
      </c>
      <c r="N1193" s="1" t="s">
        <v>50</v>
      </c>
      <c r="O1193" s="1" t="s">
        <v>50</v>
      </c>
      <c r="P1193" s="1" t="s">
        <v>2429</v>
      </c>
      <c r="Q1193" s="1" t="s">
        <v>104</v>
      </c>
      <c r="R1193" s="1" t="s">
        <v>104</v>
      </c>
      <c r="S1193" s="1" t="s">
        <v>104</v>
      </c>
      <c r="T1193" s="1" t="s">
        <v>104</v>
      </c>
      <c r="U1193" s="1" t="s">
        <v>104</v>
      </c>
      <c r="V1193" s="1" t="s">
        <v>104</v>
      </c>
      <c r="W1193" s="1" t="s">
        <v>104</v>
      </c>
      <c r="X1193" s="1" t="s">
        <v>2144</v>
      </c>
      <c r="Y1193" s="1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>
        <v>1</v>
      </c>
      <c r="AT1193" s="8">
        <v>1</v>
      </c>
      <c r="AU1193" s="8"/>
      <c r="AV1193" s="8"/>
      <c r="AW1193" s="8"/>
      <c r="AX1193" s="8"/>
      <c r="AY1193" s="8"/>
      <c r="AZ1193" s="8"/>
      <c r="BA1193" s="8"/>
      <c r="BB1193" s="1"/>
      <c r="BL1193" s="58">
        <v>1</v>
      </c>
      <c r="BP1193" t="str">
        <f t="shared" ref="BP1193" si="63">D1193&amp;E1193</f>
        <v>SteelFighting</v>
      </c>
      <c r="BR1193">
        <v>3</v>
      </c>
    </row>
    <row r="1194" spans="1:70" x14ac:dyDescent="0.25">
      <c r="A1194">
        <f t="shared" si="44"/>
        <v>1133</v>
      </c>
      <c r="B1194" t="s">
        <v>2522</v>
      </c>
      <c r="D1194" s="1" t="s">
        <v>44</v>
      </c>
      <c r="E1194" s="1">
        <v>0</v>
      </c>
      <c r="F1194" s="1" t="s">
        <v>50</v>
      </c>
      <c r="G1194" s="1" t="s">
        <v>50</v>
      </c>
      <c r="H1194" s="1"/>
      <c r="I1194" s="1" t="s">
        <v>50</v>
      </c>
      <c r="J1194" s="1" t="s">
        <v>50</v>
      </c>
      <c r="K1194" s="1" t="s">
        <v>50</v>
      </c>
      <c r="L1194" s="1"/>
      <c r="M1194" s="1" t="s">
        <v>50</v>
      </c>
      <c r="N1194" s="1" t="s">
        <v>50</v>
      </c>
      <c r="O1194" s="1" t="s">
        <v>50</v>
      </c>
      <c r="P1194" s="1" t="s">
        <v>2429</v>
      </c>
      <c r="Q1194" s="1" t="s">
        <v>104</v>
      </c>
      <c r="R1194" s="1" t="s">
        <v>104</v>
      </c>
      <c r="S1194" s="1" t="s">
        <v>104</v>
      </c>
      <c r="T1194" s="1" t="s">
        <v>104</v>
      </c>
      <c r="U1194" s="1" t="s">
        <v>104</v>
      </c>
      <c r="V1194" s="1" t="s">
        <v>104</v>
      </c>
      <c r="W1194" s="1" t="s">
        <v>104</v>
      </c>
      <c r="X1194" s="1" t="s">
        <v>730</v>
      </c>
      <c r="Y1194" s="1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>
        <v>1</v>
      </c>
      <c r="AU1194" s="8"/>
      <c r="AV1194" s="8"/>
      <c r="AW1194" s="8"/>
      <c r="AX1194" s="8"/>
      <c r="AY1194" s="8"/>
      <c r="AZ1194" s="8"/>
      <c r="BA1194" s="8"/>
      <c r="BB1194" s="1"/>
      <c r="BL1194" s="58"/>
      <c r="BP1194" t="str">
        <f t="shared" ref="BP1194:BP1195" si="64">D1194&amp;E1194</f>
        <v>Light0</v>
      </c>
      <c r="BR1194">
        <v>8</v>
      </c>
    </row>
    <row r="1195" spans="1:70" x14ac:dyDescent="0.25">
      <c r="A1195">
        <f t="shared" si="44"/>
        <v>1134</v>
      </c>
      <c r="B1195" t="s">
        <v>2521</v>
      </c>
      <c r="D1195" s="1" t="s">
        <v>0</v>
      </c>
      <c r="E1195" s="1">
        <v>0</v>
      </c>
      <c r="F1195" s="1" t="s">
        <v>50</v>
      </c>
      <c r="G1195" s="1" t="s">
        <v>50</v>
      </c>
      <c r="H1195" s="1"/>
      <c r="I1195" s="1" t="s">
        <v>50</v>
      </c>
      <c r="J1195" s="1" t="s">
        <v>50</v>
      </c>
      <c r="K1195" s="1" t="s">
        <v>50</v>
      </c>
      <c r="L1195" s="1"/>
      <c r="M1195" s="1" t="s">
        <v>50</v>
      </c>
      <c r="N1195" s="1" t="s">
        <v>50</v>
      </c>
      <c r="O1195" s="1" t="s">
        <v>50</v>
      </c>
      <c r="P1195" s="1" t="s">
        <v>2429</v>
      </c>
      <c r="Q1195" s="1" t="s">
        <v>104</v>
      </c>
      <c r="R1195" s="1" t="s">
        <v>104</v>
      </c>
      <c r="S1195" s="1" t="s">
        <v>104</v>
      </c>
      <c r="T1195" s="1" t="s">
        <v>104</v>
      </c>
      <c r="U1195" s="1" t="s">
        <v>104</v>
      </c>
      <c r="V1195" s="1" t="s">
        <v>104</v>
      </c>
      <c r="W1195" s="1" t="s">
        <v>104</v>
      </c>
      <c r="X1195" s="1" t="s">
        <v>730</v>
      </c>
      <c r="Y1195" s="1"/>
      <c r="Z1195" s="8">
        <v>1</v>
      </c>
      <c r="AA1195" s="8">
        <v>1</v>
      </c>
      <c r="AB1195" s="8"/>
      <c r="AC1195" s="8">
        <v>1</v>
      </c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1"/>
      <c r="BL1195" s="58"/>
      <c r="BP1195" t="str">
        <f t="shared" si="64"/>
        <v>Dark0</v>
      </c>
      <c r="BR1195">
        <v>3</v>
      </c>
    </row>
    <row r="1196" spans="1:70" x14ac:dyDescent="0.25">
      <c r="A1196">
        <f t="shared" si="44"/>
        <v>1135</v>
      </c>
      <c r="B1196" t="s">
        <v>2523</v>
      </c>
      <c r="D1196" s="1" t="s">
        <v>16</v>
      </c>
      <c r="E1196" s="1">
        <v>0</v>
      </c>
      <c r="F1196" s="1" t="s">
        <v>50</v>
      </c>
      <c r="G1196" s="1" t="s">
        <v>50</v>
      </c>
      <c r="H1196" s="1"/>
      <c r="I1196" s="1" t="s">
        <v>50</v>
      </c>
      <c r="J1196" s="1" t="s">
        <v>50</v>
      </c>
      <c r="K1196" s="1" t="s">
        <v>50</v>
      </c>
      <c r="L1196" s="1"/>
      <c r="M1196" s="1" t="s">
        <v>50</v>
      </c>
      <c r="N1196" s="1" t="s">
        <v>50</v>
      </c>
      <c r="O1196" s="1" t="s">
        <v>50</v>
      </c>
      <c r="P1196" s="1" t="s">
        <v>2429</v>
      </c>
      <c r="Q1196" s="1" t="s">
        <v>104</v>
      </c>
      <c r="R1196" s="1" t="s">
        <v>104</v>
      </c>
      <c r="S1196" s="1" t="s">
        <v>104</v>
      </c>
      <c r="T1196" s="1" t="s">
        <v>104</v>
      </c>
      <c r="U1196" s="1" t="s">
        <v>104</v>
      </c>
      <c r="V1196" s="1" t="s">
        <v>104</v>
      </c>
      <c r="W1196" s="1" t="s">
        <v>104</v>
      </c>
      <c r="X1196" s="1" t="s">
        <v>726</v>
      </c>
      <c r="Y1196" s="1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>
        <v>1</v>
      </c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1"/>
      <c r="BL1196" s="58"/>
      <c r="BP1196" t="str">
        <f t="shared" ref="BP1196:BP1202" si="65">D1196&amp;E1196</f>
        <v>Flying0</v>
      </c>
      <c r="BR1196">
        <v>6</v>
      </c>
    </row>
    <row r="1197" spans="1:70" x14ac:dyDescent="0.25">
      <c r="A1197">
        <f t="shared" si="44"/>
        <v>1136</v>
      </c>
      <c r="B1197" t="s">
        <v>2524</v>
      </c>
      <c r="D1197" s="1" t="s">
        <v>16</v>
      </c>
      <c r="E1197" s="1">
        <v>0</v>
      </c>
      <c r="F1197" s="1" t="s">
        <v>50</v>
      </c>
      <c r="G1197" s="1" t="s">
        <v>50</v>
      </c>
      <c r="H1197" s="1"/>
      <c r="I1197" s="1" t="s">
        <v>50</v>
      </c>
      <c r="J1197" s="1" t="s">
        <v>50</v>
      </c>
      <c r="K1197" s="1" t="s">
        <v>50</v>
      </c>
      <c r="L1197" s="1"/>
      <c r="M1197" s="1" t="s">
        <v>104</v>
      </c>
      <c r="N1197" s="1" t="s">
        <v>50</v>
      </c>
      <c r="O1197" s="1" t="s">
        <v>50</v>
      </c>
      <c r="P1197" s="1" t="s">
        <v>1814</v>
      </c>
      <c r="Q1197" s="1" t="s">
        <v>104</v>
      </c>
      <c r="R1197" s="1" t="s">
        <v>104</v>
      </c>
      <c r="S1197" s="1" t="s">
        <v>104</v>
      </c>
      <c r="T1197" s="1" t="s">
        <v>104</v>
      </c>
      <c r="U1197" s="1" t="s">
        <v>104</v>
      </c>
      <c r="V1197" s="1" t="s">
        <v>104</v>
      </c>
      <c r="W1197" s="1" t="s">
        <v>104</v>
      </c>
      <c r="X1197" s="1" t="s">
        <v>726</v>
      </c>
      <c r="Y1197" s="1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>
        <v>1</v>
      </c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1"/>
      <c r="BL1197" s="58">
        <v>1</v>
      </c>
      <c r="BP1197" t="str">
        <f t="shared" si="65"/>
        <v>Flying0</v>
      </c>
      <c r="BR1197">
        <v>6</v>
      </c>
    </row>
    <row r="1198" spans="1:70" x14ac:dyDescent="0.25">
      <c r="A1198">
        <f t="shared" si="44"/>
        <v>1137</v>
      </c>
      <c r="B1198" t="s">
        <v>2525</v>
      </c>
      <c r="D1198" s="1" t="s">
        <v>18</v>
      </c>
      <c r="E1198" s="1" t="s">
        <v>0</v>
      </c>
      <c r="F1198" s="1" t="s">
        <v>50</v>
      </c>
      <c r="G1198" s="1" t="s">
        <v>50</v>
      </c>
      <c r="H1198" s="1"/>
      <c r="I1198" s="1" t="s">
        <v>50</v>
      </c>
      <c r="J1198" s="1" t="s">
        <v>50</v>
      </c>
      <c r="K1198" s="1" t="s">
        <v>50</v>
      </c>
      <c r="L1198" s="1"/>
      <c r="M1198" s="1" t="s">
        <v>50</v>
      </c>
      <c r="N1198" s="1" t="s">
        <v>50</v>
      </c>
      <c r="O1198" s="1" t="s">
        <v>50</v>
      </c>
      <c r="P1198" s="1" t="s">
        <v>1814</v>
      </c>
      <c r="Q1198" s="1" t="s">
        <v>104</v>
      </c>
      <c r="R1198" s="1" t="s">
        <v>104</v>
      </c>
      <c r="S1198" s="1" t="s">
        <v>104</v>
      </c>
      <c r="T1198" s="1" t="s">
        <v>104</v>
      </c>
      <c r="U1198" s="1" t="s">
        <v>104</v>
      </c>
      <c r="V1198" s="1" t="s">
        <v>104</v>
      </c>
      <c r="W1198" s="1" t="s">
        <v>104</v>
      </c>
      <c r="X1198" s="1" t="s">
        <v>726</v>
      </c>
      <c r="Y1198" s="1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>
        <v>1</v>
      </c>
      <c r="AV1198" s="8"/>
      <c r="AW1198" s="8">
        <v>1</v>
      </c>
      <c r="AX1198" s="8"/>
      <c r="AZ1198" s="8"/>
      <c r="BA1198" s="8"/>
      <c r="BB1198" s="1"/>
      <c r="BL1198" s="58"/>
      <c r="BP1198" t="str">
        <f t="shared" si="65"/>
        <v>FightingDark</v>
      </c>
      <c r="BR1198">
        <v>2</v>
      </c>
    </row>
    <row r="1199" spans="1:70" x14ac:dyDescent="0.25">
      <c r="A1199">
        <f t="shared" si="44"/>
        <v>1138</v>
      </c>
      <c r="B1199" t="s">
        <v>2526</v>
      </c>
      <c r="D1199" s="1" t="s">
        <v>18</v>
      </c>
      <c r="E1199" s="1" t="s">
        <v>0</v>
      </c>
      <c r="F1199" s="1" t="s">
        <v>50</v>
      </c>
      <c r="G1199" s="1" t="s">
        <v>50</v>
      </c>
      <c r="H1199" s="1"/>
      <c r="I1199" s="1" t="s">
        <v>50</v>
      </c>
      <c r="J1199" s="1" t="s">
        <v>50</v>
      </c>
      <c r="K1199" s="1" t="s">
        <v>50</v>
      </c>
      <c r="L1199" s="1"/>
      <c r="M1199" s="1" t="s">
        <v>104</v>
      </c>
      <c r="N1199" s="1" t="s">
        <v>50</v>
      </c>
      <c r="O1199" s="1" t="s">
        <v>50</v>
      </c>
      <c r="P1199" s="1" t="s">
        <v>1814</v>
      </c>
      <c r="Q1199" s="1" t="s">
        <v>104</v>
      </c>
      <c r="R1199" s="1" t="s">
        <v>104</v>
      </c>
      <c r="S1199" s="1" t="s">
        <v>104</v>
      </c>
      <c r="T1199" s="1" t="s">
        <v>104</v>
      </c>
      <c r="U1199" s="1" t="s">
        <v>104</v>
      </c>
      <c r="V1199" s="1" t="s">
        <v>104</v>
      </c>
      <c r="W1199" s="1" t="s">
        <v>104</v>
      </c>
      <c r="X1199" s="1" t="s">
        <v>726</v>
      </c>
      <c r="Y1199" s="1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>
        <v>1</v>
      </c>
      <c r="AV1199" s="8"/>
      <c r="AW1199" s="8">
        <v>1</v>
      </c>
      <c r="AX1199" s="8"/>
      <c r="AZ1199" s="8"/>
      <c r="BA1199" s="8"/>
      <c r="BB1199" s="1"/>
      <c r="BL1199" s="58"/>
      <c r="BP1199" t="str">
        <f t="shared" si="65"/>
        <v>FightingDark</v>
      </c>
      <c r="BR1199">
        <v>2</v>
      </c>
    </row>
    <row r="1200" spans="1:70" x14ac:dyDescent="0.25">
      <c r="A1200">
        <f t="shared" si="44"/>
        <v>1139</v>
      </c>
      <c r="B1200" t="s">
        <v>2527</v>
      </c>
      <c r="D1200" s="1" t="s">
        <v>18</v>
      </c>
      <c r="E1200" s="1" t="s">
        <v>0</v>
      </c>
      <c r="F1200" s="1" t="s">
        <v>50</v>
      </c>
      <c r="G1200" s="1" t="s">
        <v>50</v>
      </c>
      <c r="H1200" s="1"/>
      <c r="I1200" s="1" t="s">
        <v>50</v>
      </c>
      <c r="J1200" s="1" t="s">
        <v>50</v>
      </c>
      <c r="K1200" s="1" t="s">
        <v>50</v>
      </c>
      <c r="L1200" s="1"/>
      <c r="M1200" s="1" t="s">
        <v>104</v>
      </c>
      <c r="N1200" s="1" t="s">
        <v>50</v>
      </c>
      <c r="O1200" s="1" t="s">
        <v>50</v>
      </c>
      <c r="P1200" s="1" t="s">
        <v>1814</v>
      </c>
      <c r="Q1200" s="1" t="s">
        <v>50</v>
      </c>
      <c r="R1200" s="1" t="s">
        <v>50</v>
      </c>
      <c r="S1200" s="1" t="s">
        <v>50</v>
      </c>
      <c r="T1200" s="1" t="s">
        <v>50</v>
      </c>
      <c r="U1200" s="1" t="s">
        <v>50</v>
      </c>
      <c r="V1200" s="1" t="s">
        <v>50</v>
      </c>
      <c r="W1200" s="1" t="s">
        <v>50</v>
      </c>
      <c r="X1200" s="1" t="s">
        <v>726</v>
      </c>
      <c r="Y1200" s="1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>
        <v>1</v>
      </c>
      <c r="AV1200" s="8"/>
      <c r="AW1200" s="8">
        <v>1</v>
      </c>
      <c r="AX1200" s="8"/>
      <c r="AZ1200" s="8"/>
      <c r="BA1200" s="8"/>
      <c r="BB1200" s="1"/>
      <c r="BL1200" s="58">
        <v>3</v>
      </c>
      <c r="BP1200" t="str">
        <f t="shared" si="65"/>
        <v>FightingDark</v>
      </c>
      <c r="BR1200">
        <v>2</v>
      </c>
    </row>
    <row r="1201" spans="1:70" x14ac:dyDescent="0.25">
      <c r="A1201">
        <f t="shared" si="44"/>
        <v>1140</v>
      </c>
      <c r="B1201" t="s">
        <v>2528</v>
      </c>
      <c r="D1201" s="1" t="s">
        <v>18</v>
      </c>
      <c r="E1201" s="1" t="s">
        <v>9</v>
      </c>
      <c r="F1201" s="1" t="s">
        <v>50</v>
      </c>
      <c r="G1201" s="1" t="s">
        <v>50</v>
      </c>
      <c r="H1201" s="1"/>
      <c r="I1201" s="1" t="s">
        <v>50</v>
      </c>
      <c r="J1201" s="1" t="s">
        <v>50</v>
      </c>
      <c r="K1201" s="1" t="s">
        <v>50</v>
      </c>
      <c r="L1201" s="1"/>
      <c r="M1201" s="1" t="s">
        <v>50</v>
      </c>
      <c r="N1201" s="1" t="s">
        <v>50</v>
      </c>
      <c r="O1201" s="1" t="s">
        <v>50</v>
      </c>
      <c r="P1201" s="1" t="s">
        <v>2429</v>
      </c>
      <c r="Q1201" s="1" t="s">
        <v>104</v>
      </c>
      <c r="R1201" s="1" t="s">
        <v>104</v>
      </c>
      <c r="S1201" s="1" t="s">
        <v>104</v>
      </c>
      <c r="T1201" s="1" t="s">
        <v>104</v>
      </c>
      <c r="U1201" s="1" t="s">
        <v>104</v>
      </c>
      <c r="V1201" s="1" t="s">
        <v>104</v>
      </c>
      <c r="W1201" s="1" t="s">
        <v>104</v>
      </c>
      <c r="X1201" s="1" t="s">
        <v>2119</v>
      </c>
      <c r="Y1201" s="1"/>
      <c r="Z1201" s="8"/>
      <c r="AA1201" s="8"/>
      <c r="AB1201" s="8"/>
      <c r="AC1201" s="8">
        <v>1</v>
      </c>
      <c r="AD1201" s="8"/>
      <c r="AE1201" s="8"/>
      <c r="AF1201" s="8"/>
      <c r="AG1201" s="8"/>
      <c r="AH1201" s="8">
        <v>1</v>
      </c>
      <c r="AI1201" s="8"/>
      <c r="AJ1201" s="8">
        <v>1</v>
      </c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>
        <v>1</v>
      </c>
      <c r="AY1201" s="8"/>
      <c r="AZ1201" s="8"/>
      <c r="BA1201" s="8"/>
      <c r="BB1201" s="1"/>
      <c r="BL1201" s="58"/>
      <c r="BP1201" t="str">
        <f t="shared" si="65"/>
        <v>FightingRock</v>
      </c>
      <c r="BR1201">
        <v>5</v>
      </c>
    </row>
    <row r="1202" spans="1:70" x14ac:dyDescent="0.25">
      <c r="A1202">
        <f t="shared" si="44"/>
        <v>1141</v>
      </c>
      <c r="B1202" t="s">
        <v>2529</v>
      </c>
      <c r="D1202" s="1" t="s">
        <v>18</v>
      </c>
      <c r="E1202" s="1" t="s">
        <v>9</v>
      </c>
      <c r="F1202" s="1" t="s">
        <v>50</v>
      </c>
      <c r="G1202" s="1" t="s">
        <v>50</v>
      </c>
      <c r="H1202" s="1"/>
      <c r="I1202" s="1" t="s">
        <v>50</v>
      </c>
      <c r="J1202" s="1" t="s">
        <v>50</v>
      </c>
      <c r="K1202" s="1" t="s">
        <v>50</v>
      </c>
      <c r="L1202" s="1"/>
      <c r="M1202" s="1" t="s">
        <v>104</v>
      </c>
      <c r="N1202" s="1" t="s">
        <v>50</v>
      </c>
      <c r="O1202" s="1" t="s">
        <v>50</v>
      </c>
      <c r="P1202" s="1" t="s">
        <v>2429</v>
      </c>
      <c r="Q1202" s="1" t="s">
        <v>104</v>
      </c>
      <c r="R1202" s="1" t="s">
        <v>104</v>
      </c>
      <c r="S1202" s="1" t="s">
        <v>104</v>
      </c>
      <c r="T1202" s="1" t="s">
        <v>104</v>
      </c>
      <c r="U1202" s="1" t="s">
        <v>104</v>
      </c>
      <c r="V1202" s="1" t="s">
        <v>104</v>
      </c>
      <c r="W1202" s="1" t="s">
        <v>104</v>
      </c>
      <c r="X1202" s="1" t="s">
        <v>2119</v>
      </c>
      <c r="Y1202" s="1"/>
      <c r="Z1202" s="8"/>
      <c r="AA1202" s="8"/>
      <c r="AB1202" s="8"/>
      <c r="AC1202" s="8">
        <v>1</v>
      </c>
      <c r="AD1202" s="8"/>
      <c r="AE1202" s="8"/>
      <c r="AF1202" s="8"/>
      <c r="AG1202" s="8"/>
      <c r="AH1202" s="8">
        <v>1</v>
      </c>
      <c r="AI1202" s="8"/>
      <c r="AJ1202" s="8">
        <v>1</v>
      </c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>
        <v>1</v>
      </c>
      <c r="AY1202" s="8"/>
      <c r="AZ1202" s="8"/>
      <c r="BA1202" s="8"/>
      <c r="BB1202" s="1"/>
      <c r="BL1202" s="58"/>
      <c r="BP1202" t="str">
        <f t="shared" si="65"/>
        <v>FightingRock</v>
      </c>
      <c r="BR1202">
        <v>5</v>
      </c>
    </row>
    <row r="1203" spans="1:70" x14ac:dyDescent="0.25">
      <c r="A1203">
        <f t="shared" si="44"/>
        <v>1142</v>
      </c>
      <c r="B1203" t="s">
        <v>2530</v>
      </c>
      <c r="D1203" s="1" t="s">
        <v>44</v>
      </c>
      <c r="E1203" s="1">
        <v>0</v>
      </c>
      <c r="F1203" s="1" t="s">
        <v>50</v>
      </c>
      <c r="G1203" s="1" t="s">
        <v>50</v>
      </c>
      <c r="H1203" s="1"/>
      <c r="I1203" s="1" t="s">
        <v>50</v>
      </c>
      <c r="J1203" s="1" t="s">
        <v>50</v>
      </c>
      <c r="K1203" s="1" t="s">
        <v>50</v>
      </c>
      <c r="L1203" s="1"/>
      <c r="M1203" s="1" t="s">
        <v>50</v>
      </c>
      <c r="N1203" s="1" t="s">
        <v>50</v>
      </c>
      <c r="O1203" s="1" t="s">
        <v>50</v>
      </c>
      <c r="P1203" s="1" t="s">
        <v>2429</v>
      </c>
      <c r="Q1203" s="1" t="s">
        <v>104</v>
      </c>
      <c r="R1203" s="1" t="s">
        <v>104</v>
      </c>
      <c r="S1203" s="1" t="s">
        <v>104</v>
      </c>
      <c r="T1203" s="1" t="s">
        <v>104</v>
      </c>
      <c r="U1203" s="1" t="s">
        <v>104</v>
      </c>
      <c r="V1203" s="1" t="s">
        <v>104</v>
      </c>
      <c r="W1203" s="1" t="s">
        <v>104</v>
      </c>
      <c r="X1203" s="1" t="s">
        <v>2416</v>
      </c>
      <c r="Y1203" s="1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>
        <v>1</v>
      </c>
      <c r="AT1203" s="8"/>
      <c r="AU1203" s="8"/>
      <c r="AV1203" s="8"/>
      <c r="AW1203" s="8"/>
      <c r="AX1203" s="8"/>
      <c r="AY1203" s="8"/>
      <c r="AZ1203" s="8"/>
      <c r="BA1203" s="8"/>
      <c r="BB1203" s="1"/>
      <c r="BL1203" s="58"/>
      <c r="BP1203" t="str">
        <f t="shared" ref="BP1203:BP1208" si="66">D1203&amp;E1203</f>
        <v>Light0</v>
      </c>
      <c r="BR1203">
        <v>9</v>
      </c>
    </row>
    <row r="1204" spans="1:70" x14ac:dyDescent="0.25">
      <c r="A1204">
        <f t="shared" si="44"/>
        <v>1143</v>
      </c>
      <c r="B1204" t="s">
        <v>2531</v>
      </c>
      <c r="D1204" s="1" t="s">
        <v>44</v>
      </c>
      <c r="E1204" s="1" t="s">
        <v>41</v>
      </c>
      <c r="F1204" s="1" t="s">
        <v>50</v>
      </c>
      <c r="G1204" s="1" t="s">
        <v>50</v>
      </c>
      <c r="H1204" s="1"/>
      <c r="I1204" s="1" t="s">
        <v>50</v>
      </c>
      <c r="J1204" s="1" t="s">
        <v>50</v>
      </c>
      <c r="K1204" s="1" t="s">
        <v>50</v>
      </c>
      <c r="L1204" s="1"/>
      <c r="M1204" s="1" t="s">
        <v>104</v>
      </c>
      <c r="N1204" s="1" t="s">
        <v>50</v>
      </c>
      <c r="O1204" s="1" t="s">
        <v>50</v>
      </c>
      <c r="P1204" s="1" t="s">
        <v>2429</v>
      </c>
      <c r="Q1204" s="1" t="s">
        <v>104</v>
      </c>
      <c r="R1204" s="1" t="s">
        <v>104</v>
      </c>
      <c r="S1204" s="1" t="s">
        <v>104</v>
      </c>
      <c r="T1204" s="1" t="s">
        <v>104</v>
      </c>
      <c r="U1204" s="1" t="s">
        <v>104</v>
      </c>
      <c r="V1204" s="1" t="s">
        <v>104</v>
      </c>
      <c r="W1204" s="1" t="s">
        <v>104</v>
      </c>
      <c r="X1204" s="1" t="s">
        <v>2416</v>
      </c>
      <c r="Y1204" s="1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>
        <v>1</v>
      </c>
      <c r="AT1204" s="8"/>
      <c r="AU1204" s="8"/>
      <c r="AV1204" s="8"/>
      <c r="AW1204" s="8"/>
      <c r="AX1204" s="8"/>
      <c r="AY1204" s="8"/>
      <c r="AZ1204" s="8"/>
      <c r="BA1204" s="8"/>
      <c r="BB1204" s="1"/>
      <c r="BL1204" s="58"/>
      <c r="BP1204" t="str">
        <f t="shared" si="66"/>
        <v>LightSound</v>
      </c>
      <c r="BR1204">
        <v>9</v>
      </c>
    </row>
    <row r="1205" spans="1:70" x14ac:dyDescent="0.25">
      <c r="A1205">
        <f t="shared" si="44"/>
        <v>1144</v>
      </c>
      <c r="B1205" t="s">
        <v>2532</v>
      </c>
      <c r="D1205" s="1" t="s">
        <v>11</v>
      </c>
      <c r="E1205" s="1" t="s">
        <v>14</v>
      </c>
      <c r="F1205" s="1" t="s">
        <v>50</v>
      </c>
      <c r="G1205" s="1" t="s">
        <v>50</v>
      </c>
      <c r="H1205" s="1"/>
      <c r="I1205" s="1" t="s">
        <v>50</v>
      </c>
      <c r="J1205" s="1" t="s">
        <v>50</v>
      </c>
      <c r="K1205" s="1" t="s">
        <v>50</v>
      </c>
      <c r="L1205" s="1"/>
      <c r="M1205" s="1" t="s">
        <v>50</v>
      </c>
      <c r="N1205" s="1" t="s">
        <v>50</v>
      </c>
      <c r="O1205" s="1" t="s">
        <v>50</v>
      </c>
      <c r="P1205" s="1" t="s">
        <v>2429</v>
      </c>
      <c r="Q1205" s="1" t="s">
        <v>104</v>
      </c>
      <c r="R1205" s="1" t="s">
        <v>104</v>
      </c>
      <c r="S1205" s="1" t="s">
        <v>104</v>
      </c>
      <c r="T1205" s="1" t="s">
        <v>104</v>
      </c>
      <c r="U1205" s="1" t="s">
        <v>104</v>
      </c>
      <c r="V1205" s="1" t="s">
        <v>104</v>
      </c>
      <c r="W1205" s="1" t="s">
        <v>104</v>
      </c>
      <c r="X1205" s="1" t="s">
        <v>2119</v>
      </c>
      <c r="Y1205" s="1"/>
      <c r="Z1205" s="8">
        <v>1</v>
      </c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1"/>
      <c r="BL1205" s="58"/>
      <c r="BP1205" t="str">
        <f t="shared" si="66"/>
        <v>GrassGhost</v>
      </c>
      <c r="BR1205">
        <v>3</v>
      </c>
    </row>
    <row r="1206" spans="1:70" x14ac:dyDescent="0.25">
      <c r="A1206">
        <f t="shared" si="44"/>
        <v>1145</v>
      </c>
      <c r="B1206" t="s">
        <v>2533</v>
      </c>
      <c r="D1206" s="1" t="s">
        <v>42</v>
      </c>
      <c r="E1206" s="1">
        <v>0</v>
      </c>
      <c r="F1206" s="1" t="s">
        <v>50</v>
      </c>
      <c r="G1206" s="1" t="s">
        <v>50</v>
      </c>
      <c r="H1206" s="1"/>
      <c r="I1206" s="1" t="s">
        <v>50</v>
      </c>
      <c r="J1206" s="1" t="s">
        <v>50</v>
      </c>
      <c r="K1206" s="1" t="s">
        <v>50</v>
      </c>
      <c r="L1206" s="1"/>
      <c r="M1206" s="1" t="s">
        <v>50</v>
      </c>
      <c r="N1206" s="1" t="s">
        <v>50</v>
      </c>
      <c r="O1206" s="1" t="s">
        <v>50</v>
      </c>
      <c r="P1206" s="1" t="s">
        <v>2498</v>
      </c>
      <c r="Q1206" s="1" t="s">
        <v>104</v>
      </c>
      <c r="R1206" s="1" t="s">
        <v>104</v>
      </c>
      <c r="S1206" s="1" t="s">
        <v>104</v>
      </c>
      <c r="T1206" s="1" t="s">
        <v>104</v>
      </c>
      <c r="U1206" s="1" t="s">
        <v>104</v>
      </c>
      <c r="V1206" s="1" t="s">
        <v>104</v>
      </c>
      <c r="W1206" s="1" t="s">
        <v>104</v>
      </c>
      <c r="X1206" s="1" t="s">
        <v>2446</v>
      </c>
      <c r="Y1206" s="1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>
        <v>1</v>
      </c>
      <c r="AV1206" s="8"/>
      <c r="AW1206" s="8">
        <v>1</v>
      </c>
      <c r="AX1206" s="8"/>
      <c r="AZ1206" s="8"/>
      <c r="BA1206" s="8"/>
      <c r="BB1206" s="1"/>
      <c r="BL1206" s="58"/>
      <c r="BP1206" t="str">
        <f t="shared" si="66"/>
        <v>Cosmic0</v>
      </c>
      <c r="BR1206">
        <v>6</v>
      </c>
    </row>
    <row r="1207" spans="1:70" x14ac:dyDescent="0.25">
      <c r="A1207">
        <f t="shared" si="44"/>
        <v>1146</v>
      </c>
      <c r="B1207" t="s">
        <v>2534</v>
      </c>
      <c r="D1207" s="1" t="s">
        <v>42</v>
      </c>
      <c r="E1207" s="1" t="s">
        <v>13</v>
      </c>
      <c r="F1207" s="1" t="s">
        <v>50</v>
      </c>
      <c r="G1207" s="1" t="s">
        <v>50</v>
      </c>
      <c r="H1207" s="1"/>
      <c r="I1207" s="1" t="s">
        <v>50</v>
      </c>
      <c r="J1207" s="1" t="s">
        <v>50</v>
      </c>
      <c r="K1207" s="1" t="s">
        <v>50</v>
      </c>
      <c r="L1207" s="1"/>
      <c r="M1207" s="1" t="s">
        <v>104</v>
      </c>
      <c r="N1207" s="1" t="s">
        <v>50</v>
      </c>
      <c r="O1207" s="1" t="s">
        <v>50</v>
      </c>
      <c r="P1207" s="1" t="s">
        <v>2498</v>
      </c>
      <c r="Q1207" s="1" t="s">
        <v>104</v>
      </c>
      <c r="R1207" s="1" t="s">
        <v>104</v>
      </c>
      <c r="S1207" s="1" t="s">
        <v>104</v>
      </c>
      <c r="T1207" s="1" t="s">
        <v>104</v>
      </c>
      <c r="U1207" s="1" t="s">
        <v>104</v>
      </c>
      <c r="V1207" s="1" t="s">
        <v>104</v>
      </c>
      <c r="W1207" s="1" t="s">
        <v>104</v>
      </c>
      <c r="X1207" s="1" t="s">
        <v>2446</v>
      </c>
      <c r="Y1207" s="1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>
        <v>1</v>
      </c>
      <c r="AV1207" s="8"/>
      <c r="AW1207" s="8">
        <v>1</v>
      </c>
      <c r="AX1207" s="8"/>
      <c r="AZ1207" s="8"/>
      <c r="BA1207" s="8"/>
      <c r="BB1207" s="1"/>
      <c r="BL1207" s="58"/>
      <c r="BP1207" t="str">
        <f t="shared" si="66"/>
        <v>CosmicFire</v>
      </c>
      <c r="BR1207">
        <v>6</v>
      </c>
    </row>
    <row r="1208" spans="1:70" x14ac:dyDescent="0.25">
      <c r="A1208">
        <f t="shared" si="44"/>
        <v>1147</v>
      </c>
      <c r="B1208" t="s">
        <v>2535</v>
      </c>
      <c r="D1208" s="1" t="s">
        <v>42</v>
      </c>
      <c r="E1208" s="1" t="s">
        <v>13</v>
      </c>
      <c r="F1208" s="1" t="s">
        <v>50</v>
      </c>
      <c r="G1208" s="1" t="s">
        <v>50</v>
      </c>
      <c r="H1208" s="1"/>
      <c r="I1208" s="1" t="s">
        <v>50</v>
      </c>
      <c r="J1208" s="1" t="s">
        <v>50</v>
      </c>
      <c r="K1208" s="1" t="s">
        <v>50</v>
      </c>
      <c r="L1208" s="1"/>
      <c r="M1208" s="1" t="s">
        <v>104</v>
      </c>
      <c r="N1208" s="1" t="s">
        <v>50</v>
      </c>
      <c r="O1208" s="1" t="s">
        <v>50</v>
      </c>
      <c r="P1208" s="1" t="s">
        <v>2498</v>
      </c>
      <c r="Q1208" s="1" t="s">
        <v>104</v>
      </c>
      <c r="R1208" s="1" t="s">
        <v>104</v>
      </c>
      <c r="S1208" s="1" t="s">
        <v>104</v>
      </c>
      <c r="T1208" s="1" t="s">
        <v>104</v>
      </c>
      <c r="U1208" s="1" t="s">
        <v>104</v>
      </c>
      <c r="V1208" s="1" t="s">
        <v>104</v>
      </c>
      <c r="W1208" s="1" t="s">
        <v>104</v>
      </c>
      <c r="X1208" s="1" t="s">
        <v>2446</v>
      </c>
      <c r="Y1208" s="1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>
        <v>1</v>
      </c>
      <c r="AV1208" s="8"/>
      <c r="AW1208" s="8">
        <v>1</v>
      </c>
      <c r="AX1208" s="8"/>
      <c r="AZ1208" s="8"/>
      <c r="BA1208" s="8"/>
      <c r="BB1208" s="1"/>
      <c r="BL1208" s="58"/>
      <c r="BP1208" t="str">
        <f t="shared" si="66"/>
        <v>CosmicFire</v>
      </c>
      <c r="BR1208">
        <v>6</v>
      </c>
    </row>
    <row r="1209" spans="1:70" x14ac:dyDescent="0.25">
      <c r="A1209">
        <f t="shared" si="44"/>
        <v>1148</v>
      </c>
      <c r="B1209" t="s">
        <v>2536</v>
      </c>
      <c r="D1209" s="1" t="s">
        <v>6</v>
      </c>
      <c r="E1209" s="1">
        <v>0</v>
      </c>
      <c r="F1209" s="1" t="s">
        <v>50</v>
      </c>
      <c r="G1209" s="1" t="s">
        <v>50</v>
      </c>
      <c r="H1209" s="1"/>
      <c r="I1209" s="1" t="s">
        <v>50</v>
      </c>
      <c r="J1209" s="1" t="s">
        <v>50</v>
      </c>
      <c r="K1209" s="1" t="s">
        <v>50</v>
      </c>
      <c r="L1209" s="1"/>
      <c r="M1209" s="1" t="s">
        <v>50</v>
      </c>
      <c r="N1209" s="1" t="s">
        <v>50</v>
      </c>
      <c r="O1209" s="1" t="s">
        <v>50</v>
      </c>
      <c r="P1209" s="1" t="s">
        <v>2429</v>
      </c>
      <c r="Q1209" s="1" t="s">
        <v>104</v>
      </c>
      <c r="R1209" s="1" t="s">
        <v>104</v>
      </c>
      <c r="S1209" s="1" t="s">
        <v>104</v>
      </c>
      <c r="T1209" s="1" t="s">
        <v>104</v>
      </c>
      <c r="U1209" s="1" t="s">
        <v>104</v>
      </c>
      <c r="V1209" s="1" t="s">
        <v>104</v>
      </c>
      <c r="W1209" s="1" t="s">
        <v>104</v>
      </c>
      <c r="X1209" s="1" t="s">
        <v>726</v>
      </c>
      <c r="Y1209" s="1"/>
      <c r="Z1209" s="8"/>
      <c r="AA1209" s="8"/>
      <c r="AB1209" s="8"/>
      <c r="AC1209" s="8"/>
      <c r="AD1209" s="8">
        <v>1</v>
      </c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>
        <v>1</v>
      </c>
      <c r="AT1209" s="8"/>
      <c r="AU1209" s="8"/>
      <c r="AV1209" s="8"/>
      <c r="AW1209" s="8"/>
      <c r="AX1209" s="8">
        <v>1</v>
      </c>
      <c r="AY1209" s="8">
        <v>1</v>
      </c>
      <c r="AZ1209" s="8"/>
      <c r="BA1209" s="8"/>
      <c r="BB1209" s="1"/>
      <c r="BL1209" s="58"/>
      <c r="BP1209" t="str">
        <f t="shared" ref="BP1209:BP1210" si="67">D1209&amp;E1209</f>
        <v>Steel0</v>
      </c>
      <c r="BR1209">
        <v>7</v>
      </c>
    </row>
    <row r="1210" spans="1:70" x14ac:dyDescent="0.25">
      <c r="A1210">
        <f t="shared" si="44"/>
        <v>1149</v>
      </c>
      <c r="B1210" t="s">
        <v>2537</v>
      </c>
      <c r="D1210" s="1" t="s">
        <v>6</v>
      </c>
      <c r="E1210" s="1">
        <v>0</v>
      </c>
      <c r="F1210" s="1" t="s">
        <v>50</v>
      </c>
      <c r="G1210" s="1" t="s">
        <v>50</v>
      </c>
      <c r="H1210" s="1"/>
      <c r="I1210" s="1" t="s">
        <v>50</v>
      </c>
      <c r="J1210" s="1" t="s">
        <v>50</v>
      </c>
      <c r="K1210" s="1" t="s">
        <v>50</v>
      </c>
      <c r="L1210" s="1"/>
      <c r="M1210" s="1" t="s">
        <v>104</v>
      </c>
      <c r="N1210" s="1" t="s">
        <v>50</v>
      </c>
      <c r="O1210" s="1" t="s">
        <v>50</v>
      </c>
      <c r="P1210" s="1" t="s">
        <v>2429</v>
      </c>
      <c r="Q1210" s="1" t="s">
        <v>104</v>
      </c>
      <c r="R1210" s="1" t="s">
        <v>104</v>
      </c>
      <c r="S1210" s="1" t="s">
        <v>104</v>
      </c>
      <c r="T1210" s="1" t="s">
        <v>104</v>
      </c>
      <c r="U1210" s="1" t="s">
        <v>104</v>
      </c>
      <c r="V1210" s="1" t="s">
        <v>104</v>
      </c>
      <c r="W1210" s="1" t="s">
        <v>104</v>
      </c>
      <c r="X1210" s="1" t="s">
        <v>726</v>
      </c>
      <c r="Y1210" s="1"/>
      <c r="Z1210" s="8"/>
      <c r="AA1210" s="8"/>
      <c r="AB1210" s="8"/>
      <c r="AC1210" s="8"/>
      <c r="AD1210" s="8">
        <v>1</v>
      </c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>
        <v>1</v>
      </c>
      <c r="AT1210" s="8"/>
      <c r="AU1210" s="8"/>
      <c r="AV1210" s="8"/>
      <c r="AW1210" s="8"/>
      <c r="AX1210" s="8">
        <v>1</v>
      </c>
      <c r="AY1210" s="8">
        <v>1</v>
      </c>
      <c r="AZ1210" s="8"/>
      <c r="BA1210" s="8"/>
      <c r="BB1210" s="1"/>
      <c r="BL1210" s="58"/>
      <c r="BP1210" t="str">
        <f t="shared" si="67"/>
        <v>Steel0</v>
      </c>
      <c r="BR1210">
        <v>7</v>
      </c>
    </row>
    <row r="1211" spans="1:70" x14ac:dyDescent="0.25">
      <c r="A1211">
        <f t="shared" si="44"/>
        <v>1150</v>
      </c>
      <c r="B1211" t="s">
        <v>2538</v>
      </c>
      <c r="D1211" s="1" t="s">
        <v>44</v>
      </c>
      <c r="E1211" s="1" t="s">
        <v>4</v>
      </c>
      <c r="F1211" s="1" t="s">
        <v>50</v>
      </c>
      <c r="G1211" s="1" t="s">
        <v>50</v>
      </c>
      <c r="H1211" s="1"/>
      <c r="I1211" s="1" t="s">
        <v>50</v>
      </c>
      <c r="J1211" s="1" t="s">
        <v>50</v>
      </c>
      <c r="K1211" s="1" t="s">
        <v>50</v>
      </c>
      <c r="L1211" s="1"/>
      <c r="M1211" s="1" t="s">
        <v>104</v>
      </c>
      <c r="N1211" s="1" t="s">
        <v>50</v>
      </c>
      <c r="O1211" s="1" t="s">
        <v>50</v>
      </c>
      <c r="P1211" s="1" t="s">
        <v>2554</v>
      </c>
      <c r="Q1211" s="1" t="s">
        <v>104</v>
      </c>
      <c r="R1211" s="1" t="s">
        <v>104</v>
      </c>
      <c r="S1211" s="1" t="s">
        <v>104</v>
      </c>
      <c r="T1211" s="1" t="s">
        <v>104</v>
      </c>
      <c r="U1211" s="1" t="s">
        <v>104</v>
      </c>
      <c r="V1211" s="1" t="s">
        <v>104</v>
      </c>
      <c r="W1211" s="1" t="s">
        <v>104</v>
      </c>
      <c r="X1211" s="1" t="s">
        <v>2144</v>
      </c>
      <c r="Y1211" s="1"/>
      <c r="Z1211" s="8"/>
      <c r="AA1211" s="8"/>
      <c r="AB1211" s="8"/>
      <c r="AC1211" s="8"/>
      <c r="AD1211" s="8"/>
      <c r="AE1211" s="8">
        <v>1</v>
      </c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1"/>
      <c r="BL1211" s="58"/>
      <c r="BP1211" t="str">
        <f t="shared" ref="BP1211:BP1217" si="68">D1211&amp;E1211</f>
        <v>LightPsychic</v>
      </c>
      <c r="BR1211">
        <v>1</v>
      </c>
    </row>
    <row r="1212" spans="1:70" x14ac:dyDescent="0.25">
      <c r="A1212">
        <f t="shared" si="44"/>
        <v>1151</v>
      </c>
      <c r="B1212" t="s">
        <v>2539</v>
      </c>
      <c r="D1212" s="1" t="s">
        <v>44</v>
      </c>
      <c r="E1212" s="1" t="s">
        <v>4</v>
      </c>
      <c r="F1212" s="1" t="s">
        <v>50</v>
      </c>
      <c r="G1212" s="1" t="s">
        <v>50</v>
      </c>
      <c r="H1212" s="1"/>
      <c r="I1212" s="1" t="s">
        <v>50</v>
      </c>
      <c r="J1212" s="1" t="s">
        <v>50</v>
      </c>
      <c r="K1212" s="1" t="s">
        <v>50</v>
      </c>
      <c r="L1212" s="1"/>
      <c r="M1212" s="1" t="s">
        <v>104</v>
      </c>
      <c r="N1212" s="1" t="s">
        <v>50</v>
      </c>
      <c r="O1212" s="1" t="s">
        <v>50</v>
      </c>
      <c r="P1212" s="1" t="s">
        <v>2554</v>
      </c>
      <c r="Q1212" s="1" t="s">
        <v>104</v>
      </c>
      <c r="R1212" s="1" t="s">
        <v>104</v>
      </c>
      <c r="S1212" s="1" t="s">
        <v>104</v>
      </c>
      <c r="T1212" s="1" t="s">
        <v>104</v>
      </c>
      <c r="U1212" s="1" t="s">
        <v>104</v>
      </c>
      <c r="V1212" s="1" t="s">
        <v>104</v>
      </c>
      <c r="W1212" s="1" t="s">
        <v>104</v>
      </c>
      <c r="X1212" s="1" t="s">
        <v>2144</v>
      </c>
      <c r="Y1212" s="1"/>
      <c r="Z1212" s="8"/>
      <c r="AA1212" s="8"/>
      <c r="AB1212" s="8"/>
      <c r="AC1212" s="8"/>
      <c r="AD1212" s="8"/>
      <c r="AE1212" s="8">
        <v>1</v>
      </c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1"/>
      <c r="BL1212" s="58"/>
      <c r="BP1212" t="str">
        <f t="shared" si="68"/>
        <v>LightPsychic</v>
      </c>
      <c r="BR1212">
        <v>1</v>
      </c>
    </row>
    <row r="1213" spans="1:70" x14ac:dyDescent="0.25">
      <c r="A1213">
        <f t="shared" si="44"/>
        <v>1152</v>
      </c>
      <c r="B1213" t="s">
        <v>2540</v>
      </c>
      <c r="D1213" s="1" t="s">
        <v>44</v>
      </c>
      <c r="E1213" s="1" t="s">
        <v>6</v>
      </c>
      <c r="F1213" s="1" t="s">
        <v>50</v>
      </c>
      <c r="G1213" s="1" t="s">
        <v>50</v>
      </c>
      <c r="H1213" s="1"/>
      <c r="I1213" s="1" t="s">
        <v>50</v>
      </c>
      <c r="J1213" s="1" t="s">
        <v>50</v>
      </c>
      <c r="K1213" s="1" t="s">
        <v>50</v>
      </c>
      <c r="L1213" s="1"/>
      <c r="M1213" s="1" t="s">
        <v>104</v>
      </c>
      <c r="N1213" s="1" t="s">
        <v>50</v>
      </c>
      <c r="O1213" s="1" t="s">
        <v>50</v>
      </c>
      <c r="P1213" s="1" t="s">
        <v>2554</v>
      </c>
      <c r="Q1213" s="1" t="s">
        <v>104</v>
      </c>
      <c r="R1213" s="1" t="s">
        <v>104</v>
      </c>
      <c r="S1213" s="1" t="s">
        <v>104</v>
      </c>
      <c r="T1213" s="1" t="s">
        <v>104</v>
      </c>
      <c r="U1213" s="1" t="s">
        <v>104</v>
      </c>
      <c r="V1213" s="1" t="s">
        <v>104</v>
      </c>
      <c r="W1213" s="1" t="s">
        <v>104</v>
      </c>
      <c r="X1213" s="1" t="s">
        <v>2144</v>
      </c>
      <c r="Y1213" s="1"/>
      <c r="Z1213" s="8"/>
      <c r="AA1213" s="8"/>
      <c r="AB1213" s="8"/>
      <c r="AC1213" s="8"/>
      <c r="AD1213" s="8"/>
      <c r="AE1213" s="8">
        <v>1</v>
      </c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1"/>
      <c r="BL1213" s="58">
        <v>2</v>
      </c>
      <c r="BP1213" t="str">
        <f t="shared" si="68"/>
        <v>LightSteel</v>
      </c>
      <c r="BR1213">
        <v>8</v>
      </c>
    </row>
    <row r="1214" spans="1:70" x14ac:dyDescent="0.25">
      <c r="A1214">
        <f t="shared" si="44"/>
        <v>1153</v>
      </c>
      <c r="B1214" t="s">
        <v>2541</v>
      </c>
      <c r="D1214" s="1" t="s">
        <v>6</v>
      </c>
      <c r="E1214" s="1">
        <v>0</v>
      </c>
      <c r="F1214" s="1" t="s">
        <v>50</v>
      </c>
      <c r="G1214" s="1" t="s">
        <v>50</v>
      </c>
      <c r="H1214" s="1"/>
      <c r="I1214" s="1" t="s">
        <v>50</v>
      </c>
      <c r="J1214" s="1" t="s">
        <v>50</v>
      </c>
      <c r="K1214" s="1" t="s">
        <v>50</v>
      </c>
      <c r="L1214" s="1"/>
      <c r="M1214" s="1" t="s">
        <v>104</v>
      </c>
      <c r="N1214" s="1" t="s">
        <v>50</v>
      </c>
      <c r="O1214" s="1" t="s">
        <v>50</v>
      </c>
      <c r="P1214" s="1" t="s">
        <v>2429</v>
      </c>
      <c r="Q1214" s="1" t="s">
        <v>104</v>
      </c>
      <c r="R1214" s="1" t="s">
        <v>104</v>
      </c>
      <c r="S1214" s="1" t="s">
        <v>104</v>
      </c>
      <c r="T1214" s="1" t="s">
        <v>104</v>
      </c>
      <c r="U1214" s="1" t="s">
        <v>104</v>
      </c>
      <c r="V1214" s="1" t="s">
        <v>104</v>
      </c>
      <c r="W1214" s="1" t="s">
        <v>104</v>
      </c>
      <c r="X1214" s="1" t="s">
        <v>2446</v>
      </c>
      <c r="Y1214" s="1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>
        <v>1</v>
      </c>
      <c r="AT1214" s="8"/>
      <c r="AU1214" s="8"/>
      <c r="AV1214" s="8"/>
      <c r="AW1214" s="8"/>
      <c r="AX1214" s="8"/>
      <c r="AY1214" s="8"/>
      <c r="AZ1214" s="8"/>
      <c r="BA1214" s="8"/>
      <c r="BB1214" s="1"/>
      <c r="BL1214" s="58"/>
      <c r="BP1214" t="str">
        <f t="shared" si="68"/>
        <v>Steel0</v>
      </c>
      <c r="BR1214">
        <v>9</v>
      </c>
    </row>
    <row r="1215" spans="1:70" x14ac:dyDescent="0.25">
      <c r="A1215">
        <f t="shared" si="44"/>
        <v>1154</v>
      </c>
      <c r="B1215" t="s">
        <v>2542</v>
      </c>
      <c r="D1215" s="1" t="s">
        <v>6</v>
      </c>
      <c r="E1215" s="1" t="s">
        <v>0</v>
      </c>
      <c r="F1215" s="1" t="s">
        <v>50</v>
      </c>
      <c r="G1215" s="1" t="s">
        <v>50</v>
      </c>
      <c r="H1215" s="1"/>
      <c r="I1215" s="1" t="s">
        <v>50</v>
      </c>
      <c r="J1215" s="1" t="s">
        <v>50</v>
      </c>
      <c r="K1215" s="1" t="s">
        <v>50</v>
      </c>
      <c r="L1215" s="1"/>
      <c r="M1215" s="1" t="s">
        <v>104</v>
      </c>
      <c r="N1215" s="1" t="s">
        <v>50</v>
      </c>
      <c r="O1215" s="1" t="s">
        <v>50</v>
      </c>
      <c r="P1215" s="1" t="s">
        <v>2429</v>
      </c>
      <c r="Q1215" s="1" t="s">
        <v>104</v>
      </c>
      <c r="R1215" s="1" t="s">
        <v>104</v>
      </c>
      <c r="S1215" s="1" t="s">
        <v>104</v>
      </c>
      <c r="T1215" s="1" t="s">
        <v>104</v>
      </c>
      <c r="U1215" s="1" t="s">
        <v>104</v>
      </c>
      <c r="V1215" s="1" t="s">
        <v>104</v>
      </c>
      <c r="W1215" s="1" t="s">
        <v>104</v>
      </c>
      <c r="X1215" s="1" t="s">
        <v>2446</v>
      </c>
      <c r="Y1215" s="1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>
        <v>1</v>
      </c>
      <c r="AT1215" s="8"/>
      <c r="AU1215" s="8"/>
      <c r="AV1215" s="8"/>
      <c r="AW1215" s="8"/>
      <c r="AX1215" s="8"/>
      <c r="AY1215" s="8"/>
      <c r="AZ1215" s="8"/>
      <c r="BA1215" s="8"/>
      <c r="BB1215" s="1"/>
      <c r="BL1215" s="58"/>
      <c r="BP1215" t="str">
        <f t="shared" si="68"/>
        <v>SteelDark</v>
      </c>
      <c r="BR1215">
        <v>9</v>
      </c>
    </row>
    <row r="1216" spans="1:70" x14ac:dyDescent="0.25">
      <c r="A1216">
        <f t="shared" si="44"/>
        <v>1155</v>
      </c>
      <c r="B1216" t="s">
        <v>2543</v>
      </c>
      <c r="D1216" s="1" t="s">
        <v>0</v>
      </c>
      <c r="E1216" s="1" t="s">
        <v>6</v>
      </c>
      <c r="F1216" s="1" t="s">
        <v>50</v>
      </c>
      <c r="G1216" s="1" t="s">
        <v>50</v>
      </c>
      <c r="H1216" s="1"/>
      <c r="I1216" s="1" t="s">
        <v>50</v>
      </c>
      <c r="J1216" s="1" t="s">
        <v>50</v>
      </c>
      <c r="K1216" s="1" t="s">
        <v>50</v>
      </c>
      <c r="L1216" s="1"/>
      <c r="M1216" s="1" t="s">
        <v>104</v>
      </c>
      <c r="N1216" s="1" t="s">
        <v>50</v>
      </c>
      <c r="O1216" s="1" t="s">
        <v>50</v>
      </c>
      <c r="P1216" s="1" t="s">
        <v>1814</v>
      </c>
      <c r="Q1216" s="1" t="s">
        <v>104</v>
      </c>
      <c r="R1216" s="1" t="s">
        <v>104</v>
      </c>
      <c r="S1216" s="1" t="s">
        <v>104</v>
      </c>
      <c r="T1216" s="1" t="s">
        <v>104</v>
      </c>
      <c r="U1216" s="1" t="s">
        <v>104</v>
      </c>
      <c r="V1216" s="1" t="s">
        <v>104</v>
      </c>
      <c r="W1216" s="1" t="s">
        <v>104</v>
      </c>
      <c r="X1216" s="1" t="s">
        <v>726</v>
      </c>
      <c r="Y1216" s="1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>
        <v>1</v>
      </c>
      <c r="AT1216" s="8"/>
      <c r="AU1216" s="8"/>
      <c r="AV1216" s="8"/>
      <c r="AW1216" s="8"/>
      <c r="AX1216" s="8"/>
      <c r="AY1216" s="8"/>
      <c r="AZ1216" s="8"/>
      <c r="BA1216" s="8"/>
      <c r="BB1216" s="1"/>
      <c r="BL1216" s="58">
        <v>1</v>
      </c>
      <c r="BP1216" t="str">
        <f t="shared" si="68"/>
        <v>DarkSteel</v>
      </c>
      <c r="BR1216">
        <v>8</v>
      </c>
    </row>
    <row r="1217" spans="1:70" x14ac:dyDescent="0.25">
      <c r="A1217">
        <f t="shared" si="44"/>
        <v>1156</v>
      </c>
      <c r="B1217" t="s">
        <v>2544</v>
      </c>
      <c r="D1217" s="1" t="s">
        <v>8</v>
      </c>
      <c r="E1217" s="1">
        <v>0</v>
      </c>
      <c r="F1217" s="1" t="s">
        <v>50</v>
      </c>
      <c r="G1217" s="1" t="s">
        <v>50</v>
      </c>
      <c r="H1217" s="1"/>
      <c r="I1217" s="1" t="s">
        <v>50</v>
      </c>
      <c r="J1217" s="1" t="s">
        <v>50</v>
      </c>
      <c r="K1217" s="1" t="s">
        <v>50</v>
      </c>
      <c r="L1217" s="1"/>
      <c r="M1217" s="1" t="s">
        <v>104</v>
      </c>
      <c r="N1217" s="1" t="s">
        <v>50</v>
      </c>
      <c r="O1217" s="1" t="s">
        <v>50</v>
      </c>
      <c r="P1217" s="1" t="s">
        <v>832</v>
      </c>
      <c r="Q1217" s="1" t="s">
        <v>104</v>
      </c>
      <c r="R1217" s="1" t="s">
        <v>104</v>
      </c>
      <c r="S1217" s="1" t="s">
        <v>104</v>
      </c>
      <c r="T1217" s="1" t="s">
        <v>104</v>
      </c>
      <c r="U1217" s="1" t="s">
        <v>104</v>
      </c>
      <c r="V1217" s="1" t="s">
        <v>104</v>
      </c>
      <c r="W1217" s="1" t="s">
        <v>104</v>
      </c>
      <c r="X1217" s="1" t="s">
        <v>2182</v>
      </c>
      <c r="Y1217" s="1"/>
      <c r="Z1217" s="8">
        <v>1</v>
      </c>
      <c r="AA1217" s="8">
        <v>1</v>
      </c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1"/>
      <c r="BL1217" s="58">
        <v>1</v>
      </c>
      <c r="BP1217" t="str">
        <f t="shared" si="68"/>
        <v>Ground0</v>
      </c>
      <c r="BR1217">
        <v>8</v>
      </c>
    </row>
    <row r="1218" spans="1:70" x14ac:dyDescent="0.25">
      <c r="A1218">
        <f t="shared" si="44"/>
        <v>1157</v>
      </c>
      <c r="B1218" t="s">
        <v>2545</v>
      </c>
      <c r="D1218" s="1" t="s">
        <v>11</v>
      </c>
      <c r="E1218" s="1" t="s">
        <v>0</v>
      </c>
      <c r="F1218" s="1" t="s">
        <v>50</v>
      </c>
      <c r="G1218" s="1" t="s">
        <v>50</v>
      </c>
      <c r="H1218" s="1"/>
      <c r="I1218" s="1" t="s">
        <v>50</v>
      </c>
      <c r="J1218" s="1" t="s">
        <v>50</v>
      </c>
      <c r="K1218" s="1" t="s">
        <v>50</v>
      </c>
      <c r="L1218" s="1"/>
      <c r="M1218" s="1" t="s">
        <v>104</v>
      </c>
      <c r="N1218" s="1" t="s">
        <v>50</v>
      </c>
      <c r="O1218" s="1" t="s">
        <v>50</v>
      </c>
      <c r="P1218" s="1" t="s">
        <v>2429</v>
      </c>
      <c r="Q1218" s="1" t="s">
        <v>104</v>
      </c>
      <c r="R1218" s="1" t="s">
        <v>104</v>
      </c>
      <c r="S1218" s="1" t="s">
        <v>104</v>
      </c>
      <c r="T1218" s="1" t="s">
        <v>104</v>
      </c>
      <c r="U1218" s="1" t="s">
        <v>104</v>
      </c>
      <c r="V1218" s="1" t="s">
        <v>104</v>
      </c>
      <c r="W1218" s="1" t="s">
        <v>104</v>
      </c>
      <c r="X1218" s="1" t="s">
        <v>2119</v>
      </c>
      <c r="Y1218" s="1"/>
      <c r="Z1218" s="8">
        <v>1</v>
      </c>
      <c r="AA1218" s="8">
        <v>1</v>
      </c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1"/>
      <c r="BL1218" s="58"/>
      <c r="BP1218" t="str">
        <f t="shared" ref="BP1218:BP1219" si="69">D1218&amp;E1218</f>
        <v>GrassDark</v>
      </c>
      <c r="BR1218">
        <v>9</v>
      </c>
    </row>
    <row r="1219" spans="1:70" x14ac:dyDescent="0.25">
      <c r="A1219">
        <f t="shared" si="44"/>
        <v>1158</v>
      </c>
      <c r="B1219" t="s">
        <v>2546</v>
      </c>
      <c r="D1219" s="1" t="s">
        <v>11</v>
      </c>
      <c r="E1219" s="1" t="s">
        <v>0</v>
      </c>
      <c r="F1219" s="1" t="s">
        <v>50</v>
      </c>
      <c r="G1219" s="1" t="s">
        <v>50</v>
      </c>
      <c r="H1219" s="1"/>
      <c r="I1219" s="1" t="s">
        <v>50</v>
      </c>
      <c r="J1219" s="1" t="s">
        <v>50</v>
      </c>
      <c r="K1219" s="1" t="s">
        <v>50</v>
      </c>
      <c r="L1219" s="1"/>
      <c r="M1219" s="1" t="s">
        <v>104</v>
      </c>
      <c r="N1219" s="1" t="s">
        <v>50</v>
      </c>
      <c r="O1219" s="1" t="s">
        <v>50</v>
      </c>
      <c r="P1219" s="1" t="s">
        <v>2429</v>
      </c>
      <c r="Q1219" s="1" t="s">
        <v>104</v>
      </c>
      <c r="R1219" s="1" t="s">
        <v>104</v>
      </c>
      <c r="S1219" s="1" t="s">
        <v>104</v>
      </c>
      <c r="T1219" s="1" t="s">
        <v>104</v>
      </c>
      <c r="U1219" s="1" t="s">
        <v>104</v>
      </c>
      <c r="V1219" s="1" t="s">
        <v>104</v>
      </c>
      <c r="W1219" s="1" t="s">
        <v>104</v>
      </c>
      <c r="X1219" s="1" t="s">
        <v>2119</v>
      </c>
      <c r="Y1219" s="1"/>
      <c r="Z1219" s="8">
        <v>1</v>
      </c>
      <c r="AA1219" s="8">
        <v>1</v>
      </c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1"/>
      <c r="BL1219" s="58"/>
      <c r="BP1219" t="str">
        <f t="shared" si="69"/>
        <v>GrassDark</v>
      </c>
      <c r="BR1219">
        <v>9</v>
      </c>
    </row>
    <row r="1220" spans="1:70" x14ac:dyDescent="0.25">
      <c r="A1220">
        <f t="shared" si="44"/>
        <v>1159</v>
      </c>
      <c r="B1220" t="s">
        <v>2547</v>
      </c>
      <c r="D1220" s="1" t="s">
        <v>13</v>
      </c>
      <c r="E1220" s="1" t="s">
        <v>6</v>
      </c>
      <c r="F1220" s="1" t="s">
        <v>50</v>
      </c>
      <c r="G1220" s="1" t="s">
        <v>50</v>
      </c>
      <c r="H1220" s="1"/>
      <c r="I1220" s="1" t="s">
        <v>50</v>
      </c>
      <c r="J1220" s="1" t="s">
        <v>50</v>
      </c>
      <c r="K1220" s="1" t="s">
        <v>50</v>
      </c>
      <c r="L1220" s="1"/>
      <c r="M1220" s="1" t="s">
        <v>104</v>
      </c>
      <c r="N1220" s="1" t="s">
        <v>50</v>
      </c>
      <c r="O1220" s="1" t="s">
        <v>50</v>
      </c>
      <c r="P1220" s="1" t="s">
        <v>2429</v>
      </c>
      <c r="Q1220" s="1" t="s">
        <v>104</v>
      </c>
      <c r="R1220" s="1" t="s">
        <v>104</v>
      </c>
      <c r="S1220" s="1" t="s">
        <v>104</v>
      </c>
      <c r="T1220" s="1" t="s">
        <v>104</v>
      </c>
      <c r="U1220" s="1" t="s">
        <v>104</v>
      </c>
      <c r="V1220" s="1" t="s">
        <v>104</v>
      </c>
      <c r="W1220" s="1" t="s">
        <v>104</v>
      </c>
      <c r="X1220" s="1" t="s">
        <v>730</v>
      </c>
      <c r="Y1220" s="1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>
        <v>1</v>
      </c>
      <c r="AY1220" s="8"/>
      <c r="AZ1220" s="8"/>
      <c r="BA1220" s="8"/>
      <c r="BB1220" s="1"/>
      <c r="BL1220" s="58">
        <v>1</v>
      </c>
      <c r="BP1220" t="str">
        <f t="shared" ref="BP1220:BP1222" si="70">D1220&amp;E1220</f>
        <v>FireSteel</v>
      </c>
      <c r="BR1220">
        <v>5</v>
      </c>
    </row>
    <row r="1221" spans="1:70" x14ac:dyDescent="0.25">
      <c r="A1221">
        <f t="shared" si="44"/>
        <v>1160</v>
      </c>
      <c r="B1221" t="s">
        <v>2548</v>
      </c>
      <c r="D1221" s="1" t="s">
        <v>5</v>
      </c>
      <c r="E1221" s="1" t="s">
        <v>12</v>
      </c>
      <c r="F1221" s="1" t="s">
        <v>50</v>
      </c>
      <c r="G1221" s="1" t="s">
        <v>50</v>
      </c>
      <c r="H1221" s="1"/>
      <c r="I1221" s="1" t="s">
        <v>50</v>
      </c>
      <c r="J1221" s="1" t="s">
        <v>50</v>
      </c>
      <c r="K1221" s="1" t="s">
        <v>50</v>
      </c>
      <c r="L1221" s="1"/>
      <c r="M1221" s="1" t="s">
        <v>50</v>
      </c>
      <c r="N1221" s="1" t="s">
        <v>50</v>
      </c>
      <c r="O1221" s="1" t="s">
        <v>50</v>
      </c>
      <c r="P1221" s="1" t="s">
        <v>2498</v>
      </c>
      <c r="Q1221" s="1" t="s">
        <v>104</v>
      </c>
      <c r="R1221" s="1" t="s">
        <v>104</v>
      </c>
      <c r="S1221" s="1" t="s">
        <v>104</v>
      </c>
      <c r="T1221" s="1" t="s">
        <v>104</v>
      </c>
      <c r="U1221" s="1" t="s">
        <v>104</v>
      </c>
      <c r="V1221" s="1" t="s">
        <v>104</v>
      </c>
      <c r="W1221" s="1" t="s">
        <v>104</v>
      </c>
      <c r="X1221" s="1" t="s">
        <v>2119</v>
      </c>
      <c r="Y1221" s="1"/>
      <c r="Z1221" s="8"/>
      <c r="AA1221" s="8"/>
      <c r="AB1221" s="8"/>
      <c r="AC1221" s="8"/>
      <c r="AD1221" s="8">
        <v>1</v>
      </c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>
        <v>1</v>
      </c>
      <c r="AP1221" s="8">
        <v>1</v>
      </c>
      <c r="AQ1221" s="8">
        <v>1</v>
      </c>
      <c r="AR1221" s="8">
        <v>1</v>
      </c>
      <c r="AS1221" s="8"/>
      <c r="AT1221" s="8"/>
      <c r="AU1221" s="8"/>
      <c r="AV1221" s="8"/>
      <c r="AW1221" s="8"/>
      <c r="AX1221" s="8"/>
      <c r="AY1221" s="8"/>
      <c r="AZ1221" s="8"/>
      <c r="BA1221" s="8"/>
      <c r="BB1221" s="1"/>
      <c r="BL1221" s="58"/>
      <c r="BP1221" t="str">
        <f t="shared" si="70"/>
        <v>IceDragon</v>
      </c>
      <c r="BR1221">
        <v>7</v>
      </c>
    </row>
    <row r="1222" spans="1:70" x14ac:dyDescent="0.25">
      <c r="A1222">
        <f t="shared" si="44"/>
        <v>1161</v>
      </c>
      <c r="B1222" t="s">
        <v>2549</v>
      </c>
      <c r="D1222" s="1" t="s">
        <v>5</v>
      </c>
      <c r="E1222" s="1" t="s">
        <v>12</v>
      </c>
      <c r="F1222" s="1" t="s">
        <v>50</v>
      </c>
      <c r="G1222" s="1" t="s">
        <v>50</v>
      </c>
      <c r="H1222" s="1"/>
      <c r="I1222" s="1" t="s">
        <v>50</v>
      </c>
      <c r="J1222" s="1" t="s">
        <v>50</v>
      </c>
      <c r="K1222" s="1" t="s">
        <v>50</v>
      </c>
      <c r="L1222" s="1"/>
      <c r="M1222" s="1" t="s">
        <v>104</v>
      </c>
      <c r="N1222" s="1" t="s">
        <v>50</v>
      </c>
      <c r="O1222" s="1" t="s">
        <v>50</v>
      </c>
      <c r="P1222" s="1" t="s">
        <v>2498</v>
      </c>
      <c r="Q1222" s="1" t="s">
        <v>104</v>
      </c>
      <c r="R1222" s="1" t="s">
        <v>104</v>
      </c>
      <c r="S1222" s="1" t="s">
        <v>104</v>
      </c>
      <c r="T1222" s="1" t="s">
        <v>104</v>
      </c>
      <c r="U1222" s="1" t="s">
        <v>104</v>
      </c>
      <c r="V1222" s="1" t="s">
        <v>104</v>
      </c>
      <c r="W1222" s="1" t="s">
        <v>104</v>
      </c>
      <c r="X1222" s="1" t="s">
        <v>2119</v>
      </c>
      <c r="Y1222" s="1"/>
      <c r="Z1222" s="8"/>
      <c r="AA1222" s="8"/>
      <c r="AB1222" s="8"/>
      <c r="AC1222" s="8"/>
      <c r="AD1222" s="8">
        <v>1</v>
      </c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>
        <v>1</v>
      </c>
      <c r="AP1222" s="8">
        <v>1</v>
      </c>
      <c r="AQ1222" s="8">
        <v>1</v>
      </c>
      <c r="AR1222" s="8">
        <v>1</v>
      </c>
      <c r="AS1222" s="8"/>
      <c r="AT1222" s="8"/>
      <c r="AU1222" s="8"/>
      <c r="AV1222" s="8"/>
      <c r="AW1222" s="8"/>
      <c r="AX1222" s="8"/>
      <c r="AY1222" s="8"/>
      <c r="AZ1222" s="8"/>
      <c r="BA1222" s="8"/>
      <c r="BB1222" s="1"/>
      <c r="BL1222" s="58">
        <v>2</v>
      </c>
      <c r="BP1222" t="str">
        <f t="shared" si="70"/>
        <v>IceDragon</v>
      </c>
      <c r="BR1222">
        <v>7</v>
      </c>
    </row>
    <row r="1223" spans="1:70" x14ac:dyDescent="0.25">
      <c r="A1223">
        <f t="shared" si="44"/>
        <v>1162</v>
      </c>
      <c r="B1223" t="s">
        <v>2550</v>
      </c>
      <c r="D1223" s="1" t="s">
        <v>10</v>
      </c>
      <c r="E1223" s="1" t="s">
        <v>42</v>
      </c>
      <c r="F1223" s="1" t="s">
        <v>50</v>
      </c>
      <c r="G1223" s="1" t="s">
        <v>50</v>
      </c>
      <c r="H1223" s="1"/>
      <c r="I1223" s="1" t="s">
        <v>50</v>
      </c>
      <c r="J1223" s="1" t="s">
        <v>50</v>
      </c>
      <c r="K1223" s="1" t="s">
        <v>50</v>
      </c>
      <c r="L1223" s="1"/>
      <c r="M1223" s="1" t="s">
        <v>50</v>
      </c>
      <c r="N1223" s="1" t="s">
        <v>50</v>
      </c>
      <c r="O1223" s="1" t="s">
        <v>50</v>
      </c>
      <c r="P1223" s="1" t="s">
        <v>2498</v>
      </c>
      <c r="Q1223" s="1" t="s">
        <v>104</v>
      </c>
      <c r="R1223" s="1" t="s">
        <v>104</v>
      </c>
      <c r="S1223" s="1" t="s">
        <v>104</v>
      </c>
      <c r="T1223" s="1" t="s">
        <v>104</v>
      </c>
      <c r="U1223" s="1" t="s">
        <v>104</v>
      </c>
      <c r="V1223" s="1" t="s">
        <v>104</v>
      </c>
      <c r="W1223" s="1" t="s">
        <v>104</v>
      </c>
      <c r="X1223" s="1" t="s">
        <v>727</v>
      </c>
      <c r="Y1223" s="1"/>
      <c r="Z1223" s="8"/>
      <c r="AA1223" s="8"/>
      <c r="AB1223" s="8">
        <v>1</v>
      </c>
      <c r="AC1223" s="8">
        <v>1</v>
      </c>
      <c r="AD1223" s="8"/>
      <c r="AE1223" s="8"/>
      <c r="AF1223" s="8"/>
      <c r="AG1223" s="8"/>
      <c r="AH1223" s="8"/>
      <c r="AI1223" s="8"/>
      <c r="AJ1223" s="8"/>
      <c r="AK1223" s="8"/>
      <c r="AL1223" s="8">
        <v>1</v>
      </c>
      <c r="AM1223" s="8">
        <v>1</v>
      </c>
      <c r="AN1223" s="8"/>
      <c r="AO1223" s="8"/>
      <c r="AP1223" s="8"/>
      <c r="AQ1223" s="8"/>
      <c r="AR1223" s="8"/>
      <c r="AS1223" s="8"/>
      <c r="AT1223" s="8"/>
      <c r="AU1223" s="8">
        <v>1</v>
      </c>
      <c r="AV1223" s="8"/>
      <c r="AW1223" s="8"/>
      <c r="AX1223" s="8"/>
      <c r="AY1223" s="8"/>
      <c r="AZ1223" s="8">
        <v>1</v>
      </c>
      <c r="BA1223" s="8"/>
      <c r="BB1223" s="1"/>
      <c r="BL1223" s="58"/>
      <c r="BP1223" t="str">
        <f t="shared" ref="BP1223:BP1224" si="71">D1223&amp;E1223</f>
        <v>PoisonCosmic</v>
      </c>
      <c r="BR1223">
        <v>1</v>
      </c>
    </row>
    <row r="1224" spans="1:70" x14ac:dyDescent="0.25">
      <c r="A1224">
        <f t="shared" si="44"/>
        <v>1163</v>
      </c>
      <c r="B1224" t="s">
        <v>2551</v>
      </c>
      <c r="D1224" s="1" t="s">
        <v>10</v>
      </c>
      <c r="E1224" s="1" t="s">
        <v>42</v>
      </c>
      <c r="F1224" s="1" t="s">
        <v>50</v>
      </c>
      <c r="G1224" s="1" t="s">
        <v>50</v>
      </c>
      <c r="H1224" s="1"/>
      <c r="I1224" s="1" t="s">
        <v>50</v>
      </c>
      <c r="J1224" s="1" t="s">
        <v>50</v>
      </c>
      <c r="K1224" s="1" t="s">
        <v>50</v>
      </c>
      <c r="L1224" s="1"/>
      <c r="M1224" s="1" t="s">
        <v>104</v>
      </c>
      <c r="N1224" s="1" t="s">
        <v>50</v>
      </c>
      <c r="O1224" s="1" t="s">
        <v>50</v>
      </c>
      <c r="P1224" s="1" t="s">
        <v>2498</v>
      </c>
      <c r="Q1224" s="1" t="s">
        <v>104</v>
      </c>
      <c r="R1224" s="1" t="s">
        <v>104</v>
      </c>
      <c r="S1224" s="1" t="s">
        <v>104</v>
      </c>
      <c r="T1224" s="1" t="s">
        <v>104</v>
      </c>
      <c r="U1224" s="1" t="s">
        <v>104</v>
      </c>
      <c r="V1224" s="1" t="s">
        <v>104</v>
      </c>
      <c r="W1224" s="1" t="s">
        <v>104</v>
      </c>
      <c r="X1224" s="1" t="s">
        <v>727</v>
      </c>
      <c r="Y1224" s="1"/>
      <c r="Z1224" s="8"/>
      <c r="AA1224" s="8"/>
      <c r="AB1224" s="8">
        <v>1</v>
      </c>
      <c r="AC1224" s="8">
        <v>1</v>
      </c>
      <c r="AD1224" s="8"/>
      <c r="AE1224" s="8"/>
      <c r="AF1224" s="8"/>
      <c r="AG1224" s="8"/>
      <c r="AH1224" s="8"/>
      <c r="AI1224" s="8"/>
      <c r="AJ1224" s="8"/>
      <c r="AK1224" s="8"/>
      <c r="AL1224" s="8">
        <v>1</v>
      </c>
      <c r="AM1224" s="8">
        <v>1</v>
      </c>
      <c r="AN1224" s="8"/>
      <c r="AO1224" s="8"/>
      <c r="AP1224" s="8"/>
      <c r="AQ1224" s="8"/>
      <c r="AR1224" s="8"/>
      <c r="AS1224" s="8"/>
      <c r="AT1224" s="8"/>
      <c r="AU1224" s="8">
        <v>1</v>
      </c>
      <c r="AV1224" s="8"/>
      <c r="AW1224" s="8"/>
      <c r="AX1224" s="8"/>
      <c r="AY1224" s="8"/>
      <c r="AZ1224" s="8">
        <v>1</v>
      </c>
      <c r="BA1224" s="8"/>
      <c r="BB1224" s="1"/>
      <c r="BL1224" s="58"/>
      <c r="BP1224" t="str">
        <f t="shared" si="71"/>
        <v>PoisonCosmic</v>
      </c>
      <c r="BR1224">
        <v>1</v>
      </c>
    </row>
    <row r="1225" spans="1:70" x14ac:dyDescent="0.25">
      <c r="A1225">
        <f t="shared" si="44"/>
        <v>1164</v>
      </c>
      <c r="B1225" t="s">
        <v>2558</v>
      </c>
      <c r="D1225" s="1" t="s">
        <v>13</v>
      </c>
      <c r="E1225" s="1" t="s">
        <v>4</v>
      </c>
      <c r="F1225" s="1" t="s">
        <v>50</v>
      </c>
      <c r="G1225" s="1" t="s">
        <v>50</v>
      </c>
      <c r="H1225" s="1"/>
      <c r="I1225" s="1" t="s">
        <v>50</v>
      </c>
      <c r="J1225" s="1" t="s">
        <v>50</v>
      </c>
      <c r="K1225" s="1" t="s">
        <v>50</v>
      </c>
      <c r="L1225" s="1"/>
      <c r="M1225" s="1" t="s">
        <v>50</v>
      </c>
      <c r="N1225" s="1" t="s">
        <v>50</v>
      </c>
      <c r="O1225" s="1" t="s">
        <v>50</v>
      </c>
      <c r="P1225" s="1" t="s">
        <v>2070</v>
      </c>
      <c r="Q1225" s="1" t="s">
        <v>104</v>
      </c>
      <c r="R1225" s="1" t="s">
        <v>104</v>
      </c>
      <c r="S1225" s="1" t="s">
        <v>104</v>
      </c>
      <c r="T1225" s="1" t="s">
        <v>104</v>
      </c>
      <c r="U1225" s="1" t="s">
        <v>104</v>
      </c>
      <c r="V1225" s="1" t="s">
        <v>104</v>
      </c>
      <c r="W1225" s="1" t="s">
        <v>104</v>
      </c>
      <c r="X1225" s="1" t="s">
        <v>726</v>
      </c>
      <c r="Y1225" s="1"/>
      <c r="Z1225" s="8"/>
      <c r="AA1225" s="8"/>
      <c r="AB1225" s="8"/>
      <c r="AC1225" s="8"/>
      <c r="AD1225" s="8"/>
      <c r="AE1225" s="8"/>
      <c r="AF1225" s="8"/>
      <c r="AG1225" s="8">
        <v>1</v>
      </c>
      <c r="AH1225" s="8">
        <v>1</v>
      </c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1"/>
      <c r="BL1225" s="58"/>
      <c r="BP1225" t="str">
        <f t="shared" ref="BP1225:BP1227" si="72">D1225&amp;E1225</f>
        <v>FirePsychic</v>
      </c>
      <c r="BR1225">
        <v>5</v>
      </c>
    </row>
    <row r="1226" spans="1:70" x14ac:dyDescent="0.25">
      <c r="A1226">
        <f t="shared" si="44"/>
        <v>1165</v>
      </c>
      <c r="B1226" t="s">
        <v>2559</v>
      </c>
      <c r="D1226" s="1" t="s">
        <v>13</v>
      </c>
      <c r="E1226" s="1" t="s">
        <v>4</v>
      </c>
      <c r="F1226" s="1" t="s">
        <v>50</v>
      </c>
      <c r="G1226" s="1" t="s">
        <v>50</v>
      </c>
      <c r="H1226" s="1"/>
      <c r="I1226" s="1" t="s">
        <v>50</v>
      </c>
      <c r="J1226" s="1" t="s">
        <v>50</v>
      </c>
      <c r="K1226" s="1" t="s">
        <v>50</v>
      </c>
      <c r="L1226" s="1"/>
      <c r="M1226" s="1" t="s">
        <v>104</v>
      </c>
      <c r="N1226" s="1" t="s">
        <v>50</v>
      </c>
      <c r="O1226" s="1" t="s">
        <v>50</v>
      </c>
      <c r="P1226" s="1" t="s">
        <v>2070</v>
      </c>
      <c r="Q1226" s="1" t="s">
        <v>104</v>
      </c>
      <c r="R1226" s="1" t="s">
        <v>104</v>
      </c>
      <c r="S1226" s="1" t="s">
        <v>104</v>
      </c>
      <c r="T1226" s="1" t="s">
        <v>104</v>
      </c>
      <c r="U1226" s="1" t="s">
        <v>104</v>
      </c>
      <c r="V1226" s="1" t="s">
        <v>104</v>
      </c>
      <c r="W1226" s="1" t="s">
        <v>104</v>
      </c>
      <c r="X1226" s="1" t="s">
        <v>726</v>
      </c>
      <c r="Y1226" s="1"/>
      <c r="Z1226" s="8"/>
      <c r="AA1226" s="8"/>
      <c r="AB1226" s="8"/>
      <c r="AC1226" s="8"/>
      <c r="AD1226" s="8"/>
      <c r="AE1226" s="8"/>
      <c r="AF1226" s="8"/>
      <c r="AG1226" s="8">
        <v>1</v>
      </c>
      <c r="AH1226" s="8">
        <v>1</v>
      </c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1"/>
      <c r="BL1226" s="58"/>
      <c r="BP1226" t="str">
        <f t="shared" si="72"/>
        <v>FirePsychic</v>
      </c>
      <c r="BR1226">
        <v>5</v>
      </c>
    </row>
    <row r="1227" spans="1:70" x14ac:dyDescent="0.25">
      <c r="A1227">
        <f t="shared" si="44"/>
        <v>1166</v>
      </c>
      <c r="B1227" t="s">
        <v>2560</v>
      </c>
      <c r="D1227" s="1" t="s">
        <v>13</v>
      </c>
      <c r="E1227" s="1" t="s">
        <v>4</v>
      </c>
      <c r="F1227" s="1" t="s">
        <v>50</v>
      </c>
      <c r="G1227" s="1" t="s">
        <v>50</v>
      </c>
      <c r="H1227" s="1"/>
      <c r="I1227" s="1" t="s">
        <v>50</v>
      </c>
      <c r="J1227" s="1" t="s">
        <v>50</v>
      </c>
      <c r="K1227" s="1" t="s">
        <v>50</v>
      </c>
      <c r="L1227" s="1"/>
      <c r="M1227" s="1" t="s">
        <v>104</v>
      </c>
      <c r="N1227" s="1" t="s">
        <v>50</v>
      </c>
      <c r="O1227" s="1" t="s">
        <v>50</v>
      </c>
      <c r="P1227" s="1" t="s">
        <v>2070</v>
      </c>
      <c r="Q1227" s="1" t="s">
        <v>104</v>
      </c>
      <c r="R1227" s="1" t="s">
        <v>104</v>
      </c>
      <c r="S1227" s="1" t="s">
        <v>104</v>
      </c>
      <c r="T1227" s="1" t="s">
        <v>104</v>
      </c>
      <c r="U1227" s="1" t="s">
        <v>104</v>
      </c>
      <c r="V1227" s="1" t="s">
        <v>104</v>
      </c>
      <c r="W1227" s="1" t="s">
        <v>104</v>
      </c>
      <c r="X1227" s="1" t="s">
        <v>726</v>
      </c>
      <c r="Y1227" s="1"/>
      <c r="Z1227" s="8"/>
      <c r="AA1227" s="8"/>
      <c r="AB1227" s="8"/>
      <c r="AC1227" s="8"/>
      <c r="AD1227" s="8"/>
      <c r="AE1227" s="8"/>
      <c r="AF1227" s="8"/>
      <c r="AG1227" s="8">
        <v>1</v>
      </c>
      <c r="AH1227" s="8">
        <v>1</v>
      </c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1"/>
      <c r="BL1227" s="58">
        <v>1</v>
      </c>
      <c r="BP1227" t="str">
        <f t="shared" si="72"/>
        <v>FirePsychic</v>
      </c>
      <c r="BR1227">
        <v>5</v>
      </c>
    </row>
    <row r="1228" spans="1:70" x14ac:dyDescent="0.25">
      <c r="A1228">
        <f t="shared" si="44"/>
        <v>1167</v>
      </c>
      <c r="B1228" t="s">
        <v>2561</v>
      </c>
      <c r="D1228" s="1" t="s">
        <v>42</v>
      </c>
      <c r="E1228" s="1" t="s">
        <v>10</v>
      </c>
      <c r="F1228" s="1" t="s">
        <v>50</v>
      </c>
      <c r="G1228" s="1" t="s">
        <v>50</v>
      </c>
      <c r="H1228" s="1"/>
      <c r="I1228" s="1" t="s">
        <v>50</v>
      </c>
      <c r="J1228" s="1" t="s">
        <v>50</v>
      </c>
      <c r="K1228" s="1" t="s">
        <v>50</v>
      </c>
      <c r="L1228" s="1"/>
      <c r="M1228" s="1" t="s">
        <v>50</v>
      </c>
      <c r="N1228" s="1" t="s">
        <v>50</v>
      </c>
      <c r="O1228" s="1" t="s">
        <v>50</v>
      </c>
      <c r="P1228" s="1" t="s">
        <v>2498</v>
      </c>
      <c r="Q1228" s="1" t="s">
        <v>104</v>
      </c>
      <c r="R1228" s="1" t="s">
        <v>104</v>
      </c>
      <c r="S1228" s="1" t="s">
        <v>104</v>
      </c>
      <c r="T1228" s="1" t="s">
        <v>104</v>
      </c>
      <c r="U1228" s="1" t="s">
        <v>104</v>
      </c>
      <c r="V1228" s="1" t="s">
        <v>104</v>
      </c>
      <c r="W1228" s="1" t="s">
        <v>104</v>
      </c>
      <c r="X1228" s="1" t="s">
        <v>726</v>
      </c>
      <c r="Y1228" s="1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>
        <v>1</v>
      </c>
      <c r="AV1228" s="8"/>
      <c r="AW1228" s="8"/>
      <c r="AX1228" s="8"/>
      <c r="AY1228" s="8"/>
      <c r="AZ1228" s="8"/>
      <c r="BA1228" s="8"/>
      <c r="BB1228" s="1"/>
      <c r="BL1228" s="58">
        <v>1</v>
      </c>
      <c r="BP1228" t="str">
        <f t="shared" ref="BP1228" si="73">D1228&amp;E1228</f>
        <v>CosmicPoison</v>
      </c>
      <c r="BR1228">
        <v>9</v>
      </c>
    </row>
    <row r="1229" spans="1:70" x14ac:dyDescent="0.25">
      <c r="A1229">
        <f t="shared" si="44"/>
        <v>1168</v>
      </c>
      <c r="B1229" t="s">
        <v>2566</v>
      </c>
      <c r="D1229" s="1" t="s">
        <v>13</v>
      </c>
      <c r="E1229" s="1">
        <v>0</v>
      </c>
      <c r="F1229" s="1" t="s">
        <v>50</v>
      </c>
      <c r="G1229" s="1" t="s">
        <v>50</v>
      </c>
      <c r="H1229" s="1"/>
      <c r="I1229" s="1" t="s">
        <v>50</v>
      </c>
      <c r="J1229" s="1" t="s">
        <v>50</v>
      </c>
      <c r="K1229" s="1" t="s">
        <v>50</v>
      </c>
      <c r="L1229" s="1"/>
      <c r="M1229" s="1" t="s">
        <v>50</v>
      </c>
      <c r="N1229" s="1" t="s">
        <v>50</v>
      </c>
      <c r="O1229" s="1" t="s">
        <v>50</v>
      </c>
      <c r="P1229" s="1" t="s">
        <v>1814</v>
      </c>
      <c r="Q1229" s="1" t="s">
        <v>104</v>
      </c>
      <c r="R1229" s="1" t="s">
        <v>104</v>
      </c>
      <c r="S1229" s="1" t="s">
        <v>104</v>
      </c>
      <c r="T1229" s="1" t="s">
        <v>104</v>
      </c>
      <c r="U1229" s="1" t="s">
        <v>104</v>
      </c>
      <c r="V1229" s="1" t="s">
        <v>104</v>
      </c>
      <c r="W1229" s="1" t="s">
        <v>104</v>
      </c>
      <c r="X1229" s="1" t="s">
        <v>726</v>
      </c>
      <c r="Y1229" s="1"/>
      <c r="Z1229" s="8"/>
      <c r="AA1229" s="8"/>
      <c r="AB1229" s="8"/>
      <c r="AC1229" s="8"/>
      <c r="AD1229" s="8"/>
      <c r="AE1229" s="8">
        <v>1</v>
      </c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>
        <v>1</v>
      </c>
      <c r="AX1229" s="8"/>
      <c r="AY1229" s="8">
        <v>1</v>
      </c>
      <c r="AZ1229" s="8"/>
      <c r="BA1229" s="8"/>
      <c r="BB1229" s="1"/>
      <c r="BL1229" s="58"/>
      <c r="BP1229" t="str">
        <f t="shared" ref="BP1229:BP1231" si="74">D1229&amp;E1229</f>
        <v>Fire0</v>
      </c>
      <c r="BR1229">
        <v>6</v>
      </c>
    </row>
    <row r="1230" spans="1:70" x14ac:dyDescent="0.25">
      <c r="A1230">
        <f t="shared" si="44"/>
        <v>1169</v>
      </c>
      <c r="B1230" t="s">
        <v>2567</v>
      </c>
      <c r="D1230" s="1" t="s">
        <v>13</v>
      </c>
      <c r="E1230" s="1">
        <v>0</v>
      </c>
      <c r="F1230" s="1" t="s">
        <v>50</v>
      </c>
      <c r="G1230" s="1" t="s">
        <v>50</v>
      </c>
      <c r="H1230" s="1"/>
      <c r="I1230" s="1" t="s">
        <v>50</v>
      </c>
      <c r="J1230" s="1" t="s">
        <v>50</v>
      </c>
      <c r="K1230" s="1" t="s">
        <v>50</v>
      </c>
      <c r="L1230" s="1"/>
      <c r="M1230" s="1" t="s">
        <v>104</v>
      </c>
      <c r="N1230" s="1" t="s">
        <v>50</v>
      </c>
      <c r="O1230" s="1" t="s">
        <v>50</v>
      </c>
      <c r="P1230" s="1" t="s">
        <v>1814</v>
      </c>
      <c r="Q1230" s="1" t="s">
        <v>104</v>
      </c>
      <c r="R1230" s="1" t="s">
        <v>104</v>
      </c>
      <c r="S1230" s="1" t="s">
        <v>104</v>
      </c>
      <c r="T1230" s="1" t="s">
        <v>104</v>
      </c>
      <c r="U1230" s="1" t="s">
        <v>104</v>
      </c>
      <c r="V1230" s="1" t="s">
        <v>104</v>
      </c>
      <c r="W1230" s="1" t="s">
        <v>104</v>
      </c>
      <c r="X1230" s="1" t="s">
        <v>726</v>
      </c>
      <c r="Y1230" s="1"/>
      <c r="Z1230" s="8"/>
      <c r="AA1230" s="8"/>
      <c r="AB1230" s="8"/>
      <c r="AC1230" s="8"/>
      <c r="AD1230" s="8"/>
      <c r="AE1230" s="8">
        <v>1</v>
      </c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>
        <v>1</v>
      </c>
      <c r="AX1230" s="8"/>
      <c r="AY1230" s="8">
        <v>1</v>
      </c>
      <c r="AZ1230" s="8"/>
      <c r="BA1230" s="8"/>
      <c r="BB1230" s="1"/>
      <c r="BL1230" s="58"/>
      <c r="BP1230" t="str">
        <f t="shared" si="74"/>
        <v>Fire0</v>
      </c>
      <c r="BR1230">
        <v>6</v>
      </c>
    </row>
    <row r="1231" spans="1:70" x14ac:dyDescent="0.25">
      <c r="A1231">
        <f t="shared" si="44"/>
        <v>1170</v>
      </c>
      <c r="B1231" t="s">
        <v>2568</v>
      </c>
      <c r="D1231" s="1" t="s">
        <v>13</v>
      </c>
      <c r="E1231" s="1">
        <v>0</v>
      </c>
      <c r="F1231" s="1" t="s">
        <v>50</v>
      </c>
      <c r="G1231" s="1" t="s">
        <v>50</v>
      </c>
      <c r="H1231" s="1"/>
      <c r="I1231" s="1" t="s">
        <v>50</v>
      </c>
      <c r="J1231" s="1" t="s">
        <v>50</v>
      </c>
      <c r="K1231" s="1" t="s">
        <v>50</v>
      </c>
      <c r="L1231" s="1"/>
      <c r="M1231" s="1" t="s">
        <v>104</v>
      </c>
      <c r="N1231" s="1" t="s">
        <v>50</v>
      </c>
      <c r="O1231" s="1" t="s">
        <v>50</v>
      </c>
      <c r="P1231" s="1" t="s">
        <v>1814</v>
      </c>
      <c r="Q1231" s="1" t="s">
        <v>104</v>
      </c>
      <c r="R1231" s="1" t="s">
        <v>104</v>
      </c>
      <c r="S1231" s="1" t="s">
        <v>104</v>
      </c>
      <c r="T1231" s="1" t="s">
        <v>104</v>
      </c>
      <c r="U1231" s="1" t="s">
        <v>104</v>
      </c>
      <c r="V1231" s="1" t="s">
        <v>104</v>
      </c>
      <c r="W1231" s="1" t="s">
        <v>104</v>
      </c>
      <c r="X1231" s="1" t="s">
        <v>726</v>
      </c>
      <c r="Y1231" s="1"/>
      <c r="Z1231" s="8"/>
      <c r="AA1231" s="8"/>
      <c r="AB1231" s="8"/>
      <c r="AC1231" s="8"/>
      <c r="AD1231" s="8"/>
      <c r="AE1231" s="8">
        <v>1</v>
      </c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>
        <v>1</v>
      </c>
      <c r="AX1231" s="8"/>
      <c r="AY1231" s="8">
        <v>1</v>
      </c>
      <c r="AZ1231" s="8"/>
      <c r="BA1231" s="8"/>
      <c r="BB1231" s="1"/>
      <c r="BL1231" s="58"/>
      <c r="BP1231" t="str">
        <f t="shared" si="74"/>
        <v>Fire0</v>
      </c>
      <c r="BR1231">
        <v>6</v>
      </c>
    </row>
    <row r="1232" spans="1:70" ht="15.75" thickBot="1" x14ac:dyDescent="0.3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  <c r="BQ1232" s="11"/>
    </row>
    <row r="1233" ht="15.75" thickTop="1" x14ac:dyDescent="0.25"/>
  </sheetData>
  <autoFilter ref="A1:BR1232" xr:uid="{00000000-0009-0000-0000-000000000000}"/>
  <conditionalFormatting sqref="D2:X1231">
    <cfRule type="containsBlanks" dxfId="0" priority="1">
      <formula>LEN(TRIM(D2))=0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AC55"/>
  <sheetViews>
    <sheetView zoomScale="85" zoomScaleNormal="85" workbookViewId="0">
      <selection activeCell="I17" sqref="I17"/>
    </sheetView>
  </sheetViews>
  <sheetFormatPr defaultRowHeight="15" outlineLevelCol="1" x14ac:dyDescent="0.25"/>
  <cols>
    <col min="1" max="1" width="17.7109375" bestFit="1" customWidth="1"/>
    <col min="2" max="2" width="16.28515625" bestFit="1" customWidth="1"/>
    <col min="3" max="3" width="4.28515625" bestFit="1" customWidth="1"/>
    <col min="4" max="4" width="7.28515625" bestFit="1" customWidth="1"/>
    <col min="5" max="5" width="5.140625" bestFit="1" customWidth="1"/>
    <col min="6" max="6" width="7.28515625" bestFit="1" customWidth="1"/>
    <col min="7" max="7" width="7.42578125" bestFit="1" customWidth="1"/>
    <col min="8" max="8" width="5.28515625" bestFit="1" customWidth="1"/>
    <col min="9" max="9" width="8.140625" bestFit="1" customWidth="1"/>
    <col min="10" max="10" width="4.42578125" bestFit="1" customWidth="1"/>
    <col min="11" max="12" width="6.28515625" bestFit="1" customWidth="1"/>
    <col min="13" max="13" width="5.85546875" bestFit="1" customWidth="1"/>
    <col min="14" max="14" width="7.7109375" bestFit="1" customWidth="1"/>
    <col min="15" max="15" width="3.5703125" bestFit="1" customWidth="1"/>
    <col min="16" max="16" width="5.28515625" bestFit="1" customWidth="1"/>
    <col min="17" max="17" width="7.5703125" bestFit="1" customWidth="1"/>
    <col min="18" max="18" width="7" bestFit="1" customWidth="1"/>
    <col min="19" max="19" width="7.42578125" bestFit="1" customWidth="1"/>
    <col min="20" max="20" width="5.140625" bestFit="1" customWidth="1"/>
    <col min="21" max="21" width="6.5703125" bestFit="1" customWidth="1"/>
    <col min="22" max="22" width="5.5703125" bestFit="1" customWidth="1"/>
    <col min="23" max="23" width="6.5703125" customWidth="1"/>
    <col min="24" max="24" width="7.28515625" customWidth="1" outlineLevel="1"/>
    <col min="25" max="25" width="11.28515625" customWidth="1" outlineLevel="1"/>
    <col min="26" max="26" width="10.28515625" customWidth="1" outlineLevel="1"/>
    <col min="27" max="27" width="12.28515625" customWidth="1" outlineLevel="1"/>
    <col min="28" max="28" width="11.140625" customWidth="1" outlineLevel="1"/>
    <col min="29" max="29" width="9.140625" customWidth="1"/>
    <col min="36" max="36" width="13.140625" customWidth="1"/>
    <col min="37" max="38" width="6.28515625" customWidth="1"/>
    <col min="39" max="39" width="9.28515625" customWidth="1"/>
    <col min="40" max="40" width="8.140625" customWidth="1"/>
    <col min="41" max="41" width="5" customWidth="1"/>
    <col min="42" max="42" width="7.28515625" customWidth="1"/>
    <col min="43" max="43" width="7.42578125" customWidth="1"/>
    <col min="44" max="44" width="5.28515625" customWidth="1"/>
    <col min="45" max="45" width="4.42578125" customWidth="1"/>
    <col min="46" max="46" width="5.85546875" customWidth="1"/>
    <col min="47" max="47" width="3.5703125" customWidth="1"/>
    <col min="48" max="48" width="7" customWidth="1"/>
    <col min="49" max="49" width="7.42578125" customWidth="1"/>
    <col min="50" max="50" width="11.140625" customWidth="1"/>
    <col min="51" max="51" width="8.140625" customWidth="1"/>
    <col min="52" max="52" width="7.42578125" customWidth="1"/>
    <col min="53" max="53" width="8.140625" customWidth="1"/>
    <col min="54" max="54" width="3.5703125" customWidth="1"/>
    <col min="55" max="55" width="11.140625" bestFit="1" customWidth="1"/>
    <col min="56" max="56" width="7.7109375" customWidth="1"/>
    <col min="57" max="57" width="6.28515625" customWidth="1"/>
    <col min="58" max="58" width="7.7109375" customWidth="1"/>
    <col min="59" max="59" width="3.5703125" customWidth="1"/>
    <col min="60" max="60" width="6.5703125" customWidth="1"/>
    <col min="61" max="61" width="10.7109375" customWidth="1"/>
    <col min="62" max="62" width="9.5703125" customWidth="1"/>
    <col min="63" max="63" width="5.85546875" customWidth="1"/>
    <col min="64" max="64" width="5.140625" customWidth="1"/>
    <col min="65" max="65" width="6.5703125" customWidth="1"/>
    <col min="66" max="66" width="12.5703125" customWidth="1"/>
    <col min="67" max="67" width="7.42578125" customWidth="1"/>
    <col min="68" max="68" width="5.140625" customWidth="1"/>
    <col min="69" max="69" width="6.5703125" customWidth="1"/>
    <col min="70" max="70" width="8.42578125" customWidth="1"/>
    <col min="71" max="71" width="9.42578125" customWidth="1"/>
    <col min="72" max="72" width="12.42578125" customWidth="1"/>
    <col min="73" max="73" width="8.85546875" customWidth="1"/>
    <col min="74" max="74" width="5" customWidth="1"/>
    <col min="75" max="75" width="5.85546875" customWidth="1"/>
    <col min="76" max="76" width="7.7109375" customWidth="1"/>
    <col min="77" max="77" width="11.85546875" customWidth="1"/>
    <col min="78" max="78" width="9.28515625" customWidth="1"/>
    <col min="79" max="79" width="5.85546875" customWidth="1"/>
    <col min="80" max="80" width="7" customWidth="1"/>
    <col min="81" max="81" width="5.140625" customWidth="1"/>
    <col min="82" max="82" width="5.5703125" customWidth="1"/>
    <col min="83" max="83" width="6.5703125" customWidth="1"/>
    <col min="84" max="84" width="12.28515625" customWidth="1"/>
    <col min="85" max="85" width="7" customWidth="1"/>
    <col min="86" max="86" width="4.42578125" customWidth="1"/>
    <col min="87" max="87" width="5.85546875" customWidth="1"/>
    <col min="88" max="88" width="10" customWidth="1"/>
    <col min="89" max="89" width="7.42578125" customWidth="1"/>
    <col min="90" max="90" width="10.42578125" customWidth="1"/>
    <col min="91" max="91" width="8.42578125" customWidth="1"/>
    <col min="92" max="92" width="5.85546875" customWidth="1"/>
    <col min="93" max="93" width="3.5703125" customWidth="1"/>
    <col min="94" max="94" width="11.42578125" bestFit="1" customWidth="1"/>
    <col min="96" max="96" width="12.140625" bestFit="1" customWidth="1"/>
    <col min="97" max="97" width="11.28515625" bestFit="1" customWidth="1"/>
  </cols>
  <sheetData>
    <row r="2" spans="1:29" x14ac:dyDescent="0.25">
      <c r="A2" s="4" t="s">
        <v>34</v>
      </c>
      <c r="B2" t="s">
        <v>36</v>
      </c>
    </row>
    <row r="4" spans="1:29" ht="15.75" thickBot="1" x14ac:dyDescent="0.3">
      <c r="A4" s="4" t="s">
        <v>37</v>
      </c>
      <c r="B4" s="4" t="s">
        <v>38</v>
      </c>
    </row>
    <row r="5" spans="1:29" x14ac:dyDescent="0.25">
      <c r="A5" s="4" t="s">
        <v>39</v>
      </c>
      <c r="B5">
        <v>0</v>
      </c>
      <c r="C5" t="s">
        <v>17</v>
      </c>
      <c r="D5" t="s">
        <v>42</v>
      </c>
      <c r="E5" t="s">
        <v>0</v>
      </c>
      <c r="F5" t="s">
        <v>12</v>
      </c>
      <c r="G5" t="s">
        <v>3</v>
      </c>
      <c r="H5" t="s">
        <v>7</v>
      </c>
      <c r="I5" t="s">
        <v>18</v>
      </c>
      <c r="J5" t="s">
        <v>13</v>
      </c>
      <c r="K5" t="s">
        <v>16</v>
      </c>
      <c r="L5" t="s">
        <v>14</v>
      </c>
      <c r="M5" t="s">
        <v>11</v>
      </c>
      <c r="N5" t="s">
        <v>8</v>
      </c>
      <c r="O5" t="s">
        <v>5</v>
      </c>
      <c r="P5" t="s">
        <v>44</v>
      </c>
      <c r="Q5" t="s">
        <v>1</v>
      </c>
      <c r="R5" t="s">
        <v>10</v>
      </c>
      <c r="S5" t="s">
        <v>4</v>
      </c>
      <c r="T5" t="s">
        <v>9</v>
      </c>
      <c r="U5" t="s">
        <v>41</v>
      </c>
      <c r="V5" t="s">
        <v>6</v>
      </c>
      <c r="W5" t="s">
        <v>15</v>
      </c>
      <c r="X5" t="s">
        <v>610</v>
      </c>
      <c r="Y5" t="s">
        <v>40</v>
      </c>
      <c r="AA5" t="s">
        <v>1755</v>
      </c>
      <c r="AB5" t="s">
        <v>1756</v>
      </c>
      <c r="AC5" s="5" t="s">
        <v>43</v>
      </c>
    </row>
    <row r="6" spans="1:29" x14ac:dyDescent="0.25">
      <c r="A6" s="2" t="s">
        <v>17</v>
      </c>
      <c r="B6">
        <v>6</v>
      </c>
      <c r="C6" s="59"/>
      <c r="D6">
        <v>2</v>
      </c>
      <c r="E6">
        <v>5</v>
      </c>
      <c r="F6">
        <v>3</v>
      </c>
      <c r="G6">
        <v>3</v>
      </c>
      <c r="H6">
        <v>3</v>
      </c>
      <c r="I6">
        <v>4</v>
      </c>
      <c r="J6">
        <v>2</v>
      </c>
      <c r="K6">
        <v>6</v>
      </c>
      <c r="L6">
        <v>3</v>
      </c>
      <c r="M6">
        <v>4</v>
      </c>
      <c r="N6">
        <v>2</v>
      </c>
      <c r="O6">
        <v>5</v>
      </c>
      <c r="P6">
        <v>3</v>
      </c>
      <c r="Q6" s="60"/>
      <c r="R6">
        <v>7</v>
      </c>
      <c r="S6">
        <v>5</v>
      </c>
      <c r="T6">
        <v>4</v>
      </c>
      <c r="U6">
        <v>2</v>
      </c>
      <c r="V6">
        <v>10</v>
      </c>
      <c r="W6">
        <v>6</v>
      </c>
      <c r="Y6">
        <v>85</v>
      </c>
      <c r="AA6" s="3">
        <v>30</v>
      </c>
      <c r="AB6">
        <v>85</v>
      </c>
      <c r="AC6" s="6">
        <f t="shared" ref="AC6:AC21" si="0">SUM(AA6:AB6)</f>
        <v>115</v>
      </c>
    </row>
    <row r="7" spans="1:29" x14ac:dyDescent="0.25">
      <c r="A7" s="2" t="s">
        <v>42</v>
      </c>
      <c r="B7">
        <v>6</v>
      </c>
      <c r="C7">
        <v>3</v>
      </c>
      <c r="D7" s="59"/>
      <c r="E7">
        <v>2</v>
      </c>
      <c r="F7">
        <v>2</v>
      </c>
      <c r="G7" s="60"/>
      <c r="H7">
        <v>3</v>
      </c>
      <c r="I7">
        <v>1</v>
      </c>
      <c r="J7">
        <v>5</v>
      </c>
      <c r="K7">
        <v>4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4</v>
      </c>
      <c r="S7">
        <v>8</v>
      </c>
      <c r="T7">
        <v>4</v>
      </c>
      <c r="U7">
        <v>1</v>
      </c>
      <c r="V7">
        <v>3</v>
      </c>
      <c r="W7">
        <v>2</v>
      </c>
      <c r="Y7">
        <v>60</v>
      </c>
      <c r="AA7" s="3">
        <v>34</v>
      </c>
      <c r="AB7">
        <v>59</v>
      </c>
      <c r="AC7" s="6">
        <f t="shared" si="0"/>
        <v>93</v>
      </c>
    </row>
    <row r="8" spans="1:29" x14ac:dyDescent="0.25">
      <c r="A8" s="2" t="s">
        <v>0</v>
      </c>
      <c r="B8">
        <v>4</v>
      </c>
      <c r="C8">
        <v>1</v>
      </c>
      <c r="D8" s="60"/>
      <c r="E8" s="59"/>
      <c r="F8">
        <v>3</v>
      </c>
      <c r="G8">
        <v>1</v>
      </c>
      <c r="H8">
        <v>5</v>
      </c>
      <c r="I8">
        <v>2</v>
      </c>
      <c r="J8">
        <v>6</v>
      </c>
      <c r="K8">
        <v>7</v>
      </c>
      <c r="L8">
        <v>4</v>
      </c>
      <c r="M8">
        <v>4</v>
      </c>
      <c r="N8" s="60"/>
      <c r="O8" s="60"/>
      <c r="P8" s="60"/>
      <c r="Q8">
        <v>1</v>
      </c>
      <c r="R8">
        <v>8</v>
      </c>
      <c r="S8">
        <v>2</v>
      </c>
      <c r="T8" s="60"/>
      <c r="U8">
        <v>5</v>
      </c>
      <c r="V8">
        <v>1</v>
      </c>
      <c r="W8" s="60"/>
      <c r="Y8">
        <v>54</v>
      </c>
      <c r="AA8" s="3">
        <v>72</v>
      </c>
      <c r="AB8">
        <v>55</v>
      </c>
      <c r="AC8" s="6">
        <f t="shared" si="0"/>
        <v>127</v>
      </c>
    </row>
    <row r="9" spans="1:29" x14ac:dyDescent="0.25">
      <c r="A9" s="2" t="s">
        <v>12</v>
      </c>
      <c r="B9">
        <v>2</v>
      </c>
      <c r="C9">
        <v>2</v>
      </c>
      <c r="D9" s="60"/>
      <c r="E9">
        <v>3</v>
      </c>
      <c r="F9" s="59"/>
      <c r="G9" s="60"/>
      <c r="H9">
        <v>4</v>
      </c>
      <c r="I9">
        <v>3</v>
      </c>
      <c r="J9">
        <v>3</v>
      </c>
      <c r="K9">
        <v>5</v>
      </c>
      <c r="L9">
        <v>6</v>
      </c>
      <c r="M9">
        <v>2</v>
      </c>
      <c r="N9">
        <v>2</v>
      </c>
      <c r="O9">
        <v>2</v>
      </c>
      <c r="P9">
        <v>1</v>
      </c>
      <c r="Q9">
        <v>3</v>
      </c>
      <c r="R9">
        <v>2</v>
      </c>
      <c r="S9" s="60"/>
      <c r="T9">
        <v>4</v>
      </c>
      <c r="U9" s="60"/>
      <c r="V9">
        <v>2</v>
      </c>
      <c r="W9">
        <v>2</v>
      </c>
      <c r="Y9">
        <v>48</v>
      </c>
      <c r="AA9" s="3">
        <v>63</v>
      </c>
      <c r="AB9">
        <v>48</v>
      </c>
      <c r="AC9" s="6">
        <f t="shared" si="0"/>
        <v>111</v>
      </c>
    </row>
    <row r="10" spans="1:29" x14ac:dyDescent="0.25">
      <c r="A10" s="2" t="s">
        <v>3</v>
      </c>
      <c r="B10">
        <v>9</v>
      </c>
      <c r="C10">
        <v>3</v>
      </c>
      <c r="D10">
        <v>2</v>
      </c>
      <c r="E10">
        <v>6</v>
      </c>
      <c r="F10">
        <v>2</v>
      </c>
      <c r="G10" s="59"/>
      <c r="H10">
        <v>1</v>
      </c>
      <c r="I10">
        <v>6</v>
      </c>
      <c r="J10" s="60"/>
      <c r="K10">
        <v>5</v>
      </c>
      <c r="L10">
        <v>3</v>
      </c>
      <c r="M10">
        <v>2</v>
      </c>
      <c r="N10">
        <v>3</v>
      </c>
      <c r="O10">
        <v>2</v>
      </c>
      <c r="P10" s="60"/>
      <c r="Q10">
        <v>2</v>
      </c>
      <c r="R10">
        <v>4</v>
      </c>
      <c r="S10">
        <v>2</v>
      </c>
      <c r="T10">
        <v>1</v>
      </c>
      <c r="U10">
        <v>2</v>
      </c>
      <c r="V10">
        <v>5</v>
      </c>
      <c r="W10">
        <v>2</v>
      </c>
      <c r="Y10">
        <v>62</v>
      </c>
      <c r="AA10" s="3">
        <v>23</v>
      </c>
      <c r="AB10">
        <v>62</v>
      </c>
      <c r="AC10" s="6">
        <f t="shared" si="0"/>
        <v>85</v>
      </c>
    </row>
    <row r="11" spans="1:29" x14ac:dyDescent="0.25">
      <c r="A11" s="2" t="s">
        <v>7</v>
      </c>
      <c r="B11">
        <v>7</v>
      </c>
      <c r="C11">
        <v>2</v>
      </c>
      <c r="D11" s="60"/>
      <c r="E11">
        <v>4</v>
      </c>
      <c r="F11">
        <v>1</v>
      </c>
      <c r="H11" s="59"/>
      <c r="I11">
        <v>3</v>
      </c>
      <c r="J11">
        <v>2</v>
      </c>
      <c r="K11">
        <v>3</v>
      </c>
      <c r="L11" s="60"/>
      <c r="M11">
        <v>3</v>
      </c>
      <c r="N11" s="60"/>
      <c r="O11">
        <v>1</v>
      </c>
      <c r="P11">
        <v>2</v>
      </c>
      <c r="Q11">
        <v>3</v>
      </c>
      <c r="R11">
        <v>2</v>
      </c>
      <c r="S11">
        <v>3</v>
      </c>
      <c r="T11" s="60"/>
      <c r="U11" s="60"/>
      <c r="V11">
        <v>6</v>
      </c>
      <c r="W11">
        <v>5</v>
      </c>
      <c r="Y11">
        <v>47</v>
      </c>
      <c r="AA11" s="3">
        <v>53</v>
      </c>
      <c r="AB11">
        <v>48</v>
      </c>
      <c r="AC11" s="6">
        <f t="shared" si="0"/>
        <v>101</v>
      </c>
    </row>
    <row r="12" spans="1:29" x14ac:dyDescent="0.25">
      <c r="A12" s="2" t="s">
        <v>18</v>
      </c>
      <c r="B12">
        <v>9</v>
      </c>
      <c r="C12" s="60"/>
      <c r="D12">
        <v>3</v>
      </c>
      <c r="E12">
        <v>4</v>
      </c>
      <c r="F12" s="60"/>
      <c r="G12" s="60"/>
      <c r="H12">
        <v>1</v>
      </c>
      <c r="I12" s="59"/>
      <c r="J12" s="60"/>
      <c r="K12">
        <v>2</v>
      </c>
      <c r="L12" s="60"/>
      <c r="M12">
        <v>1</v>
      </c>
      <c r="N12">
        <v>3</v>
      </c>
      <c r="O12" s="60"/>
      <c r="P12" s="60"/>
      <c r="Q12">
        <v>3</v>
      </c>
      <c r="R12" s="60"/>
      <c r="S12">
        <v>3</v>
      </c>
      <c r="T12">
        <v>2</v>
      </c>
      <c r="U12" s="60"/>
      <c r="V12" s="60"/>
      <c r="W12" s="60"/>
      <c r="Y12">
        <v>31</v>
      </c>
      <c r="AA12" s="3">
        <v>78</v>
      </c>
      <c r="AB12">
        <v>31</v>
      </c>
      <c r="AC12" s="6">
        <f t="shared" si="0"/>
        <v>109</v>
      </c>
    </row>
    <row r="13" spans="1:29" x14ac:dyDescent="0.25">
      <c r="A13" s="2" t="s">
        <v>13</v>
      </c>
      <c r="B13">
        <v>12</v>
      </c>
      <c r="C13" s="60"/>
      <c r="D13">
        <v>1</v>
      </c>
      <c r="E13">
        <v>6</v>
      </c>
      <c r="F13">
        <v>1</v>
      </c>
      <c r="G13">
        <v>1</v>
      </c>
      <c r="H13">
        <v>2</v>
      </c>
      <c r="I13">
        <v>7</v>
      </c>
      <c r="J13" s="59"/>
      <c r="K13">
        <v>8</v>
      </c>
      <c r="L13">
        <v>4</v>
      </c>
      <c r="M13">
        <v>5</v>
      </c>
      <c r="N13">
        <v>2</v>
      </c>
      <c r="O13">
        <v>2</v>
      </c>
      <c r="P13">
        <v>2</v>
      </c>
      <c r="Q13">
        <v>2</v>
      </c>
      <c r="R13">
        <v>5</v>
      </c>
      <c r="S13">
        <v>4</v>
      </c>
      <c r="T13">
        <v>9</v>
      </c>
      <c r="U13">
        <v>2</v>
      </c>
      <c r="V13">
        <v>4</v>
      </c>
      <c r="W13">
        <v>2</v>
      </c>
      <c r="Y13">
        <v>81</v>
      </c>
      <c r="AA13" s="3">
        <v>41</v>
      </c>
      <c r="AB13">
        <v>76</v>
      </c>
      <c r="AC13" s="6">
        <f t="shared" si="0"/>
        <v>117</v>
      </c>
    </row>
    <row r="14" spans="1:29" x14ac:dyDescent="0.25">
      <c r="A14" s="2" t="s">
        <v>16</v>
      </c>
      <c r="B14">
        <v>11</v>
      </c>
      <c r="C14" s="60"/>
      <c r="D14">
        <v>1</v>
      </c>
      <c r="E14" s="60"/>
      <c r="F14" s="60"/>
      <c r="G14">
        <v>1</v>
      </c>
      <c r="H14" s="60"/>
      <c r="I14">
        <v>1</v>
      </c>
      <c r="J14">
        <v>1</v>
      </c>
      <c r="K14" s="59"/>
      <c r="L14">
        <v>4</v>
      </c>
      <c r="M14">
        <v>1</v>
      </c>
      <c r="N14">
        <v>1</v>
      </c>
      <c r="O14">
        <v>1</v>
      </c>
      <c r="P14">
        <v>2</v>
      </c>
      <c r="Q14" s="60"/>
      <c r="R14" s="60"/>
      <c r="S14" s="60"/>
      <c r="T14" s="60"/>
      <c r="U14">
        <v>1</v>
      </c>
      <c r="V14" s="60"/>
      <c r="W14" s="60"/>
      <c r="Y14">
        <v>25</v>
      </c>
      <c r="AA14" s="3">
        <v>95</v>
      </c>
      <c r="AB14">
        <v>26</v>
      </c>
      <c r="AC14" s="6">
        <f t="shared" si="0"/>
        <v>121</v>
      </c>
    </row>
    <row r="15" spans="1:29" x14ac:dyDescent="0.25">
      <c r="A15" s="2" t="s">
        <v>14</v>
      </c>
      <c r="B15">
        <v>10</v>
      </c>
      <c r="C15" s="60"/>
      <c r="D15">
        <v>3</v>
      </c>
      <c r="E15">
        <v>4</v>
      </c>
      <c r="F15">
        <v>7</v>
      </c>
      <c r="G15" s="60"/>
      <c r="H15">
        <v>2</v>
      </c>
      <c r="I15">
        <v>6</v>
      </c>
      <c r="J15">
        <v>3</v>
      </c>
      <c r="K15">
        <v>4</v>
      </c>
      <c r="L15" s="59"/>
      <c r="M15">
        <v>2</v>
      </c>
      <c r="N15">
        <v>2</v>
      </c>
      <c r="O15">
        <v>3</v>
      </c>
      <c r="P15">
        <v>2</v>
      </c>
      <c r="Q15">
        <v>2</v>
      </c>
      <c r="R15">
        <v>2</v>
      </c>
      <c r="S15" s="60"/>
      <c r="T15">
        <v>3</v>
      </c>
      <c r="U15" s="60"/>
      <c r="V15">
        <v>3</v>
      </c>
      <c r="W15">
        <v>3</v>
      </c>
      <c r="Y15">
        <v>61</v>
      </c>
      <c r="AA15" s="3">
        <v>56</v>
      </c>
      <c r="AB15">
        <v>61</v>
      </c>
      <c r="AC15" s="6">
        <f t="shared" si="0"/>
        <v>117</v>
      </c>
    </row>
    <row r="16" spans="1:29" x14ac:dyDescent="0.25">
      <c r="A16" s="2" t="s">
        <v>11</v>
      </c>
      <c r="B16">
        <v>10</v>
      </c>
      <c r="C16">
        <v>1</v>
      </c>
      <c r="D16">
        <v>3</v>
      </c>
      <c r="E16">
        <v>3</v>
      </c>
      <c r="F16">
        <v>5</v>
      </c>
      <c r="G16" s="60"/>
      <c r="H16">
        <v>3</v>
      </c>
      <c r="I16">
        <v>4</v>
      </c>
      <c r="J16">
        <v>2</v>
      </c>
      <c r="K16">
        <v>5</v>
      </c>
      <c r="L16">
        <v>4</v>
      </c>
      <c r="M16" s="59"/>
      <c r="N16">
        <v>10</v>
      </c>
      <c r="O16">
        <v>2</v>
      </c>
      <c r="P16">
        <v>3</v>
      </c>
      <c r="Q16">
        <v>2</v>
      </c>
      <c r="R16">
        <v>9</v>
      </c>
      <c r="S16">
        <v>3</v>
      </c>
      <c r="T16">
        <v>5</v>
      </c>
      <c r="U16">
        <v>3</v>
      </c>
      <c r="V16">
        <v>1</v>
      </c>
      <c r="W16">
        <v>4</v>
      </c>
      <c r="Y16">
        <v>82</v>
      </c>
      <c r="AA16" s="3">
        <v>36</v>
      </c>
      <c r="AB16">
        <v>83</v>
      </c>
      <c r="AC16" s="6">
        <f t="shared" si="0"/>
        <v>119</v>
      </c>
    </row>
    <row r="17" spans="1:29" x14ac:dyDescent="0.25">
      <c r="A17" s="2" t="s">
        <v>8</v>
      </c>
      <c r="B17">
        <v>7</v>
      </c>
      <c r="C17">
        <v>3</v>
      </c>
      <c r="D17">
        <v>1</v>
      </c>
      <c r="E17">
        <v>3</v>
      </c>
      <c r="F17">
        <v>4</v>
      </c>
      <c r="G17" s="60"/>
      <c r="H17">
        <v>6</v>
      </c>
      <c r="I17">
        <v>8</v>
      </c>
      <c r="J17" s="60"/>
      <c r="K17">
        <v>7</v>
      </c>
      <c r="L17">
        <v>4</v>
      </c>
      <c r="M17">
        <v>4</v>
      </c>
      <c r="N17" s="59"/>
      <c r="O17" s="60"/>
      <c r="P17">
        <v>3</v>
      </c>
      <c r="Q17">
        <v>2</v>
      </c>
      <c r="R17">
        <v>4</v>
      </c>
      <c r="S17">
        <v>4</v>
      </c>
      <c r="T17">
        <v>5</v>
      </c>
      <c r="U17" s="60"/>
      <c r="V17">
        <v>1</v>
      </c>
      <c r="W17" s="60"/>
      <c r="Y17">
        <v>66</v>
      </c>
      <c r="AA17" s="3">
        <v>50</v>
      </c>
      <c r="AB17">
        <v>66</v>
      </c>
      <c r="AC17" s="6">
        <f t="shared" si="0"/>
        <v>116</v>
      </c>
    </row>
    <row r="18" spans="1:29" x14ac:dyDescent="0.25">
      <c r="A18" s="2" t="s">
        <v>5</v>
      </c>
      <c r="B18">
        <v>14</v>
      </c>
      <c r="C18">
        <v>3</v>
      </c>
      <c r="D18">
        <v>1</v>
      </c>
      <c r="E18">
        <v>2</v>
      </c>
      <c r="F18">
        <v>4</v>
      </c>
      <c r="G18" s="60"/>
      <c r="H18">
        <v>7</v>
      </c>
      <c r="I18">
        <v>3</v>
      </c>
      <c r="J18">
        <v>2</v>
      </c>
      <c r="K18">
        <v>8</v>
      </c>
      <c r="L18">
        <v>1</v>
      </c>
      <c r="M18">
        <v>2</v>
      </c>
      <c r="N18">
        <v>5</v>
      </c>
      <c r="O18" s="59"/>
      <c r="P18">
        <v>2</v>
      </c>
      <c r="Q18">
        <v>6</v>
      </c>
      <c r="R18">
        <v>6</v>
      </c>
      <c r="S18">
        <v>2</v>
      </c>
      <c r="T18">
        <v>6</v>
      </c>
      <c r="U18">
        <v>5</v>
      </c>
      <c r="V18">
        <v>2</v>
      </c>
      <c r="W18">
        <v>5</v>
      </c>
      <c r="Y18">
        <v>86</v>
      </c>
      <c r="AA18" s="3">
        <v>30</v>
      </c>
      <c r="AB18">
        <v>86</v>
      </c>
      <c r="AC18" s="6">
        <f t="shared" si="0"/>
        <v>116</v>
      </c>
    </row>
    <row r="19" spans="1:29" x14ac:dyDescent="0.25">
      <c r="A19" s="2" t="s">
        <v>44</v>
      </c>
      <c r="B19">
        <v>6</v>
      </c>
      <c r="C19">
        <v>4</v>
      </c>
      <c r="D19">
        <v>2</v>
      </c>
      <c r="E19">
        <v>8</v>
      </c>
      <c r="F19">
        <v>3</v>
      </c>
      <c r="G19">
        <v>2</v>
      </c>
      <c r="H19">
        <v>2</v>
      </c>
      <c r="I19">
        <v>2</v>
      </c>
      <c r="J19">
        <v>1</v>
      </c>
      <c r="K19">
        <v>2</v>
      </c>
      <c r="L19">
        <v>3</v>
      </c>
      <c r="M19" s="60"/>
      <c r="N19">
        <v>2</v>
      </c>
      <c r="O19" s="60"/>
      <c r="P19" s="59"/>
      <c r="Q19" s="60"/>
      <c r="R19">
        <v>2</v>
      </c>
      <c r="S19" s="60">
        <v>2</v>
      </c>
      <c r="T19">
        <v>1</v>
      </c>
      <c r="U19">
        <v>3</v>
      </c>
      <c r="V19">
        <v>5</v>
      </c>
      <c r="W19">
        <v>3</v>
      </c>
      <c r="Y19">
        <v>53</v>
      </c>
      <c r="AA19" s="3">
        <v>33</v>
      </c>
      <c r="AB19">
        <v>53</v>
      </c>
      <c r="AC19" s="6">
        <f t="shared" si="0"/>
        <v>86</v>
      </c>
    </row>
    <row r="20" spans="1:29" x14ac:dyDescent="0.25">
      <c r="A20" s="2" t="s">
        <v>1</v>
      </c>
      <c r="B20">
        <v>15</v>
      </c>
      <c r="C20">
        <v>3</v>
      </c>
      <c r="D20">
        <v>2</v>
      </c>
      <c r="E20">
        <v>2</v>
      </c>
      <c r="F20" s="60"/>
      <c r="G20" s="60"/>
      <c r="H20" s="60"/>
      <c r="I20">
        <v>1</v>
      </c>
      <c r="J20">
        <v>2</v>
      </c>
      <c r="K20">
        <v>9</v>
      </c>
      <c r="L20">
        <v>3</v>
      </c>
      <c r="M20">
        <v>1</v>
      </c>
      <c r="N20" s="60"/>
      <c r="O20" s="60"/>
      <c r="P20">
        <v>2</v>
      </c>
      <c r="Q20" s="59"/>
      <c r="R20">
        <v>4</v>
      </c>
      <c r="S20">
        <v>2</v>
      </c>
      <c r="T20" s="60"/>
      <c r="U20">
        <v>5</v>
      </c>
      <c r="V20">
        <v>3</v>
      </c>
      <c r="W20">
        <v>2</v>
      </c>
      <c r="Y20">
        <v>56</v>
      </c>
      <c r="AA20" s="3">
        <v>44</v>
      </c>
      <c r="AB20">
        <v>56</v>
      </c>
      <c r="AC20" s="6">
        <f t="shared" si="0"/>
        <v>100</v>
      </c>
    </row>
    <row r="21" spans="1:29" x14ac:dyDescent="0.25">
      <c r="A21" s="2" t="s">
        <v>10</v>
      </c>
      <c r="B21">
        <v>11</v>
      </c>
      <c r="C21" s="60"/>
      <c r="D21">
        <v>2</v>
      </c>
      <c r="E21">
        <v>1</v>
      </c>
      <c r="F21">
        <v>2</v>
      </c>
      <c r="G21">
        <v>2</v>
      </c>
      <c r="H21">
        <v>1</v>
      </c>
      <c r="I21">
        <v>6</v>
      </c>
      <c r="J21">
        <v>2</v>
      </c>
      <c r="K21">
        <v>3</v>
      </c>
      <c r="L21">
        <v>2</v>
      </c>
      <c r="M21" s="60"/>
      <c r="N21" s="60"/>
      <c r="O21" s="60"/>
      <c r="P21" s="60"/>
      <c r="Q21" s="60"/>
      <c r="R21" s="59"/>
      <c r="S21">
        <v>2</v>
      </c>
      <c r="T21" s="61">
        <v>4</v>
      </c>
      <c r="U21">
        <v>3</v>
      </c>
      <c r="V21">
        <v>4</v>
      </c>
      <c r="W21">
        <v>2</v>
      </c>
      <c r="Y21">
        <v>47</v>
      </c>
      <c r="AA21" s="3">
        <v>64</v>
      </c>
      <c r="AB21">
        <v>48</v>
      </c>
      <c r="AC21" s="6">
        <f t="shared" si="0"/>
        <v>112</v>
      </c>
    </row>
    <row r="22" spans="1:29" x14ac:dyDescent="0.25">
      <c r="A22" s="2" t="s">
        <v>4</v>
      </c>
      <c r="B22">
        <v>6</v>
      </c>
      <c r="C22" s="60"/>
      <c r="D22">
        <v>3</v>
      </c>
      <c r="E22">
        <v>1</v>
      </c>
      <c r="F22">
        <v>4</v>
      </c>
      <c r="G22" s="60"/>
      <c r="H22">
        <v>7</v>
      </c>
      <c r="I22" s="60"/>
      <c r="J22">
        <v>2</v>
      </c>
      <c r="K22">
        <v>3</v>
      </c>
      <c r="L22">
        <v>5</v>
      </c>
      <c r="M22" s="60"/>
      <c r="N22">
        <v>3</v>
      </c>
      <c r="O22" s="60"/>
      <c r="P22">
        <v>2</v>
      </c>
      <c r="Q22">
        <v>4</v>
      </c>
      <c r="R22" s="60"/>
      <c r="S22" s="59"/>
      <c r="T22" s="60"/>
      <c r="U22">
        <v>1</v>
      </c>
      <c r="V22">
        <v>1</v>
      </c>
      <c r="W22" s="60"/>
      <c r="Y22">
        <v>42</v>
      </c>
      <c r="AA22" s="3">
        <v>60</v>
      </c>
      <c r="AB22">
        <v>42</v>
      </c>
      <c r="AC22" s="6">
        <f>SUM(AA22:AB22)</f>
        <v>102</v>
      </c>
    </row>
    <row r="23" spans="1:29" x14ac:dyDescent="0.25">
      <c r="A23" s="2" t="s">
        <v>9</v>
      </c>
      <c r="B23">
        <v>8</v>
      </c>
      <c r="C23">
        <v>3</v>
      </c>
      <c r="D23" s="60"/>
      <c r="E23">
        <v>2</v>
      </c>
      <c r="F23">
        <v>8</v>
      </c>
      <c r="G23">
        <v>3</v>
      </c>
      <c r="H23">
        <v>2</v>
      </c>
      <c r="I23">
        <v>3</v>
      </c>
      <c r="J23">
        <v>3</v>
      </c>
      <c r="K23">
        <v>1</v>
      </c>
      <c r="L23" s="60"/>
      <c r="M23" s="60"/>
      <c r="N23">
        <v>3</v>
      </c>
      <c r="O23">
        <v>2</v>
      </c>
      <c r="P23">
        <v>3</v>
      </c>
      <c r="Q23">
        <v>2</v>
      </c>
      <c r="R23" s="60"/>
      <c r="S23">
        <v>5</v>
      </c>
      <c r="T23" s="59"/>
      <c r="U23">
        <v>2</v>
      </c>
      <c r="V23">
        <v>5</v>
      </c>
      <c r="W23">
        <v>2</v>
      </c>
      <c r="Y23">
        <v>57</v>
      </c>
      <c r="AA23" s="3">
        <v>52</v>
      </c>
      <c r="AB23">
        <v>57</v>
      </c>
      <c r="AC23" s="6">
        <f>SUM(AA23:AB23)</f>
        <v>109</v>
      </c>
    </row>
    <row r="24" spans="1:29" x14ac:dyDescent="0.25">
      <c r="A24" s="2" t="s">
        <v>41</v>
      </c>
      <c r="B24">
        <v>1</v>
      </c>
      <c r="C24" s="60"/>
      <c r="D24" s="60"/>
      <c r="E24">
        <v>2</v>
      </c>
      <c r="F24">
        <v>2</v>
      </c>
      <c r="G24">
        <v>3</v>
      </c>
      <c r="H24">
        <v>1</v>
      </c>
      <c r="I24">
        <v>3</v>
      </c>
      <c r="J24" s="60"/>
      <c r="K24">
        <v>3</v>
      </c>
      <c r="L24">
        <v>2</v>
      </c>
      <c r="M24" s="60"/>
      <c r="N24">
        <v>2</v>
      </c>
      <c r="O24">
        <v>2</v>
      </c>
      <c r="P24" s="60"/>
      <c r="Q24">
        <v>1</v>
      </c>
      <c r="R24" s="60"/>
      <c r="S24">
        <v>6</v>
      </c>
      <c r="T24" s="60"/>
      <c r="U24" s="59"/>
      <c r="V24">
        <v>6</v>
      </c>
      <c r="W24" s="60"/>
      <c r="Y24">
        <v>34</v>
      </c>
      <c r="AA24" s="3">
        <v>42</v>
      </c>
      <c r="AB24">
        <v>34</v>
      </c>
      <c r="AC24" s="6">
        <f>SUM(AA24:AB24)</f>
        <v>76</v>
      </c>
    </row>
    <row r="25" spans="1:29" x14ac:dyDescent="0.25">
      <c r="A25" s="2" t="s">
        <v>6</v>
      </c>
      <c r="B25">
        <v>8</v>
      </c>
      <c r="C25" s="60"/>
      <c r="D25">
        <v>5</v>
      </c>
      <c r="E25">
        <v>7</v>
      </c>
      <c r="F25">
        <v>4</v>
      </c>
      <c r="G25">
        <v>3</v>
      </c>
      <c r="H25">
        <v>1</v>
      </c>
      <c r="I25">
        <v>8</v>
      </c>
      <c r="J25">
        <v>5</v>
      </c>
      <c r="K25">
        <v>5</v>
      </c>
      <c r="L25">
        <v>1</v>
      </c>
      <c r="M25" s="60"/>
      <c r="N25">
        <v>2</v>
      </c>
      <c r="O25" s="60"/>
      <c r="P25">
        <v>3</v>
      </c>
      <c r="Q25">
        <v>3</v>
      </c>
      <c r="R25">
        <v>2</v>
      </c>
      <c r="S25">
        <v>2</v>
      </c>
      <c r="T25" s="60"/>
      <c r="U25">
        <v>3</v>
      </c>
      <c r="V25" s="59"/>
      <c r="W25">
        <v>2</v>
      </c>
      <c r="Y25">
        <v>64</v>
      </c>
      <c r="AA25" s="3">
        <v>65</v>
      </c>
      <c r="AB25">
        <v>64</v>
      </c>
      <c r="AC25" s="6">
        <f>SUM(AA25:AB25)</f>
        <v>129</v>
      </c>
    </row>
    <row r="26" spans="1:29" ht="15.75" thickBot="1" x14ac:dyDescent="0.3">
      <c r="A26" s="2" t="s">
        <v>15</v>
      </c>
      <c r="B26">
        <v>6</v>
      </c>
      <c r="C26">
        <v>2</v>
      </c>
      <c r="D26">
        <v>3</v>
      </c>
      <c r="E26">
        <v>6</v>
      </c>
      <c r="F26">
        <v>8</v>
      </c>
      <c r="G26">
        <v>4</v>
      </c>
      <c r="H26">
        <v>1</v>
      </c>
      <c r="I26">
        <v>5</v>
      </c>
      <c r="J26" s="60"/>
      <c r="K26">
        <v>4</v>
      </c>
      <c r="L26">
        <v>5</v>
      </c>
      <c r="M26">
        <v>3</v>
      </c>
      <c r="N26">
        <v>6</v>
      </c>
      <c r="O26">
        <v>6</v>
      </c>
      <c r="P26">
        <v>1</v>
      </c>
      <c r="Q26">
        <v>6</v>
      </c>
      <c r="R26">
        <v>4</v>
      </c>
      <c r="S26">
        <v>8</v>
      </c>
      <c r="T26">
        <v>4</v>
      </c>
      <c r="U26">
        <v>4</v>
      </c>
      <c r="V26">
        <v>3</v>
      </c>
      <c r="W26" s="59"/>
      <c r="Y26">
        <v>89</v>
      </c>
      <c r="AA26" s="3">
        <v>42</v>
      </c>
      <c r="AB26">
        <v>90</v>
      </c>
      <c r="AC26" s="7">
        <f>SUM(AA26:AB26)</f>
        <v>132</v>
      </c>
    </row>
    <row r="27" spans="1:29" x14ac:dyDescent="0.25">
      <c r="A27" s="2" t="s">
        <v>610</v>
      </c>
    </row>
    <row r="28" spans="1:29" x14ac:dyDescent="0.25">
      <c r="A28" s="2" t="s">
        <v>40</v>
      </c>
      <c r="B28">
        <v>168</v>
      </c>
      <c r="C28">
        <v>30</v>
      </c>
      <c r="D28">
        <v>34</v>
      </c>
      <c r="E28">
        <v>71</v>
      </c>
      <c r="F28">
        <v>63</v>
      </c>
      <c r="G28">
        <v>23</v>
      </c>
      <c r="H28">
        <v>52</v>
      </c>
      <c r="I28">
        <v>76</v>
      </c>
      <c r="J28">
        <v>41</v>
      </c>
      <c r="K28">
        <v>94</v>
      </c>
      <c r="L28">
        <v>56</v>
      </c>
      <c r="M28">
        <v>36</v>
      </c>
      <c r="N28">
        <v>50</v>
      </c>
      <c r="O28">
        <v>30</v>
      </c>
      <c r="P28">
        <v>33</v>
      </c>
      <c r="Q28">
        <v>44</v>
      </c>
      <c r="R28">
        <v>65</v>
      </c>
      <c r="S28">
        <v>63</v>
      </c>
      <c r="T28">
        <v>52</v>
      </c>
      <c r="U28">
        <v>42</v>
      </c>
      <c r="V28">
        <v>65</v>
      </c>
      <c r="W28">
        <v>42</v>
      </c>
      <c r="Y28">
        <v>1230</v>
      </c>
    </row>
    <row r="32" spans="1:29" ht="121.5" x14ac:dyDescent="0.25">
      <c r="A32" t="s">
        <v>39</v>
      </c>
      <c r="B32">
        <v>0</v>
      </c>
      <c r="C32" s="26" t="s">
        <v>17</v>
      </c>
      <c r="D32" s="33" t="s">
        <v>42</v>
      </c>
      <c r="E32" s="30" t="s">
        <v>0</v>
      </c>
      <c r="F32" s="29" t="s">
        <v>12</v>
      </c>
      <c r="G32" s="18" t="s">
        <v>3</v>
      </c>
      <c r="H32" s="32" t="s">
        <v>7</v>
      </c>
      <c r="I32" s="21" t="s">
        <v>18</v>
      </c>
      <c r="J32" s="16" t="s">
        <v>13</v>
      </c>
      <c r="K32" s="24" t="s">
        <v>16</v>
      </c>
      <c r="L32" s="28" t="s">
        <v>14</v>
      </c>
      <c r="M32" s="19" t="s">
        <v>11</v>
      </c>
      <c r="N32" s="23" t="s">
        <v>8</v>
      </c>
      <c r="O32" s="20" t="s">
        <v>5</v>
      </c>
      <c r="P32" s="35" t="s">
        <v>44</v>
      </c>
      <c r="Q32" s="15" t="s">
        <v>1</v>
      </c>
      <c r="R32" s="22" t="s">
        <v>10</v>
      </c>
      <c r="S32" s="25" t="s">
        <v>4</v>
      </c>
      <c r="T32" s="27" t="s">
        <v>9</v>
      </c>
      <c r="U32" s="34" t="s">
        <v>41</v>
      </c>
      <c r="V32" s="31" t="s">
        <v>6</v>
      </c>
      <c r="W32" s="17" t="s">
        <v>15</v>
      </c>
      <c r="X32" t="s">
        <v>610</v>
      </c>
      <c r="Y32" t="s">
        <v>40</v>
      </c>
    </row>
    <row r="33" spans="1:25" x14ac:dyDescent="0.25">
      <c r="A33" s="36" t="s">
        <v>17</v>
      </c>
      <c r="B33">
        <v>6</v>
      </c>
      <c r="D33">
        <v>2</v>
      </c>
      <c r="E33">
        <v>5</v>
      </c>
      <c r="F33">
        <v>3</v>
      </c>
      <c r="G33">
        <v>3</v>
      </c>
      <c r="H33">
        <v>3</v>
      </c>
      <c r="I33">
        <v>4</v>
      </c>
      <c r="J33">
        <v>2</v>
      </c>
      <c r="K33">
        <v>6</v>
      </c>
      <c r="L33">
        <v>3</v>
      </c>
      <c r="M33">
        <v>4</v>
      </c>
      <c r="N33">
        <v>2</v>
      </c>
      <c r="O33">
        <v>5</v>
      </c>
      <c r="P33">
        <v>3</v>
      </c>
      <c r="R33">
        <v>7</v>
      </c>
      <c r="S33">
        <v>5</v>
      </c>
      <c r="T33">
        <v>4</v>
      </c>
      <c r="U33">
        <v>2</v>
      </c>
      <c r="V33">
        <v>10</v>
      </c>
      <c r="W33">
        <v>6</v>
      </c>
      <c r="Y33">
        <f>SUM(B33:W33)</f>
        <v>85</v>
      </c>
    </row>
    <row r="34" spans="1:25" x14ac:dyDescent="0.25">
      <c r="A34" s="37" t="s">
        <v>42</v>
      </c>
      <c r="B34">
        <v>5</v>
      </c>
      <c r="C34">
        <v>3</v>
      </c>
      <c r="E34">
        <v>2</v>
      </c>
      <c r="F34">
        <v>2</v>
      </c>
      <c r="H34">
        <v>3</v>
      </c>
      <c r="I34">
        <v>1</v>
      </c>
      <c r="J34">
        <v>3</v>
      </c>
      <c r="K34">
        <v>4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3</v>
      </c>
      <c r="S34">
        <v>8</v>
      </c>
      <c r="T34">
        <v>4</v>
      </c>
      <c r="U34">
        <v>1</v>
      </c>
      <c r="V34">
        <v>3</v>
      </c>
      <c r="W34">
        <v>2</v>
      </c>
      <c r="Y34">
        <f t="shared" ref="Y34:Y53" si="1">SUM(B34:W34)</f>
        <v>56</v>
      </c>
    </row>
    <row r="35" spans="1:25" x14ac:dyDescent="0.25">
      <c r="A35" s="38" t="s">
        <v>0</v>
      </c>
      <c r="B35">
        <v>4</v>
      </c>
      <c r="C35">
        <v>1</v>
      </c>
      <c r="F35">
        <v>3</v>
      </c>
      <c r="G35">
        <v>1</v>
      </c>
      <c r="I35">
        <v>2</v>
      </c>
      <c r="J35">
        <v>6</v>
      </c>
      <c r="K35">
        <v>7</v>
      </c>
      <c r="L35">
        <v>4</v>
      </c>
      <c r="M35">
        <v>4</v>
      </c>
      <c r="Q35">
        <v>1</v>
      </c>
      <c r="R35">
        <v>8</v>
      </c>
      <c r="S35">
        <v>2</v>
      </c>
      <c r="U35">
        <v>5</v>
      </c>
      <c r="Y35">
        <f t="shared" si="1"/>
        <v>48</v>
      </c>
    </row>
    <row r="36" spans="1:25" x14ac:dyDescent="0.25">
      <c r="A36" s="39" t="s">
        <v>12</v>
      </c>
      <c r="B36">
        <v>2</v>
      </c>
      <c r="C36">
        <v>2</v>
      </c>
      <c r="E36">
        <v>3</v>
      </c>
      <c r="H36">
        <v>4</v>
      </c>
      <c r="I36">
        <v>3</v>
      </c>
      <c r="J36">
        <v>3</v>
      </c>
      <c r="K36">
        <v>5</v>
      </c>
      <c r="L36">
        <v>6</v>
      </c>
      <c r="M36">
        <v>2</v>
      </c>
      <c r="N36">
        <v>2</v>
      </c>
      <c r="O36">
        <v>2</v>
      </c>
      <c r="P36">
        <v>1</v>
      </c>
      <c r="Q36">
        <v>3</v>
      </c>
      <c r="R36">
        <v>2</v>
      </c>
      <c r="T36">
        <v>4</v>
      </c>
      <c r="V36">
        <v>2</v>
      </c>
      <c r="W36">
        <v>2</v>
      </c>
      <c r="Y36">
        <f t="shared" si="1"/>
        <v>48</v>
      </c>
    </row>
    <row r="37" spans="1:25" x14ac:dyDescent="0.25">
      <c r="A37" s="40" t="s">
        <v>3</v>
      </c>
      <c r="B37">
        <v>9</v>
      </c>
      <c r="C37">
        <v>3</v>
      </c>
      <c r="D37">
        <v>2</v>
      </c>
      <c r="E37">
        <v>6</v>
      </c>
      <c r="F37">
        <v>2</v>
      </c>
      <c r="H37">
        <v>1</v>
      </c>
      <c r="I37">
        <v>6</v>
      </c>
      <c r="K37">
        <v>5</v>
      </c>
      <c r="L37">
        <v>3</v>
      </c>
      <c r="M37">
        <v>2</v>
      </c>
      <c r="N37">
        <v>3</v>
      </c>
      <c r="O37">
        <v>2</v>
      </c>
      <c r="Q37">
        <v>2</v>
      </c>
      <c r="R37">
        <v>4</v>
      </c>
      <c r="S37">
        <v>2</v>
      </c>
      <c r="T37">
        <v>1</v>
      </c>
      <c r="U37">
        <v>2</v>
      </c>
      <c r="V37">
        <v>5</v>
      </c>
      <c r="W37">
        <v>2</v>
      </c>
      <c r="Y37">
        <f t="shared" si="1"/>
        <v>62</v>
      </c>
    </row>
    <row r="38" spans="1:25" x14ac:dyDescent="0.25">
      <c r="A38" s="41" t="s">
        <v>7</v>
      </c>
      <c r="B38">
        <v>7</v>
      </c>
      <c r="C38">
        <v>2</v>
      </c>
      <c r="E38">
        <v>4</v>
      </c>
      <c r="F38">
        <v>1</v>
      </c>
      <c r="I38">
        <v>3</v>
      </c>
      <c r="J38">
        <v>2</v>
      </c>
      <c r="K38">
        <v>4</v>
      </c>
      <c r="M38">
        <v>3</v>
      </c>
      <c r="O38">
        <v>1</v>
      </c>
      <c r="P38">
        <v>2</v>
      </c>
      <c r="Q38">
        <v>3</v>
      </c>
      <c r="R38">
        <v>2</v>
      </c>
      <c r="S38">
        <v>3</v>
      </c>
      <c r="V38">
        <v>6</v>
      </c>
      <c r="W38">
        <v>5</v>
      </c>
      <c r="Y38">
        <f t="shared" si="1"/>
        <v>48</v>
      </c>
    </row>
    <row r="39" spans="1:25" x14ac:dyDescent="0.25">
      <c r="A39" s="42" t="s">
        <v>18</v>
      </c>
      <c r="B39">
        <v>9</v>
      </c>
      <c r="D39">
        <v>3</v>
      </c>
      <c r="E39">
        <v>1</v>
      </c>
      <c r="H39">
        <v>1</v>
      </c>
      <c r="K39">
        <v>2</v>
      </c>
      <c r="M39">
        <v>1</v>
      </c>
      <c r="N39">
        <v>3</v>
      </c>
      <c r="Q39">
        <v>3</v>
      </c>
      <c r="S39">
        <v>3</v>
      </c>
      <c r="Y39">
        <f t="shared" si="1"/>
        <v>26</v>
      </c>
    </row>
    <row r="40" spans="1:25" x14ac:dyDescent="0.25">
      <c r="A40" s="43" t="s">
        <v>13</v>
      </c>
      <c r="B40">
        <v>9</v>
      </c>
      <c r="D40">
        <v>1</v>
      </c>
      <c r="E40">
        <v>6</v>
      </c>
      <c r="F40">
        <v>1</v>
      </c>
      <c r="G40">
        <v>1</v>
      </c>
      <c r="H40">
        <v>2</v>
      </c>
      <c r="I40">
        <v>8</v>
      </c>
      <c r="K40">
        <v>8</v>
      </c>
      <c r="L40">
        <v>4</v>
      </c>
      <c r="M40">
        <v>5</v>
      </c>
      <c r="N40">
        <v>2</v>
      </c>
      <c r="O40">
        <v>2</v>
      </c>
      <c r="P40">
        <v>2</v>
      </c>
      <c r="Q40">
        <v>2</v>
      </c>
      <c r="R40">
        <v>5</v>
      </c>
      <c r="S40">
        <v>1</v>
      </c>
      <c r="T40">
        <v>9</v>
      </c>
      <c r="U40">
        <v>2</v>
      </c>
      <c r="V40">
        <v>3</v>
      </c>
      <c r="W40">
        <v>2</v>
      </c>
      <c r="Y40">
        <f t="shared" si="1"/>
        <v>75</v>
      </c>
    </row>
    <row r="41" spans="1:25" x14ac:dyDescent="0.25">
      <c r="A41" s="44" t="s">
        <v>16</v>
      </c>
      <c r="B41">
        <v>9</v>
      </c>
      <c r="D41">
        <v>1</v>
      </c>
      <c r="G41">
        <v>1</v>
      </c>
      <c r="I41">
        <v>2</v>
      </c>
      <c r="J41">
        <v>1</v>
      </c>
      <c r="L41">
        <v>4</v>
      </c>
      <c r="M41">
        <v>1</v>
      </c>
      <c r="N41">
        <v>1</v>
      </c>
      <c r="O41">
        <v>1</v>
      </c>
      <c r="P41">
        <v>2</v>
      </c>
      <c r="U41">
        <v>1</v>
      </c>
      <c r="Y41">
        <f t="shared" si="1"/>
        <v>24</v>
      </c>
    </row>
    <row r="42" spans="1:25" x14ac:dyDescent="0.25">
      <c r="A42" s="45" t="s">
        <v>14</v>
      </c>
      <c r="B42">
        <v>10</v>
      </c>
      <c r="D42">
        <v>3</v>
      </c>
      <c r="E42">
        <v>4</v>
      </c>
      <c r="F42">
        <v>7</v>
      </c>
      <c r="H42">
        <v>2</v>
      </c>
      <c r="I42">
        <v>6</v>
      </c>
      <c r="J42">
        <v>3</v>
      </c>
      <c r="K42">
        <v>4</v>
      </c>
      <c r="M42">
        <v>2</v>
      </c>
      <c r="N42">
        <v>2</v>
      </c>
      <c r="O42">
        <v>3</v>
      </c>
      <c r="P42">
        <v>2</v>
      </c>
      <c r="Q42">
        <v>2</v>
      </c>
      <c r="R42">
        <v>2</v>
      </c>
      <c r="T42">
        <v>3</v>
      </c>
      <c r="V42">
        <v>3</v>
      </c>
      <c r="W42">
        <v>3</v>
      </c>
      <c r="Y42">
        <f t="shared" si="1"/>
        <v>61</v>
      </c>
    </row>
    <row r="43" spans="1:25" x14ac:dyDescent="0.25">
      <c r="A43" s="46" t="s">
        <v>11</v>
      </c>
      <c r="B43">
        <v>10</v>
      </c>
      <c r="C43">
        <v>1</v>
      </c>
      <c r="D43">
        <v>3</v>
      </c>
      <c r="E43">
        <v>1</v>
      </c>
      <c r="F43">
        <v>5</v>
      </c>
      <c r="H43">
        <v>4</v>
      </c>
      <c r="I43">
        <v>4</v>
      </c>
      <c r="J43">
        <v>2</v>
      </c>
      <c r="K43">
        <v>5</v>
      </c>
      <c r="L43">
        <v>3</v>
      </c>
      <c r="N43">
        <v>10</v>
      </c>
      <c r="O43">
        <v>2</v>
      </c>
      <c r="P43">
        <v>3</v>
      </c>
      <c r="Q43">
        <v>2</v>
      </c>
      <c r="R43">
        <v>9</v>
      </c>
      <c r="S43">
        <v>3</v>
      </c>
      <c r="T43">
        <v>5</v>
      </c>
      <c r="U43">
        <v>3</v>
      </c>
      <c r="V43">
        <v>1</v>
      </c>
      <c r="W43">
        <v>4</v>
      </c>
      <c r="Y43">
        <f t="shared" si="1"/>
        <v>80</v>
      </c>
    </row>
    <row r="44" spans="1:25" x14ac:dyDescent="0.25">
      <c r="A44" s="47" t="s">
        <v>8</v>
      </c>
      <c r="B44">
        <v>6</v>
      </c>
      <c r="C44">
        <v>3</v>
      </c>
      <c r="D44">
        <v>1</v>
      </c>
      <c r="E44">
        <v>3</v>
      </c>
      <c r="F44">
        <v>4</v>
      </c>
      <c r="H44">
        <v>6</v>
      </c>
      <c r="I44">
        <v>8</v>
      </c>
      <c r="K44">
        <v>7</v>
      </c>
      <c r="L44">
        <v>4</v>
      </c>
      <c r="M44">
        <v>4</v>
      </c>
      <c r="P44">
        <v>3</v>
      </c>
      <c r="Q44">
        <v>2</v>
      </c>
      <c r="R44">
        <v>4</v>
      </c>
      <c r="S44">
        <v>4</v>
      </c>
      <c r="T44">
        <v>5</v>
      </c>
      <c r="V44">
        <v>1</v>
      </c>
      <c r="Y44">
        <f t="shared" si="1"/>
        <v>65</v>
      </c>
    </row>
    <row r="45" spans="1:25" x14ac:dyDescent="0.25">
      <c r="A45" s="48" t="s">
        <v>5</v>
      </c>
      <c r="B45">
        <v>14</v>
      </c>
      <c r="C45">
        <v>3</v>
      </c>
      <c r="D45">
        <v>1</v>
      </c>
      <c r="E45">
        <v>2</v>
      </c>
      <c r="F45">
        <v>2</v>
      </c>
      <c r="H45">
        <v>5</v>
      </c>
      <c r="I45">
        <v>3</v>
      </c>
      <c r="K45">
        <v>8</v>
      </c>
      <c r="L45">
        <v>1</v>
      </c>
      <c r="M45">
        <v>2</v>
      </c>
      <c r="N45">
        <v>5</v>
      </c>
      <c r="P45">
        <v>2</v>
      </c>
      <c r="Q45">
        <v>6</v>
      </c>
      <c r="R45">
        <v>6</v>
      </c>
      <c r="S45">
        <v>2</v>
      </c>
      <c r="T45">
        <v>6</v>
      </c>
      <c r="U45">
        <v>5</v>
      </c>
      <c r="V45">
        <v>2</v>
      </c>
      <c r="W45">
        <v>5</v>
      </c>
      <c r="Y45">
        <f t="shared" si="1"/>
        <v>80</v>
      </c>
    </row>
    <row r="46" spans="1:25" x14ac:dyDescent="0.25">
      <c r="A46" s="49" t="s">
        <v>44</v>
      </c>
      <c r="B46">
        <v>4</v>
      </c>
      <c r="C46">
        <v>4</v>
      </c>
      <c r="D46">
        <v>2</v>
      </c>
      <c r="E46">
        <v>8</v>
      </c>
      <c r="F46">
        <v>3</v>
      </c>
      <c r="G46">
        <v>2</v>
      </c>
      <c r="H46">
        <v>2</v>
      </c>
      <c r="I46">
        <v>2</v>
      </c>
      <c r="J46">
        <v>1</v>
      </c>
      <c r="K46">
        <v>2</v>
      </c>
      <c r="L46">
        <v>3</v>
      </c>
      <c r="N46">
        <v>2</v>
      </c>
      <c r="R46">
        <v>2</v>
      </c>
      <c r="T46">
        <v>1</v>
      </c>
      <c r="U46">
        <v>2</v>
      </c>
      <c r="V46">
        <v>4</v>
      </c>
      <c r="W46">
        <v>3</v>
      </c>
      <c r="Y46">
        <f t="shared" si="1"/>
        <v>47</v>
      </c>
    </row>
    <row r="47" spans="1:25" x14ac:dyDescent="0.25">
      <c r="A47" s="50" t="s">
        <v>1</v>
      </c>
      <c r="B47">
        <v>15</v>
      </c>
      <c r="C47">
        <v>3</v>
      </c>
      <c r="D47">
        <v>2</v>
      </c>
      <c r="E47">
        <v>2</v>
      </c>
      <c r="I47">
        <v>1</v>
      </c>
      <c r="J47">
        <v>2</v>
      </c>
      <c r="K47">
        <v>9</v>
      </c>
      <c r="L47">
        <v>1</v>
      </c>
      <c r="M47">
        <v>1</v>
      </c>
      <c r="P47">
        <v>2</v>
      </c>
      <c r="R47">
        <v>4</v>
      </c>
      <c r="S47">
        <v>2</v>
      </c>
      <c r="U47">
        <v>5</v>
      </c>
      <c r="V47">
        <v>3</v>
      </c>
      <c r="W47">
        <v>2</v>
      </c>
      <c r="Y47">
        <f t="shared" si="1"/>
        <v>54</v>
      </c>
    </row>
    <row r="48" spans="1:25" x14ac:dyDescent="0.25">
      <c r="A48" s="51" t="s">
        <v>10</v>
      </c>
      <c r="B48">
        <v>12</v>
      </c>
      <c r="E48">
        <v>1</v>
      </c>
      <c r="F48">
        <v>2</v>
      </c>
      <c r="G48">
        <v>2</v>
      </c>
      <c r="H48">
        <v>1</v>
      </c>
      <c r="I48">
        <v>6</v>
      </c>
      <c r="J48">
        <v>2</v>
      </c>
      <c r="K48">
        <v>3</v>
      </c>
      <c r="L48">
        <v>2</v>
      </c>
      <c r="S48">
        <v>2</v>
      </c>
      <c r="T48">
        <v>4</v>
      </c>
      <c r="U48">
        <v>3</v>
      </c>
      <c r="V48">
        <v>4</v>
      </c>
      <c r="W48">
        <v>2</v>
      </c>
      <c r="Y48">
        <f t="shared" si="1"/>
        <v>46</v>
      </c>
    </row>
    <row r="49" spans="1:25" x14ac:dyDescent="0.25">
      <c r="A49" s="52" t="s">
        <v>4</v>
      </c>
      <c r="B49">
        <v>6</v>
      </c>
      <c r="D49">
        <v>3</v>
      </c>
      <c r="E49">
        <v>1</v>
      </c>
      <c r="F49">
        <v>4</v>
      </c>
      <c r="H49">
        <v>7</v>
      </c>
      <c r="J49">
        <v>2</v>
      </c>
      <c r="K49">
        <v>3</v>
      </c>
      <c r="L49">
        <v>5</v>
      </c>
      <c r="N49">
        <v>3</v>
      </c>
      <c r="P49">
        <v>2</v>
      </c>
      <c r="Q49">
        <v>4</v>
      </c>
      <c r="U49">
        <v>1</v>
      </c>
      <c r="V49">
        <v>1</v>
      </c>
      <c r="Y49">
        <f t="shared" si="1"/>
        <v>42</v>
      </c>
    </row>
    <row r="50" spans="1:25" x14ac:dyDescent="0.25">
      <c r="A50" s="53" t="s">
        <v>9</v>
      </c>
      <c r="B50">
        <v>8</v>
      </c>
      <c r="C50">
        <v>3</v>
      </c>
      <c r="E50">
        <v>2</v>
      </c>
      <c r="F50">
        <v>8</v>
      </c>
      <c r="G50">
        <v>3</v>
      </c>
      <c r="H50">
        <v>2</v>
      </c>
      <c r="I50">
        <v>3</v>
      </c>
      <c r="J50">
        <v>3</v>
      </c>
      <c r="K50">
        <v>1</v>
      </c>
      <c r="N50">
        <v>3</v>
      </c>
      <c r="O50">
        <v>2</v>
      </c>
      <c r="P50">
        <v>3</v>
      </c>
      <c r="Q50">
        <v>2</v>
      </c>
      <c r="S50">
        <v>5</v>
      </c>
      <c r="U50">
        <v>2</v>
      </c>
      <c r="V50">
        <v>5</v>
      </c>
      <c r="W50">
        <v>2</v>
      </c>
      <c r="Y50">
        <f t="shared" si="1"/>
        <v>57</v>
      </c>
    </row>
    <row r="51" spans="1:25" x14ac:dyDescent="0.25">
      <c r="A51" s="54" t="s">
        <v>41</v>
      </c>
      <c r="B51">
        <v>1</v>
      </c>
      <c r="E51">
        <v>2</v>
      </c>
      <c r="F51">
        <v>2</v>
      </c>
      <c r="G51">
        <v>3</v>
      </c>
      <c r="H51">
        <v>1</v>
      </c>
      <c r="I51">
        <v>3</v>
      </c>
      <c r="K51">
        <v>3</v>
      </c>
      <c r="L51">
        <v>2</v>
      </c>
      <c r="N51">
        <v>2</v>
      </c>
      <c r="O51">
        <v>2</v>
      </c>
      <c r="Q51">
        <v>1</v>
      </c>
      <c r="S51">
        <v>6</v>
      </c>
      <c r="V51">
        <v>6</v>
      </c>
      <c r="Y51">
        <f t="shared" si="1"/>
        <v>34</v>
      </c>
    </row>
    <row r="52" spans="1:25" x14ac:dyDescent="0.25">
      <c r="A52" s="55" t="s">
        <v>6</v>
      </c>
      <c r="B52">
        <v>5</v>
      </c>
      <c r="D52">
        <v>5</v>
      </c>
      <c r="E52">
        <v>6</v>
      </c>
      <c r="F52">
        <v>4</v>
      </c>
      <c r="G52">
        <v>3</v>
      </c>
      <c r="I52">
        <v>7</v>
      </c>
      <c r="J52">
        <v>5</v>
      </c>
      <c r="K52">
        <v>5</v>
      </c>
      <c r="L52">
        <v>1</v>
      </c>
      <c r="N52">
        <v>2</v>
      </c>
      <c r="P52">
        <v>3</v>
      </c>
      <c r="Q52">
        <v>3</v>
      </c>
      <c r="R52">
        <v>2</v>
      </c>
      <c r="S52">
        <v>2</v>
      </c>
      <c r="U52">
        <v>3</v>
      </c>
      <c r="W52">
        <v>2</v>
      </c>
      <c r="Y52">
        <f t="shared" si="1"/>
        <v>58</v>
      </c>
    </row>
    <row r="53" spans="1:25" x14ac:dyDescent="0.25">
      <c r="A53" s="56" t="s">
        <v>15</v>
      </c>
      <c r="B53">
        <v>6</v>
      </c>
      <c r="C53">
        <v>2</v>
      </c>
      <c r="D53">
        <v>3</v>
      </c>
      <c r="E53">
        <v>7</v>
      </c>
      <c r="F53">
        <v>8</v>
      </c>
      <c r="G53">
        <v>4</v>
      </c>
      <c r="H53">
        <v>1</v>
      </c>
      <c r="I53">
        <v>5</v>
      </c>
      <c r="K53">
        <v>4</v>
      </c>
      <c r="L53">
        <v>5</v>
      </c>
      <c r="M53">
        <v>3</v>
      </c>
      <c r="N53">
        <v>6</v>
      </c>
      <c r="O53">
        <v>6</v>
      </c>
      <c r="P53">
        <v>1</v>
      </c>
      <c r="Q53">
        <v>6</v>
      </c>
      <c r="R53">
        <v>4</v>
      </c>
      <c r="S53">
        <v>8</v>
      </c>
      <c r="T53">
        <v>4</v>
      </c>
      <c r="U53">
        <v>4</v>
      </c>
      <c r="V53">
        <v>3</v>
      </c>
      <c r="Y53">
        <f t="shared" si="1"/>
        <v>90</v>
      </c>
    </row>
    <row r="54" spans="1:25" x14ac:dyDescent="0.25">
      <c r="A54" t="s">
        <v>610</v>
      </c>
    </row>
    <row r="55" spans="1:25" x14ac:dyDescent="0.25">
      <c r="A55" t="s">
        <v>40</v>
      </c>
      <c r="B55">
        <f>SUM(B33:B53)</f>
        <v>157</v>
      </c>
      <c r="C55">
        <f t="shared" ref="C55:W55" si="2">SUM(C33:C53)</f>
        <v>30</v>
      </c>
      <c r="D55">
        <f t="shared" si="2"/>
        <v>32</v>
      </c>
      <c r="E55">
        <f t="shared" si="2"/>
        <v>66</v>
      </c>
      <c r="F55">
        <f t="shared" si="2"/>
        <v>61</v>
      </c>
      <c r="G55">
        <f t="shared" si="2"/>
        <v>23</v>
      </c>
      <c r="H55">
        <f t="shared" si="2"/>
        <v>45</v>
      </c>
      <c r="I55">
        <f t="shared" si="2"/>
        <v>77</v>
      </c>
      <c r="J55">
        <f t="shared" si="2"/>
        <v>37</v>
      </c>
      <c r="K55">
        <f t="shared" si="2"/>
        <v>95</v>
      </c>
      <c r="L55">
        <f t="shared" si="2"/>
        <v>53</v>
      </c>
      <c r="M55">
        <f t="shared" si="2"/>
        <v>36</v>
      </c>
      <c r="N55">
        <f t="shared" si="2"/>
        <v>50</v>
      </c>
      <c r="O55">
        <f t="shared" si="2"/>
        <v>30</v>
      </c>
      <c r="P55">
        <f t="shared" si="2"/>
        <v>33</v>
      </c>
      <c r="Q55">
        <f t="shared" si="2"/>
        <v>44</v>
      </c>
      <c r="R55">
        <f t="shared" si="2"/>
        <v>64</v>
      </c>
      <c r="S55">
        <f t="shared" si="2"/>
        <v>58</v>
      </c>
      <c r="T55">
        <f t="shared" si="2"/>
        <v>50</v>
      </c>
      <c r="U55">
        <f t="shared" si="2"/>
        <v>41</v>
      </c>
      <c r="V55">
        <f t="shared" si="2"/>
        <v>62</v>
      </c>
      <c r="W55">
        <f t="shared" si="2"/>
        <v>42</v>
      </c>
      <c r="Y55">
        <f>SUM(Y33:Y53)</f>
        <v>1186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3:B15"/>
  <sheetViews>
    <sheetView workbookViewId="0">
      <selection activeCell="B11" sqref="B11"/>
    </sheetView>
  </sheetViews>
  <sheetFormatPr defaultRowHeight="15" x14ac:dyDescent="0.25"/>
  <cols>
    <col min="1" max="1" width="13.140625" bestFit="1" customWidth="1"/>
    <col min="2" max="2" width="19.42578125" bestFit="1" customWidth="1"/>
    <col min="4" max="4" width="56.42578125" bestFit="1" customWidth="1"/>
  </cols>
  <sheetData>
    <row r="3" spans="1:2" x14ac:dyDescent="0.25">
      <c r="A3" s="4" t="s">
        <v>39</v>
      </c>
      <c r="B3" t="s">
        <v>611</v>
      </c>
    </row>
    <row r="4" spans="1:2" x14ac:dyDescent="0.25">
      <c r="A4" s="2">
        <v>1</v>
      </c>
      <c r="B4">
        <v>200</v>
      </c>
    </row>
    <row r="5" spans="1:2" x14ac:dyDescent="0.25">
      <c r="A5" s="2">
        <v>2</v>
      </c>
      <c r="B5">
        <v>149</v>
      </c>
    </row>
    <row r="6" spans="1:2" x14ac:dyDescent="0.25">
      <c r="A6" s="2">
        <v>3</v>
      </c>
      <c r="B6">
        <v>149</v>
      </c>
    </row>
    <row r="7" spans="1:2" x14ac:dyDescent="0.25">
      <c r="A7" s="2">
        <v>4</v>
      </c>
      <c r="B7">
        <v>134</v>
      </c>
    </row>
    <row r="8" spans="1:2" x14ac:dyDescent="0.25">
      <c r="A8" s="2">
        <v>5</v>
      </c>
      <c r="B8">
        <v>208</v>
      </c>
    </row>
    <row r="9" spans="1:2" x14ac:dyDescent="0.25">
      <c r="A9" s="2">
        <v>6</v>
      </c>
      <c r="B9">
        <v>79</v>
      </c>
    </row>
    <row r="10" spans="1:2" x14ac:dyDescent="0.25">
      <c r="A10" s="2">
        <v>7</v>
      </c>
      <c r="B10">
        <v>86</v>
      </c>
    </row>
    <row r="11" spans="1:2" x14ac:dyDescent="0.25">
      <c r="A11" s="2">
        <v>8</v>
      </c>
      <c r="B11">
        <v>81</v>
      </c>
    </row>
    <row r="12" spans="1:2" x14ac:dyDescent="0.25">
      <c r="A12" s="2" t="s">
        <v>104</v>
      </c>
      <c r="B12">
        <v>48</v>
      </c>
    </row>
    <row r="13" spans="1:2" x14ac:dyDescent="0.25">
      <c r="A13" s="2" t="s">
        <v>610</v>
      </c>
    </row>
    <row r="14" spans="1:2" x14ac:dyDescent="0.25">
      <c r="A14" s="2">
        <v>9</v>
      </c>
      <c r="B14">
        <v>96</v>
      </c>
    </row>
    <row r="15" spans="1:2" x14ac:dyDescent="0.25">
      <c r="A15" s="2" t="s">
        <v>40</v>
      </c>
      <c r="B15">
        <v>1230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076"/>
  <sheetViews>
    <sheetView workbookViewId="0">
      <selection activeCell="B1068" sqref="B1068"/>
    </sheetView>
  </sheetViews>
  <sheetFormatPr defaultRowHeight="15" x14ac:dyDescent="0.25"/>
  <cols>
    <col min="1" max="1" width="22.85546875" customWidth="1"/>
    <col min="2" max="2" width="17.7109375" customWidth="1"/>
  </cols>
  <sheetData>
    <row r="1" spans="1:3" x14ac:dyDescent="0.25">
      <c r="A1" s="12" t="s">
        <v>20</v>
      </c>
      <c r="B1" s="12" t="s">
        <v>1670</v>
      </c>
      <c r="C1" t="s">
        <v>1671</v>
      </c>
    </row>
    <row r="2" spans="1:3" hidden="1" x14ac:dyDescent="0.25">
      <c r="A2" t="s">
        <v>868</v>
      </c>
      <c r="C2" t="b">
        <f>INDEX([1]Sheet3!$A$1:$M$1031,MATCH(A2,[1]Sheet3!$B:$B,0),13)</f>
        <v>0</v>
      </c>
    </row>
    <row r="3" spans="1:3" hidden="1" x14ac:dyDescent="0.25">
      <c r="A3" t="s">
        <v>869</v>
      </c>
      <c r="C3" t="b">
        <f>INDEX([1]Sheet3!$A$1:$M$1031,MATCH(A3,[1]Sheet3!$B:$B,0),13)</f>
        <v>0</v>
      </c>
    </row>
    <row r="4" spans="1:3" hidden="1" x14ac:dyDescent="0.25">
      <c r="A4" t="s">
        <v>870</v>
      </c>
      <c r="C4" t="b">
        <f>INDEX([1]Sheet3!$A$1:$M$1031,MATCH(A4,[1]Sheet3!$B:$B,0),13)</f>
        <v>0</v>
      </c>
    </row>
    <row r="5" spans="1:3" hidden="1" x14ac:dyDescent="0.25">
      <c r="A5" t="s">
        <v>871</v>
      </c>
      <c r="C5" t="b">
        <f>INDEX([1]Sheet3!$A$1:$M$1031,MATCH(A5,[1]Sheet3!$B:$B,0),13)</f>
        <v>0</v>
      </c>
    </row>
    <row r="6" spans="1:3" hidden="1" x14ac:dyDescent="0.25">
      <c r="A6" t="s">
        <v>872</v>
      </c>
      <c r="C6" t="b">
        <f>INDEX([1]Sheet3!$A$1:$M$1031,MATCH(A6,[1]Sheet3!$B:$B,0),13)</f>
        <v>0</v>
      </c>
    </row>
    <row r="7" spans="1:3" hidden="1" x14ac:dyDescent="0.25">
      <c r="A7" t="s">
        <v>873</v>
      </c>
      <c r="C7" t="b">
        <f>INDEX([1]Sheet3!$A$1:$M$1031,MATCH(A7,[1]Sheet3!$B:$B,0),13)</f>
        <v>0</v>
      </c>
    </row>
    <row r="8" spans="1:3" hidden="1" x14ac:dyDescent="0.25">
      <c r="A8" t="s">
        <v>863</v>
      </c>
      <c r="C8" t="b">
        <f>INDEX([1]Sheet3!$A$1:$M$1031,MATCH(A8,[1]Sheet3!$B:$B,0),13)</f>
        <v>0</v>
      </c>
    </row>
    <row r="9" spans="1:3" hidden="1" x14ac:dyDescent="0.25">
      <c r="A9" t="s">
        <v>864</v>
      </c>
      <c r="C9" t="b">
        <f>INDEX([1]Sheet3!$A$1:$M$1031,MATCH(A9,[1]Sheet3!$B:$B,0),13)</f>
        <v>0</v>
      </c>
    </row>
    <row r="10" spans="1:3" hidden="1" x14ac:dyDescent="0.25">
      <c r="A10" t="s">
        <v>865</v>
      </c>
      <c r="C10" t="b">
        <f>INDEX([1]Sheet3!$A$1:$M$1031,MATCH(A10,[1]Sheet3!$B:$B,0),13)</f>
        <v>0</v>
      </c>
    </row>
    <row r="11" spans="1:3" hidden="1" x14ac:dyDescent="0.25">
      <c r="A11" t="s">
        <v>874</v>
      </c>
      <c r="C11" t="b">
        <f>INDEX([1]Sheet3!$A$1:$M$1031,MATCH(A11,[1]Sheet3!$B:$B,0),13)</f>
        <v>0</v>
      </c>
    </row>
    <row r="12" spans="1:3" hidden="1" x14ac:dyDescent="0.25">
      <c r="A12" t="s">
        <v>875</v>
      </c>
      <c r="C12" t="b">
        <f>INDEX([1]Sheet3!$A$1:$M$1031,MATCH(A12,[1]Sheet3!$B:$B,0),13)</f>
        <v>0</v>
      </c>
    </row>
    <row r="13" spans="1:3" hidden="1" x14ac:dyDescent="0.25">
      <c r="A13" t="s">
        <v>876</v>
      </c>
      <c r="C13" t="b">
        <f>INDEX([1]Sheet3!$A$1:$M$1031,MATCH(A13,[1]Sheet3!$B:$B,0),13)</f>
        <v>0</v>
      </c>
    </row>
    <row r="14" spans="1:3" hidden="1" x14ac:dyDescent="0.25">
      <c r="A14" t="s">
        <v>877</v>
      </c>
      <c r="C14" t="b">
        <f>INDEX([1]Sheet3!$A$1:$M$1031,MATCH(A14,[1]Sheet3!$B:$B,0),13)</f>
        <v>0</v>
      </c>
    </row>
    <row r="15" spans="1:3" hidden="1" x14ac:dyDescent="0.25">
      <c r="A15" t="s">
        <v>878</v>
      </c>
      <c r="C15" t="b">
        <f>INDEX([1]Sheet3!$A$1:$M$1031,MATCH(A15,[1]Sheet3!$B:$B,0),13)</f>
        <v>0</v>
      </c>
    </row>
    <row r="16" spans="1:3" hidden="1" x14ac:dyDescent="0.25">
      <c r="A16" t="s">
        <v>879</v>
      </c>
      <c r="C16" t="b">
        <f>INDEX([1]Sheet3!$A$1:$M$1031,MATCH(A16,[1]Sheet3!$B:$B,0),13)</f>
        <v>0</v>
      </c>
    </row>
    <row r="17" spans="1:3" hidden="1" x14ac:dyDescent="0.25">
      <c r="A17" t="s">
        <v>880</v>
      </c>
      <c r="C17" t="b">
        <f>INDEX([1]Sheet3!$A$1:$M$1031,MATCH(A17,[1]Sheet3!$B:$B,0),13)</f>
        <v>0</v>
      </c>
    </row>
    <row r="18" spans="1:3" hidden="1" x14ac:dyDescent="0.25">
      <c r="A18" t="s">
        <v>881</v>
      </c>
      <c r="C18" t="b">
        <f>INDEX([1]Sheet3!$A$1:$M$1031,MATCH(A18,[1]Sheet3!$B:$B,0),13)</f>
        <v>0</v>
      </c>
    </row>
    <row r="19" spans="1:3" hidden="1" x14ac:dyDescent="0.25">
      <c r="A19" t="s">
        <v>882</v>
      </c>
      <c r="C19" t="b">
        <f>INDEX([1]Sheet3!$A$1:$M$1031,MATCH(A19,[1]Sheet3!$B:$B,0),13)</f>
        <v>0</v>
      </c>
    </row>
    <row r="20" spans="1:3" hidden="1" x14ac:dyDescent="0.25">
      <c r="A20" t="s">
        <v>883</v>
      </c>
      <c r="C20" t="b">
        <f>INDEX([1]Sheet3!$A$1:$M$1031,MATCH(A20,[1]Sheet3!$B:$B,0),13)</f>
        <v>0</v>
      </c>
    </row>
    <row r="21" spans="1:3" hidden="1" x14ac:dyDescent="0.25">
      <c r="A21" t="s">
        <v>884</v>
      </c>
      <c r="C21" t="b">
        <f>INDEX([1]Sheet3!$A$1:$M$1031,MATCH(A21,[1]Sheet3!$B:$B,0),13)</f>
        <v>0</v>
      </c>
    </row>
    <row r="22" spans="1:3" hidden="1" x14ac:dyDescent="0.25">
      <c r="A22" t="s">
        <v>885</v>
      </c>
      <c r="C22" t="b">
        <f>INDEX([1]Sheet3!$A$1:$M$1031,MATCH(A22,[1]Sheet3!$B:$B,0),13)</f>
        <v>0</v>
      </c>
    </row>
    <row r="23" spans="1:3" hidden="1" x14ac:dyDescent="0.25">
      <c r="A23" t="s">
        <v>886</v>
      </c>
      <c r="C23" t="b">
        <f>INDEX([1]Sheet3!$A$1:$M$1031,MATCH(A23,[1]Sheet3!$B:$B,0),13)</f>
        <v>0</v>
      </c>
    </row>
    <row r="24" spans="1:3" hidden="1" x14ac:dyDescent="0.25">
      <c r="A24" t="s">
        <v>887</v>
      </c>
      <c r="C24" t="b">
        <f>INDEX([1]Sheet3!$A$1:$M$1031,MATCH(A24,[1]Sheet3!$B:$B,0),13)</f>
        <v>0</v>
      </c>
    </row>
    <row r="25" spans="1:3" hidden="1" x14ac:dyDescent="0.25">
      <c r="A25" t="s">
        <v>888</v>
      </c>
      <c r="C25" t="b">
        <f>INDEX([1]Sheet3!$A$1:$M$1031,MATCH(A25,[1]Sheet3!$B:$B,0),13)</f>
        <v>0</v>
      </c>
    </row>
    <row r="26" spans="1:3" hidden="1" x14ac:dyDescent="0.25">
      <c r="A26" t="s">
        <v>889</v>
      </c>
      <c r="C26" t="b">
        <f>INDEX([1]Sheet3!$A$1:$M$1031,MATCH(A26,[1]Sheet3!$B:$B,0),13)</f>
        <v>0</v>
      </c>
    </row>
    <row r="27" spans="1:3" hidden="1" x14ac:dyDescent="0.25">
      <c r="A27" t="s">
        <v>890</v>
      </c>
      <c r="C27" t="b">
        <f>INDEX([1]Sheet3!$A$1:$M$1031,MATCH(A27,[1]Sheet3!$B:$B,0),13)</f>
        <v>0</v>
      </c>
    </row>
    <row r="28" spans="1:3" hidden="1" x14ac:dyDescent="0.25">
      <c r="A28" t="s">
        <v>866</v>
      </c>
      <c r="C28" t="b">
        <f>INDEX([1]Sheet3!$A$1:$M$1031,MATCH(A28,[1]Sheet3!$B:$B,0),13)</f>
        <v>0</v>
      </c>
    </row>
    <row r="29" spans="1:3" hidden="1" x14ac:dyDescent="0.25">
      <c r="A29" t="s">
        <v>867</v>
      </c>
      <c r="C29" t="b">
        <f>INDEX([1]Sheet3!$A$1:$M$1031,MATCH(A29,[1]Sheet3!$B:$B,0),13)</f>
        <v>0</v>
      </c>
    </row>
    <row r="30" spans="1:3" hidden="1" x14ac:dyDescent="0.25">
      <c r="A30" t="s">
        <v>891</v>
      </c>
      <c r="C30" t="b">
        <f>INDEX([1]Sheet3!$A$1:$M$1031,MATCH(A30,[1]Sheet3!$B:$B,0),13)</f>
        <v>0</v>
      </c>
    </row>
    <row r="31" spans="1:3" hidden="1" x14ac:dyDescent="0.25">
      <c r="A31" t="s">
        <v>892</v>
      </c>
      <c r="C31" t="b">
        <f>INDEX([1]Sheet3!$A$1:$M$1031,MATCH(A31,[1]Sheet3!$B:$B,0),13)</f>
        <v>0</v>
      </c>
    </row>
    <row r="32" spans="1:3" hidden="1" x14ac:dyDescent="0.25">
      <c r="A32" t="s">
        <v>893</v>
      </c>
      <c r="C32" t="b">
        <f>INDEX([1]Sheet3!$A$1:$M$1031,MATCH(A32,[1]Sheet3!$B:$B,0),13)</f>
        <v>0</v>
      </c>
    </row>
    <row r="33" spans="1:3" hidden="1" x14ac:dyDescent="0.25">
      <c r="A33" t="s">
        <v>894</v>
      </c>
      <c r="C33" t="b">
        <f>INDEX([1]Sheet3!$A$1:$M$1031,MATCH(A33,[1]Sheet3!$B:$B,0),13)</f>
        <v>0</v>
      </c>
    </row>
    <row r="34" spans="1:3" hidden="1" x14ac:dyDescent="0.25">
      <c r="A34" t="s">
        <v>895</v>
      </c>
      <c r="C34" t="b">
        <f>INDEX([1]Sheet3!$A$1:$M$1031,MATCH(A34,[1]Sheet3!$B:$B,0),13)</f>
        <v>0</v>
      </c>
    </row>
    <row r="35" spans="1:3" hidden="1" x14ac:dyDescent="0.25">
      <c r="A35" t="s">
        <v>896</v>
      </c>
      <c r="C35" t="b">
        <f>INDEX([1]Sheet3!$A$1:$M$1031,MATCH(A35,[1]Sheet3!$B:$B,0),13)</f>
        <v>0</v>
      </c>
    </row>
    <row r="36" spans="1:3" hidden="1" x14ac:dyDescent="0.25">
      <c r="A36" t="s">
        <v>897</v>
      </c>
      <c r="C36" t="b">
        <f>INDEX([1]Sheet3!$A$1:$M$1031,MATCH(A36,[1]Sheet3!$B:$B,0),13)</f>
        <v>0</v>
      </c>
    </row>
    <row r="37" spans="1:3" hidden="1" x14ac:dyDescent="0.25">
      <c r="A37" t="s">
        <v>898</v>
      </c>
      <c r="C37" t="b">
        <f>INDEX([1]Sheet3!$A$1:$M$1031,MATCH(A37,[1]Sheet3!$B:$B,0),13)</f>
        <v>0</v>
      </c>
    </row>
    <row r="38" spans="1:3" hidden="1" x14ac:dyDescent="0.25">
      <c r="A38" t="s">
        <v>899</v>
      </c>
      <c r="C38" t="b">
        <f>INDEX([1]Sheet3!$A$1:$M$1031,MATCH(A38,[1]Sheet3!$B:$B,0),13)</f>
        <v>0</v>
      </c>
    </row>
    <row r="39" spans="1:3" hidden="1" x14ac:dyDescent="0.25">
      <c r="A39" t="s">
        <v>900</v>
      </c>
      <c r="C39" t="b">
        <f>INDEX([1]Sheet3!$A$1:$M$1031,MATCH(A39,[1]Sheet3!$B:$B,0),13)</f>
        <v>0</v>
      </c>
    </row>
    <row r="40" spans="1:3" hidden="1" x14ac:dyDescent="0.25">
      <c r="A40" t="s">
        <v>901</v>
      </c>
      <c r="C40" t="b">
        <f>INDEX([1]Sheet3!$A$1:$M$1031,MATCH(A40,[1]Sheet3!$B:$B,0),13)</f>
        <v>0</v>
      </c>
    </row>
    <row r="41" spans="1:3" hidden="1" x14ac:dyDescent="0.25">
      <c r="A41" t="s">
        <v>902</v>
      </c>
      <c r="C41" t="b">
        <f>INDEX([1]Sheet3!$A$1:$M$1031,MATCH(A41,[1]Sheet3!$B:$B,0),13)</f>
        <v>0</v>
      </c>
    </row>
    <row r="42" spans="1:3" hidden="1" x14ac:dyDescent="0.25">
      <c r="A42" t="s">
        <v>903</v>
      </c>
      <c r="C42" t="b">
        <f>INDEX([1]Sheet3!$A$1:$M$1031,MATCH(A42,[1]Sheet3!$B:$B,0),13)</f>
        <v>0</v>
      </c>
    </row>
    <row r="43" spans="1:3" hidden="1" x14ac:dyDescent="0.25">
      <c r="A43" t="s">
        <v>904</v>
      </c>
      <c r="C43" t="b">
        <f>INDEX([1]Sheet3!$A$1:$M$1031,MATCH(A43,[1]Sheet3!$B:$B,0),13)</f>
        <v>0</v>
      </c>
    </row>
    <row r="44" spans="1:3" hidden="1" x14ac:dyDescent="0.25">
      <c r="A44" t="s">
        <v>905</v>
      </c>
      <c r="C44" t="b">
        <f>INDEX([1]Sheet3!$A$1:$M$1031,MATCH(A44,[1]Sheet3!$B:$B,0),13)</f>
        <v>0</v>
      </c>
    </row>
    <row r="45" spans="1:3" hidden="1" x14ac:dyDescent="0.25">
      <c r="A45" t="s">
        <v>906</v>
      </c>
      <c r="C45" t="b">
        <f>INDEX([1]Sheet3!$A$1:$M$1031,MATCH(A45,[1]Sheet3!$B:$B,0),13)</f>
        <v>0</v>
      </c>
    </row>
    <row r="46" spans="1:3" hidden="1" x14ac:dyDescent="0.25">
      <c r="A46" t="s">
        <v>907</v>
      </c>
      <c r="C46" t="b">
        <f>INDEX([1]Sheet3!$A$1:$M$1031,MATCH(A46,[1]Sheet3!$B:$B,0),13)</f>
        <v>0</v>
      </c>
    </row>
    <row r="47" spans="1:3" hidden="1" x14ac:dyDescent="0.25">
      <c r="A47" t="s">
        <v>908</v>
      </c>
      <c r="C47" t="b">
        <f>INDEX([1]Sheet3!$A$1:$M$1031,MATCH(A47,[1]Sheet3!$B:$B,0),13)</f>
        <v>0</v>
      </c>
    </row>
    <row r="48" spans="1:3" hidden="1" x14ac:dyDescent="0.25">
      <c r="A48" t="s">
        <v>909</v>
      </c>
      <c r="C48" t="b">
        <f>INDEX([1]Sheet3!$A$1:$M$1031,MATCH(A48,[1]Sheet3!$B:$B,0),13)</f>
        <v>0</v>
      </c>
    </row>
    <row r="49" spans="1:3" hidden="1" x14ac:dyDescent="0.25">
      <c r="A49" t="s">
        <v>910</v>
      </c>
      <c r="C49" t="b">
        <f>INDEX([1]Sheet3!$A$1:$M$1031,MATCH(A49,[1]Sheet3!$B:$B,0),13)</f>
        <v>0</v>
      </c>
    </row>
    <row r="50" spans="1:3" hidden="1" x14ac:dyDescent="0.25">
      <c r="A50" t="s">
        <v>911</v>
      </c>
      <c r="C50" t="b">
        <f>INDEX([1]Sheet3!$A$1:$M$1031,MATCH(A50,[1]Sheet3!$B:$B,0),13)</f>
        <v>0</v>
      </c>
    </row>
    <row r="51" spans="1:3" hidden="1" x14ac:dyDescent="0.25">
      <c r="A51" t="s">
        <v>912</v>
      </c>
      <c r="C51" t="b">
        <f>INDEX([1]Sheet3!$A$1:$M$1031,MATCH(A51,[1]Sheet3!$B:$B,0),13)</f>
        <v>0</v>
      </c>
    </row>
    <row r="52" spans="1:3" hidden="1" x14ac:dyDescent="0.25">
      <c r="A52" t="s">
        <v>913</v>
      </c>
      <c r="C52" t="b">
        <f>INDEX([1]Sheet3!$A$1:$M$1031,MATCH(A52,[1]Sheet3!$B:$B,0),13)</f>
        <v>0</v>
      </c>
    </row>
    <row r="53" spans="1:3" hidden="1" x14ac:dyDescent="0.25">
      <c r="A53" t="s">
        <v>914</v>
      </c>
      <c r="C53" t="b">
        <f>INDEX([1]Sheet3!$A$1:$M$1031,MATCH(A53,[1]Sheet3!$B:$B,0),13)</f>
        <v>0</v>
      </c>
    </row>
    <row r="54" spans="1:3" hidden="1" x14ac:dyDescent="0.25">
      <c r="A54" t="s">
        <v>915</v>
      </c>
      <c r="C54" t="b">
        <f>INDEX([1]Sheet3!$A$1:$M$1031,MATCH(A54,[1]Sheet3!$B:$B,0),13)</f>
        <v>0</v>
      </c>
    </row>
    <row r="55" spans="1:3" hidden="1" x14ac:dyDescent="0.25">
      <c r="A55" t="s">
        <v>916</v>
      </c>
      <c r="C55" t="b">
        <f>INDEX([1]Sheet3!$A$1:$M$1031,MATCH(A55,[1]Sheet3!$B:$B,0),13)</f>
        <v>0</v>
      </c>
    </row>
    <row r="56" spans="1:3" hidden="1" x14ac:dyDescent="0.25">
      <c r="A56" t="s">
        <v>917</v>
      </c>
      <c r="C56" t="b">
        <f>INDEX([1]Sheet3!$A$1:$M$1031,MATCH(A56,[1]Sheet3!$B:$B,0),13)</f>
        <v>0</v>
      </c>
    </row>
    <row r="57" spans="1:3" hidden="1" x14ac:dyDescent="0.25">
      <c r="A57" t="s">
        <v>918</v>
      </c>
      <c r="C57" t="b">
        <f>INDEX([1]Sheet3!$A$1:$M$1031,MATCH(A57,[1]Sheet3!$B:$B,0),13)</f>
        <v>0</v>
      </c>
    </row>
    <row r="58" spans="1:3" hidden="1" x14ac:dyDescent="0.25">
      <c r="A58" t="s">
        <v>919</v>
      </c>
      <c r="C58" t="b">
        <f>INDEX([1]Sheet3!$A$1:$M$1031,MATCH(A58,[1]Sheet3!$B:$B,0),13)</f>
        <v>0</v>
      </c>
    </row>
    <row r="59" spans="1:3" hidden="1" x14ac:dyDescent="0.25">
      <c r="A59" t="s">
        <v>920</v>
      </c>
      <c r="C59" t="b">
        <f>INDEX([1]Sheet3!$A$1:$M$1031,MATCH(A59,[1]Sheet3!$B:$B,0),13)</f>
        <v>0</v>
      </c>
    </row>
    <row r="60" spans="1:3" hidden="1" x14ac:dyDescent="0.25">
      <c r="A60" t="s">
        <v>921</v>
      </c>
      <c r="C60" t="b">
        <f>INDEX([1]Sheet3!$A$1:$M$1031,MATCH(A60,[1]Sheet3!$B:$B,0),13)</f>
        <v>0</v>
      </c>
    </row>
    <row r="61" spans="1:3" hidden="1" x14ac:dyDescent="0.25">
      <c r="A61" t="s">
        <v>922</v>
      </c>
      <c r="C61" t="b">
        <f>INDEX([1]Sheet3!$A$1:$M$1031,MATCH(A61,[1]Sheet3!$B:$B,0),13)</f>
        <v>0</v>
      </c>
    </row>
    <row r="62" spans="1:3" hidden="1" x14ac:dyDescent="0.25">
      <c r="A62" t="s">
        <v>923</v>
      </c>
      <c r="C62" t="b">
        <f>INDEX([1]Sheet3!$A$1:$M$1031,MATCH(A62,[1]Sheet3!$B:$B,0),13)</f>
        <v>0</v>
      </c>
    </row>
    <row r="63" spans="1:3" hidden="1" x14ac:dyDescent="0.25">
      <c r="A63" t="s">
        <v>924</v>
      </c>
      <c r="C63" t="b">
        <f>INDEX([1]Sheet3!$A$1:$M$1031,MATCH(A63,[1]Sheet3!$B:$B,0),13)</f>
        <v>0</v>
      </c>
    </row>
    <row r="64" spans="1:3" hidden="1" x14ac:dyDescent="0.25">
      <c r="A64" t="s">
        <v>925</v>
      </c>
      <c r="C64" t="b">
        <f>INDEX([1]Sheet3!$A$1:$M$1031,MATCH(A64,[1]Sheet3!$B:$B,0),13)</f>
        <v>0</v>
      </c>
    </row>
    <row r="65" spans="1:3" hidden="1" x14ac:dyDescent="0.25">
      <c r="A65" t="s">
        <v>926</v>
      </c>
      <c r="C65" t="b">
        <f>INDEX([1]Sheet3!$A$1:$M$1031,MATCH(A65,[1]Sheet3!$B:$B,0),13)</f>
        <v>0</v>
      </c>
    </row>
    <row r="66" spans="1:3" hidden="1" x14ac:dyDescent="0.25">
      <c r="A66" t="s">
        <v>927</v>
      </c>
      <c r="C66" t="b">
        <f>INDEX([1]Sheet3!$A$1:$M$1031,MATCH(A66,[1]Sheet3!$B:$B,0),13)</f>
        <v>0</v>
      </c>
    </row>
    <row r="67" spans="1:3" hidden="1" x14ac:dyDescent="0.25">
      <c r="A67" t="s">
        <v>928</v>
      </c>
      <c r="C67" t="b">
        <f>INDEX([1]Sheet3!$A$1:$M$1031,MATCH(A67,[1]Sheet3!$B:$B,0),13)</f>
        <v>0</v>
      </c>
    </row>
    <row r="68" spans="1:3" hidden="1" x14ac:dyDescent="0.25">
      <c r="A68" t="s">
        <v>929</v>
      </c>
      <c r="C68" t="b">
        <f>INDEX([1]Sheet3!$A$1:$M$1031,MATCH(A68,[1]Sheet3!$B:$B,0),13)</f>
        <v>0</v>
      </c>
    </row>
    <row r="69" spans="1:3" hidden="1" x14ac:dyDescent="0.25">
      <c r="A69" t="s">
        <v>930</v>
      </c>
      <c r="C69" t="b">
        <f>INDEX([1]Sheet3!$A$1:$M$1031,MATCH(A69,[1]Sheet3!$B:$B,0),13)</f>
        <v>0</v>
      </c>
    </row>
    <row r="70" spans="1:3" hidden="1" x14ac:dyDescent="0.25">
      <c r="A70" t="s">
        <v>931</v>
      </c>
      <c r="C70" t="b">
        <f>INDEX([1]Sheet3!$A$1:$M$1031,MATCH(A70,[1]Sheet3!$B:$B,0),13)</f>
        <v>0</v>
      </c>
    </row>
    <row r="71" spans="1:3" hidden="1" x14ac:dyDescent="0.25">
      <c r="A71" t="s">
        <v>932</v>
      </c>
      <c r="C71" t="b">
        <f>INDEX([1]Sheet3!$A$1:$M$1031,MATCH(A71,[1]Sheet3!$B:$B,0),13)</f>
        <v>0</v>
      </c>
    </row>
    <row r="72" spans="1:3" hidden="1" x14ac:dyDescent="0.25">
      <c r="A72" t="s">
        <v>933</v>
      </c>
      <c r="C72" t="b">
        <f>INDEX([1]Sheet3!$A$1:$M$1031,MATCH(A72,[1]Sheet3!$B:$B,0),13)</f>
        <v>0</v>
      </c>
    </row>
    <row r="73" spans="1:3" hidden="1" x14ac:dyDescent="0.25">
      <c r="A73" t="s">
        <v>934</v>
      </c>
      <c r="C73" t="b">
        <f>INDEX([1]Sheet3!$A$1:$M$1031,MATCH(A73,[1]Sheet3!$B:$B,0),13)</f>
        <v>0</v>
      </c>
    </row>
    <row r="74" spans="1:3" hidden="1" x14ac:dyDescent="0.25">
      <c r="A74" t="s">
        <v>935</v>
      </c>
      <c r="C74" t="b">
        <f>INDEX([1]Sheet3!$A$1:$M$1031,MATCH(A74,[1]Sheet3!$B:$B,0),13)</f>
        <v>0</v>
      </c>
    </row>
    <row r="75" spans="1:3" hidden="1" x14ac:dyDescent="0.25">
      <c r="A75" t="s">
        <v>936</v>
      </c>
      <c r="C75" t="b">
        <f>INDEX([1]Sheet3!$A$1:$M$1031,MATCH(A75,[1]Sheet3!$B:$B,0),13)</f>
        <v>0</v>
      </c>
    </row>
    <row r="76" spans="1:3" hidden="1" x14ac:dyDescent="0.25">
      <c r="A76" t="s">
        <v>937</v>
      </c>
      <c r="C76" t="b">
        <f>INDEX([1]Sheet3!$A$1:$M$1031,MATCH(A76,[1]Sheet3!$B:$B,0),13)</f>
        <v>0</v>
      </c>
    </row>
    <row r="77" spans="1:3" hidden="1" x14ac:dyDescent="0.25">
      <c r="A77" t="s">
        <v>938</v>
      </c>
      <c r="C77" t="b">
        <f>INDEX([1]Sheet3!$A$1:$M$1031,MATCH(A77,[1]Sheet3!$B:$B,0),13)</f>
        <v>0</v>
      </c>
    </row>
    <row r="78" spans="1:3" hidden="1" x14ac:dyDescent="0.25">
      <c r="A78" t="s">
        <v>939</v>
      </c>
      <c r="C78" t="b">
        <f>INDEX([1]Sheet3!$A$1:$M$1031,MATCH(A78,[1]Sheet3!$B:$B,0),13)</f>
        <v>0</v>
      </c>
    </row>
    <row r="79" spans="1:3" hidden="1" x14ac:dyDescent="0.25">
      <c r="A79" t="s">
        <v>940</v>
      </c>
      <c r="C79" t="b">
        <f>INDEX([1]Sheet3!$A$1:$M$1031,MATCH(A79,[1]Sheet3!$B:$B,0),13)</f>
        <v>0</v>
      </c>
    </row>
    <row r="80" spans="1:3" hidden="1" x14ac:dyDescent="0.25">
      <c r="A80" t="s">
        <v>941</v>
      </c>
      <c r="C80" t="b">
        <f>INDEX([1]Sheet3!$A$1:$M$1031,MATCH(A80,[1]Sheet3!$B:$B,0),13)</f>
        <v>0</v>
      </c>
    </row>
    <row r="81" spans="1:3" hidden="1" x14ac:dyDescent="0.25">
      <c r="A81" t="s">
        <v>942</v>
      </c>
      <c r="C81" t="b">
        <f>INDEX([1]Sheet3!$A$1:$M$1031,MATCH(A81,[1]Sheet3!$B:$B,0),13)</f>
        <v>0</v>
      </c>
    </row>
    <row r="82" spans="1:3" hidden="1" x14ac:dyDescent="0.25">
      <c r="A82" t="s">
        <v>943</v>
      </c>
      <c r="C82" t="b">
        <f>INDEX([1]Sheet3!$A$1:$M$1031,MATCH(A82,[1]Sheet3!$B:$B,0),13)</f>
        <v>0</v>
      </c>
    </row>
    <row r="83" spans="1:3" hidden="1" x14ac:dyDescent="0.25">
      <c r="A83" t="s">
        <v>944</v>
      </c>
      <c r="C83" t="b">
        <f>INDEX([1]Sheet3!$A$1:$M$1031,MATCH(A83,[1]Sheet3!$B:$B,0),13)</f>
        <v>0</v>
      </c>
    </row>
    <row r="84" spans="1:3" hidden="1" x14ac:dyDescent="0.25">
      <c r="A84" t="s">
        <v>945</v>
      </c>
      <c r="C84" t="b">
        <f>INDEX([1]Sheet3!$A$1:$M$1031,MATCH(A84,[1]Sheet3!$B:$B,0),13)</f>
        <v>0</v>
      </c>
    </row>
    <row r="85" spans="1:3" hidden="1" x14ac:dyDescent="0.25">
      <c r="A85" t="s">
        <v>946</v>
      </c>
      <c r="C85" t="b">
        <f>INDEX([1]Sheet3!$A$1:$M$1031,MATCH(A85,[1]Sheet3!$B:$B,0),13)</f>
        <v>0</v>
      </c>
    </row>
    <row r="86" spans="1:3" hidden="1" x14ac:dyDescent="0.25">
      <c r="A86" t="s">
        <v>947</v>
      </c>
      <c r="C86" t="b">
        <f>INDEX([1]Sheet3!$A$1:$M$1031,MATCH(A86,[1]Sheet3!$B:$B,0),13)</f>
        <v>0</v>
      </c>
    </row>
    <row r="87" spans="1:3" hidden="1" x14ac:dyDescent="0.25">
      <c r="A87" t="s">
        <v>948</v>
      </c>
      <c r="C87" t="b">
        <f>INDEX([1]Sheet3!$A$1:$M$1031,MATCH(A87,[1]Sheet3!$B:$B,0),13)</f>
        <v>0</v>
      </c>
    </row>
    <row r="88" spans="1:3" hidden="1" x14ac:dyDescent="0.25">
      <c r="A88" t="s">
        <v>949</v>
      </c>
      <c r="C88" t="b">
        <f>INDEX([1]Sheet3!$A$1:$M$1031,MATCH(A88,[1]Sheet3!$B:$B,0),13)</f>
        <v>0</v>
      </c>
    </row>
    <row r="89" spans="1:3" hidden="1" x14ac:dyDescent="0.25">
      <c r="A89" t="s">
        <v>950</v>
      </c>
      <c r="C89" t="b">
        <f>INDEX([1]Sheet3!$A$1:$M$1031,MATCH(A89,[1]Sheet3!$B:$B,0),13)</f>
        <v>0</v>
      </c>
    </row>
    <row r="90" spans="1:3" hidden="1" x14ac:dyDescent="0.25">
      <c r="A90" t="s">
        <v>951</v>
      </c>
      <c r="C90" t="b">
        <f>INDEX([1]Sheet3!$A$1:$M$1031,MATCH(A90,[1]Sheet3!$B:$B,0),13)</f>
        <v>0</v>
      </c>
    </row>
    <row r="91" spans="1:3" hidden="1" x14ac:dyDescent="0.25">
      <c r="A91" t="s">
        <v>952</v>
      </c>
      <c r="C91" t="b">
        <f>INDEX([1]Sheet3!$A$1:$M$1031,MATCH(A91,[1]Sheet3!$B:$B,0),13)</f>
        <v>0</v>
      </c>
    </row>
    <row r="92" spans="1:3" hidden="1" x14ac:dyDescent="0.25">
      <c r="A92" t="s">
        <v>953</v>
      </c>
      <c r="C92" t="b">
        <f>INDEX([1]Sheet3!$A$1:$M$1031,MATCH(A92,[1]Sheet3!$B:$B,0),13)</f>
        <v>0</v>
      </c>
    </row>
    <row r="93" spans="1:3" hidden="1" x14ac:dyDescent="0.25">
      <c r="A93" t="s">
        <v>954</v>
      </c>
      <c r="C93" t="b">
        <f>INDEX([1]Sheet3!$A$1:$M$1031,MATCH(A93,[1]Sheet3!$B:$B,0),13)</f>
        <v>0</v>
      </c>
    </row>
    <row r="94" spans="1:3" hidden="1" x14ac:dyDescent="0.25">
      <c r="A94" t="s">
        <v>955</v>
      </c>
      <c r="C94" t="b">
        <f>INDEX([1]Sheet3!$A$1:$M$1031,MATCH(A94,[1]Sheet3!$B:$B,0),13)</f>
        <v>0</v>
      </c>
    </row>
    <row r="95" spans="1:3" hidden="1" x14ac:dyDescent="0.25">
      <c r="A95" t="s">
        <v>956</v>
      </c>
      <c r="C95" t="b">
        <f>INDEX([1]Sheet3!$A$1:$M$1031,MATCH(A95,[1]Sheet3!$B:$B,0),13)</f>
        <v>0</v>
      </c>
    </row>
    <row r="96" spans="1:3" hidden="1" x14ac:dyDescent="0.25">
      <c r="A96" t="s">
        <v>957</v>
      </c>
      <c r="C96" t="b">
        <f>INDEX([1]Sheet3!$A$1:$M$1031,MATCH(A96,[1]Sheet3!$B:$B,0),13)</f>
        <v>0</v>
      </c>
    </row>
    <row r="97" spans="1:5" hidden="1" x14ac:dyDescent="0.25">
      <c r="A97" t="s">
        <v>958</v>
      </c>
      <c r="C97" t="b">
        <f>INDEX([1]Sheet3!$A$1:$M$1031,MATCH(A97,[1]Sheet3!$B:$B,0),13)</f>
        <v>0</v>
      </c>
    </row>
    <row r="98" spans="1:5" hidden="1" x14ac:dyDescent="0.25">
      <c r="A98" t="s">
        <v>959</v>
      </c>
      <c r="C98" t="b">
        <f>INDEX([1]Sheet3!$A$1:$M$1031,MATCH(A98,[1]Sheet3!$B:$B,0),13)</f>
        <v>0</v>
      </c>
    </row>
    <row r="99" spans="1:5" hidden="1" x14ac:dyDescent="0.25">
      <c r="A99" t="s">
        <v>960</v>
      </c>
      <c r="C99" t="b">
        <f>INDEX([1]Sheet3!$A$1:$M$1031,MATCH(A99,[1]Sheet3!$B:$B,0),13)</f>
        <v>0</v>
      </c>
    </row>
    <row r="100" spans="1:5" hidden="1" x14ac:dyDescent="0.25">
      <c r="A100" t="s">
        <v>961</v>
      </c>
      <c r="C100" t="b">
        <f>INDEX([1]Sheet3!$A$1:$M$1031,MATCH(A100,[1]Sheet3!$B:$B,0),13)</f>
        <v>0</v>
      </c>
    </row>
    <row r="101" spans="1:5" hidden="1" x14ac:dyDescent="0.25">
      <c r="A101" t="s">
        <v>962</v>
      </c>
      <c r="C101" t="b">
        <f>INDEX([1]Sheet3!$A$1:$M$1031,MATCH(A101,[1]Sheet3!$B:$B,0),13)</f>
        <v>0</v>
      </c>
    </row>
    <row r="102" spans="1:5" hidden="1" x14ac:dyDescent="0.25">
      <c r="A102" t="s">
        <v>963</v>
      </c>
      <c r="C102" t="b">
        <f>INDEX([1]Sheet3!$A$1:$M$1031,MATCH(A102,[1]Sheet3!$B:$B,0),13)</f>
        <v>0</v>
      </c>
    </row>
    <row r="103" spans="1:5" hidden="1" x14ac:dyDescent="0.25">
      <c r="A103" t="s">
        <v>964</v>
      </c>
      <c r="C103" t="b">
        <f>INDEX([1]Sheet3!$A$1:$M$1031,MATCH(A103,[1]Sheet3!$B:$B,0),13)</f>
        <v>0</v>
      </c>
    </row>
    <row r="104" spans="1:5" hidden="1" x14ac:dyDescent="0.25">
      <c r="A104" t="s">
        <v>965</v>
      </c>
      <c r="C104" t="b">
        <f>INDEX([1]Sheet3!$A$1:$M$1031,MATCH(A104,[1]Sheet3!$B:$B,0),13)</f>
        <v>0</v>
      </c>
    </row>
    <row r="105" spans="1:5" hidden="1" x14ac:dyDescent="0.25">
      <c r="A105" t="s">
        <v>966</v>
      </c>
      <c r="C105" t="b">
        <f>INDEX([1]Sheet3!$A$1:$M$1031,MATCH(A105,[1]Sheet3!$B:$B,0),13)</f>
        <v>0</v>
      </c>
    </row>
    <row r="106" spans="1:5" hidden="1" x14ac:dyDescent="0.25">
      <c r="A106" t="s">
        <v>967</v>
      </c>
      <c r="C106" t="b">
        <f>INDEX([1]Sheet3!$A$1:$M$1031,MATCH(A106,[1]Sheet3!$B:$B,0),13)</f>
        <v>0</v>
      </c>
    </row>
    <row r="107" spans="1:5" hidden="1" x14ac:dyDescent="0.25">
      <c r="A107" t="s">
        <v>968</v>
      </c>
      <c r="C107" t="b">
        <f>INDEX([1]Sheet3!$A$1:$M$1031,MATCH(A107,[1]Sheet3!$B:$B,0),13)</f>
        <v>0</v>
      </c>
    </row>
    <row r="108" spans="1:5" hidden="1" x14ac:dyDescent="0.25">
      <c r="A108" t="s">
        <v>969</v>
      </c>
      <c r="C108" t="b">
        <f>INDEX([1]Sheet3!$A$1:$M$1031,MATCH(A108,[1]Sheet3!$B:$B,0),13)</f>
        <v>0</v>
      </c>
    </row>
    <row r="109" spans="1:5" hidden="1" x14ac:dyDescent="0.25">
      <c r="A109" t="s">
        <v>970</v>
      </c>
      <c r="C109" t="b">
        <f>INDEX([1]Sheet3!$A$1:$M$1031,MATCH(A109,[1]Sheet3!$B:$B,0),13)</f>
        <v>0</v>
      </c>
      <c r="E109" t="s">
        <v>2078</v>
      </c>
    </row>
    <row r="110" spans="1:5" hidden="1" x14ac:dyDescent="0.25">
      <c r="A110" t="s">
        <v>971</v>
      </c>
      <c r="C110" t="b">
        <f>INDEX([1]Sheet3!$A$1:$M$1031,MATCH(A110,[1]Sheet3!$B:$B,0),13)</f>
        <v>0</v>
      </c>
    </row>
    <row r="111" spans="1:5" hidden="1" x14ac:dyDescent="0.25">
      <c r="A111" t="s">
        <v>972</v>
      </c>
      <c r="C111" t="b">
        <f>INDEX([1]Sheet3!$A$1:$M$1031,MATCH(A111,[1]Sheet3!$B:$B,0),13)</f>
        <v>0</v>
      </c>
    </row>
    <row r="112" spans="1:5" hidden="1" x14ac:dyDescent="0.25">
      <c r="A112" t="s">
        <v>973</v>
      </c>
      <c r="C112" t="b">
        <f>INDEX([1]Sheet3!$A$1:$M$1031,MATCH(A112,[1]Sheet3!$B:$B,0),13)</f>
        <v>0</v>
      </c>
    </row>
    <row r="113" spans="1:3" hidden="1" x14ac:dyDescent="0.25">
      <c r="A113" t="s">
        <v>974</v>
      </c>
      <c r="C113" t="b">
        <f>INDEX([1]Sheet3!$A$1:$M$1031,MATCH(A113,[1]Sheet3!$B:$B,0),13)</f>
        <v>0</v>
      </c>
    </row>
    <row r="114" spans="1:3" hidden="1" x14ac:dyDescent="0.25">
      <c r="A114" t="s">
        <v>975</v>
      </c>
      <c r="C114" t="b">
        <f>INDEX([1]Sheet3!$A$1:$M$1031,MATCH(A114,[1]Sheet3!$B:$B,0),13)</f>
        <v>0</v>
      </c>
    </row>
    <row r="115" spans="1:3" hidden="1" x14ac:dyDescent="0.25">
      <c r="A115" t="s">
        <v>976</v>
      </c>
      <c r="C115" t="b">
        <f>INDEX([1]Sheet3!$A$1:$M$1031,MATCH(A115,[1]Sheet3!$B:$B,0),13)</f>
        <v>0</v>
      </c>
    </row>
    <row r="116" spans="1:3" hidden="1" x14ac:dyDescent="0.25">
      <c r="A116" t="s">
        <v>977</v>
      </c>
      <c r="C116" t="b">
        <f>INDEX([1]Sheet3!$A$1:$M$1031,MATCH(A116,[1]Sheet3!$B:$B,0),13)</f>
        <v>0</v>
      </c>
    </row>
    <row r="117" spans="1:3" hidden="1" x14ac:dyDescent="0.25">
      <c r="A117" t="s">
        <v>978</v>
      </c>
      <c r="C117" t="b">
        <f>INDEX([1]Sheet3!$A$1:$M$1031,MATCH(A117,[1]Sheet3!$B:$B,0),13)</f>
        <v>0</v>
      </c>
    </row>
    <row r="118" spans="1:3" hidden="1" x14ac:dyDescent="0.25">
      <c r="A118" t="s">
        <v>979</v>
      </c>
      <c r="C118" t="b">
        <f>INDEX([1]Sheet3!$A$1:$M$1031,MATCH(A118,[1]Sheet3!$B:$B,0),13)</f>
        <v>0</v>
      </c>
    </row>
    <row r="119" spans="1:3" hidden="1" x14ac:dyDescent="0.25">
      <c r="A119" t="s">
        <v>980</v>
      </c>
      <c r="C119" t="b">
        <f>INDEX([1]Sheet3!$A$1:$M$1031,MATCH(A119,[1]Sheet3!$B:$B,0),13)</f>
        <v>0</v>
      </c>
    </row>
    <row r="120" spans="1:3" hidden="1" x14ac:dyDescent="0.25">
      <c r="A120" t="s">
        <v>981</v>
      </c>
      <c r="C120" t="b">
        <f>INDEX([1]Sheet3!$A$1:$M$1031,MATCH(A120,[1]Sheet3!$B:$B,0),13)</f>
        <v>0</v>
      </c>
    </row>
    <row r="121" spans="1:3" hidden="1" x14ac:dyDescent="0.25">
      <c r="A121" t="s">
        <v>982</v>
      </c>
      <c r="C121" t="b">
        <f>INDEX([1]Sheet3!$A$1:$M$1031,MATCH(A121,[1]Sheet3!$B:$B,0),13)</f>
        <v>0</v>
      </c>
    </row>
    <row r="122" spans="1:3" hidden="1" x14ac:dyDescent="0.25">
      <c r="A122" t="s">
        <v>983</v>
      </c>
      <c r="C122" t="b">
        <f>INDEX([1]Sheet3!$A$1:$M$1031,MATCH(A122,[1]Sheet3!$B:$B,0),13)</f>
        <v>0</v>
      </c>
    </row>
    <row r="123" spans="1:3" hidden="1" x14ac:dyDescent="0.25">
      <c r="A123" t="s">
        <v>984</v>
      </c>
      <c r="C123" t="b">
        <f>INDEX([1]Sheet3!$A$1:$M$1031,MATCH(A123,[1]Sheet3!$B:$B,0),13)</f>
        <v>0</v>
      </c>
    </row>
    <row r="124" spans="1:3" hidden="1" x14ac:dyDescent="0.25">
      <c r="A124" t="s">
        <v>985</v>
      </c>
      <c r="C124" t="b">
        <f>INDEX([1]Sheet3!$A$1:$M$1031,MATCH(A124,[1]Sheet3!$B:$B,0),13)</f>
        <v>0</v>
      </c>
    </row>
    <row r="125" spans="1:3" hidden="1" x14ac:dyDescent="0.25">
      <c r="A125" t="s">
        <v>986</v>
      </c>
      <c r="C125" t="b">
        <f>INDEX([1]Sheet3!$A$1:$M$1031,MATCH(A125,[1]Sheet3!$B:$B,0),13)</f>
        <v>0</v>
      </c>
    </row>
    <row r="126" spans="1:3" hidden="1" x14ac:dyDescent="0.25">
      <c r="A126" t="s">
        <v>987</v>
      </c>
      <c r="C126" t="b">
        <f>INDEX([1]Sheet3!$A$1:$M$1031,MATCH(A126,[1]Sheet3!$B:$B,0),13)</f>
        <v>0</v>
      </c>
    </row>
    <row r="127" spans="1:3" hidden="1" x14ac:dyDescent="0.25">
      <c r="A127" t="s">
        <v>988</v>
      </c>
      <c r="C127" t="b">
        <f>INDEX([1]Sheet3!$A$1:$M$1031,MATCH(A127,[1]Sheet3!$B:$B,0),13)</f>
        <v>0</v>
      </c>
    </row>
    <row r="128" spans="1:3" hidden="1" x14ac:dyDescent="0.25">
      <c r="A128" t="s">
        <v>989</v>
      </c>
      <c r="C128" t="b">
        <f>INDEX([1]Sheet3!$A$1:$M$1031,MATCH(A128,[1]Sheet3!$B:$B,0),13)</f>
        <v>0</v>
      </c>
    </row>
    <row r="129" spans="1:3" hidden="1" x14ac:dyDescent="0.25">
      <c r="A129" t="s">
        <v>990</v>
      </c>
      <c r="C129" t="b">
        <f>INDEX([1]Sheet3!$A$1:$M$1031,MATCH(A129,[1]Sheet3!$B:$B,0),13)</f>
        <v>0</v>
      </c>
    </row>
    <row r="130" spans="1:3" hidden="1" x14ac:dyDescent="0.25">
      <c r="A130" t="s">
        <v>991</v>
      </c>
      <c r="C130" t="b">
        <f>INDEX([1]Sheet3!$A$1:$M$1031,MATCH(A130,[1]Sheet3!$B:$B,0),13)</f>
        <v>0</v>
      </c>
    </row>
    <row r="131" spans="1:3" hidden="1" x14ac:dyDescent="0.25">
      <c r="A131" t="s">
        <v>992</v>
      </c>
      <c r="C131" t="b">
        <f>INDEX([1]Sheet3!$A$1:$M$1031,MATCH(A131,[1]Sheet3!$B:$B,0),13)</f>
        <v>0</v>
      </c>
    </row>
    <row r="132" spans="1:3" hidden="1" x14ac:dyDescent="0.25">
      <c r="A132" t="s">
        <v>993</v>
      </c>
      <c r="C132" t="b">
        <f>INDEX([1]Sheet3!$A$1:$M$1031,MATCH(A132,[1]Sheet3!$B:$B,0),13)</f>
        <v>0</v>
      </c>
    </row>
    <row r="133" spans="1:3" hidden="1" x14ac:dyDescent="0.25">
      <c r="A133" t="s">
        <v>994</v>
      </c>
      <c r="C133" t="b">
        <f>INDEX([1]Sheet3!$A$1:$M$1031,MATCH(A133,[1]Sheet3!$B:$B,0),13)</f>
        <v>0</v>
      </c>
    </row>
    <row r="134" spans="1:3" hidden="1" x14ac:dyDescent="0.25">
      <c r="A134" t="s">
        <v>995</v>
      </c>
      <c r="C134" t="b">
        <f>INDEX([1]Sheet3!$A$1:$M$1031,MATCH(A134,[1]Sheet3!$B:$B,0),13)</f>
        <v>0</v>
      </c>
    </row>
    <row r="135" spans="1:3" hidden="1" x14ac:dyDescent="0.25">
      <c r="A135" t="s">
        <v>996</v>
      </c>
      <c r="C135" t="b">
        <f>INDEX([1]Sheet3!$A$1:$M$1031,MATCH(A135,[1]Sheet3!$B:$B,0),13)</f>
        <v>0</v>
      </c>
    </row>
    <row r="136" spans="1:3" hidden="1" x14ac:dyDescent="0.25">
      <c r="A136" t="s">
        <v>997</v>
      </c>
      <c r="C136" t="b">
        <f>INDEX([1]Sheet3!$A$1:$M$1031,MATCH(A136,[1]Sheet3!$B:$B,0),13)</f>
        <v>0</v>
      </c>
    </row>
    <row r="137" spans="1:3" hidden="1" x14ac:dyDescent="0.25">
      <c r="A137" t="s">
        <v>998</v>
      </c>
      <c r="C137" t="b">
        <f>INDEX([1]Sheet3!$A$1:$M$1031,MATCH(A137,[1]Sheet3!$B:$B,0),13)</f>
        <v>0</v>
      </c>
    </row>
    <row r="138" spans="1:3" hidden="1" x14ac:dyDescent="0.25">
      <c r="A138" t="s">
        <v>999</v>
      </c>
      <c r="C138" t="b">
        <f>INDEX([1]Sheet3!$A$1:$M$1031,MATCH(A138,[1]Sheet3!$B:$B,0),13)</f>
        <v>0</v>
      </c>
    </row>
    <row r="139" spans="1:3" hidden="1" x14ac:dyDescent="0.25">
      <c r="A139" t="s">
        <v>1000</v>
      </c>
      <c r="C139" t="b">
        <f>INDEX([1]Sheet3!$A$1:$M$1031,MATCH(A139,[1]Sheet3!$B:$B,0),13)</f>
        <v>0</v>
      </c>
    </row>
    <row r="140" spans="1:3" hidden="1" x14ac:dyDescent="0.25">
      <c r="A140" t="s">
        <v>1001</v>
      </c>
      <c r="C140" t="b">
        <f>INDEX([1]Sheet3!$A$1:$M$1031,MATCH(A140,[1]Sheet3!$B:$B,0),13)</f>
        <v>0</v>
      </c>
    </row>
    <row r="141" spans="1:3" hidden="1" x14ac:dyDescent="0.25">
      <c r="A141" t="s">
        <v>1002</v>
      </c>
      <c r="C141" t="b">
        <f>INDEX([1]Sheet3!$A$1:$M$1031,MATCH(A141,[1]Sheet3!$B:$B,0),13)</f>
        <v>0</v>
      </c>
    </row>
    <row r="142" spans="1:3" hidden="1" x14ac:dyDescent="0.25">
      <c r="A142" t="s">
        <v>1003</v>
      </c>
      <c r="C142" t="b">
        <f>INDEX([1]Sheet3!$A$1:$M$1031,MATCH(A142,[1]Sheet3!$B:$B,0),13)</f>
        <v>0</v>
      </c>
    </row>
    <row r="143" spans="1:3" hidden="1" x14ac:dyDescent="0.25">
      <c r="A143" t="s">
        <v>1004</v>
      </c>
      <c r="C143" t="b">
        <f>INDEX([1]Sheet3!$A$1:$M$1031,MATCH(A143,[1]Sheet3!$B:$B,0),13)</f>
        <v>0</v>
      </c>
    </row>
    <row r="144" spans="1:3" hidden="1" x14ac:dyDescent="0.25">
      <c r="A144" t="s">
        <v>1005</v>
      </c>
      <c r="C144" t="b">
        <f>INDEX([1]Sheet3!$A$1:$M$1031,MATCH(A144,[1]Sheet3!$B:$B,0),13)</f>
        <v>0</v>
      </c>
    </row>
    <row r="145" spans="1:3" hidden="1" x14ac:dyDescent="0.25">
      <c r="A145" t="s">
        <v>1006</v>
      </c>
      <c r="B145" t="s">
        <v>50</v>
      </c>
      <c r="C145" t="b">
        <f>INDEX([1]Sheet3!$A$1:$M$1031,MATCH(A145,[1]Sheet3!$B:$B,0),13)</f>
        <v>1</v>
      </c>
    </row>
    <row r="146" spans="1:3" hidden="1" x14ac:dyDescent="0.25">
      <c r="A146" t="s">
        <v>1007</v>
      </c>
      <c r="B146" t="s">
        <v>50</v>
      </c>
      <c r="C146" t="b">
        <f>INDEX([1]Sheet3!$A$1:$M$1031,MATCH(A146,[1]Sheet3!$B:$B,0),13)</f>
        <v>1</v>
      </c>
    </row>
    <row r="147" spans="1:3" hidden="1" x14ac:dyDescent="0.25">
      <c r="A147" t="s">
        <v>1008</v>
      </c>
      <c r="B147" t="s">
        <v>50</v>
      </c>
      <c r="C147" t="b">
        <f>INDEX([1]Sheet3!$A$1:$M$1031,MATCH(A147,[1]Sheet3!$B:$B,0),13)</f>
        <v>1</v>
      </c>
    </row>
    <row r="148" spans="1:3" hidden="1" x14ac:dyDescent="0.25">
      <c r="A148" t="s">
        <v>1009</v>
      </c>
      <c r="C148" t="b">
        <f>INDEX([1]Sheet3!$A$1:$M$1031,MATCH(A148,[1]Sheet3!$B:$B,0),13)</f>
        <v>0</v>
      </c>
    </row>
    <row r="149" spans="1:3" hidden="1" x14ac:dyDescent="0.25">
      <c r="A149" t="s">
        <v>1010</v>
      </c>
      <c r="C149" t="b">
        <f>INDEX([1]Sheet3!$A$1:$M$1031,MATCH(A149,[1]Sheet3!$B:$B,0),13)</f>
        <v>0</v>
      </c>
    </row>
    <row r="150" spans="1:3" hidden="1" x14ac:dyDescent="0.25">
      <c r="A150" t="s">
        <v>1011</v>
      </c>
      <c r="C150" t="b">
        <f>INDEX([1]Sheet3!$A$1:$M$1031,MATCH(A150,[1]Sheet3!$B:$B,0),13)</f>
        <v>0</v>
      </c>
    </row>
    <row r="151" spans="1:3" hidden="1" x14ac:dyDescent="0.25">
      <c r="A151" t="s">
        <v>1012</v>
      </c>
      <c r="B151" t="s">
        <v>50</v>
      </c>
      <c r="C151" t="b">
        <f>INDEX([1]Sheet3!$A$1:$M$1031,MATCH(A151,[1]Sheet3!$B:$B,0),13)</f>
        <v>1</v>
      </c>
    </row>
    <row r="152" spans="1:3" hidden="1" x14ac:dyDescent="0.25">
      <c r="A152" t="s">
        <v>1013</v>
      </c>
      <c r="B152" t="s">
        <v>50</v>
      </c>
      <c r="C152" t="b">
        <f>INDEX([1]Sheet3!$A$1:$M$1031,MATCH(A152,[1]Sheet3!$B:$B,0),13)</f>
        <v>1</v>
      </c>
    </row>
    <row r="153" spans="1:3" hidden="1" x14ac:dyDescent="0.25">
      <c r="A153" t="s">
        <v>1014</v>
      </c>
      <c r="C153" t="b">
        <f>INDEX([1]Sheet3!$A$1:$M$1031,MATCH(A153,[1]Sheet3!$B:$B,0),13)</f>
        <v>0</v>
      </c>
    </row>
    <row r="154" spans="1:3" hidden="1" x14ac:dyDescent="0.25">
      <c r="A154" t="s">
        <v>1015</v>
      </c>
      <c r="C154" t="b">
        <f>INDEX([1]Sheet3!$A$1:$M$1031,MATCH(A154,[1]Sheet3!$B:$B,0),13)</f>
        <v>0</v>
      </c>
    </row>
    <row r="155" spans="1:3" hidden="1" x14ac:dyDescent="0.25">
      <c r="A155" t="s">
        <v>1016</v>
      </c>
      <c r="C155" t="b">
        <f>INDEX([1]Sheet3!$A$1:$M$1031,MATCH(A155,[1]Sheet3!$B:$B,0),13)</f>
        <v>0</v>
      </c>
    </row>
    <row r="156" spans="1:3" hidden="1" x14ac:dyDescent="0.25">
      <c r="A156" t="s">
        <v>1017</v>
      </c>
      <c r="C156" t="b">
        <f>INDEX([1]Sheet3!$A$1:$M$1031,MATCH(A156,[1]Sheet3!$B:$B,0),13)</f>
        <v>0</v>
      </c>
    </row>
    <row r="157" spans="1:3" hidden="1" x14ac:dyDescent="0.25">
      <c r="A157" t="s">
        <v>1018</v>
      </c>
      <c r="C157" t="b">
        <f>INDEX([1]Sheet3!$A$1:$M$1031,MATCH(A157,[1]Sheet3!$B:$B,0),13)</f>
        <v>0</v>
      </c>
    </row>
    <row r="158" spans="1:3" hidden="1" x14ac:dyDescent="0.25">
      <c r="A158" t="s">
        <v>1019</v>
      </c>
      <c r="C158" t="b">
        <f>INDEX([1]Sheet3!$A$1:$M$1031,MATCH(A158,[1]Sheet3!$B:$B,0),13)</f>
        <v>0</v>
      </c>
    </row>
    <row r="159" spans="1:3" hidden="1" x14ac:dyDescent="0.25">
      <c r="A159" t="s">
        <v>1020</v>
      </c>
      <c r="C159" t="b">
        <f>INDEX([1]Sheet3!$A$1:$M$1031,MATCH(A159,[1]Sheet3!$B:$B,0),13)</f>
        <v>0</v>
      </c>
    </row>
    <row r="160" spans="1:3" hidden="1" x14ac:dyDescent="0.25">
      <c r="A160" t="s">
        <v>1021</v>
      </c>
      <c r="C160" t="b">
        <f>INDEX([1]Sheet3!$A$1:$M$1031,MATCH(A160,[1]Sheet3!$B:$B,0),13)</f>
        <v>0</v>
      </c>
    </row>
    <row r="161" spans="1:5" hidden="1" x14ac:dyDescent="0.25">
      <c r="A161" t="s">
        <v>1022</v>
      </c>
      <c r="C161" t="b">
        <f>INDEX([1]Sheet3!$A$1:$M$1031,MATCH(A161,[1]Sheet3!$B:$B,0),13)</f>
        <v>0</v>
      </c>
    </row>
    <row r="162" spans="1:5" hidden="1" x14ac:dyDescent="0.25">
      <c r="A162" t="s">
        <v>1023</v>
      </c>
      <c r="C162" t="b">
        <f>INDEX([1]Sheet3!$A$1:$M$1031,MATCH(A162,[1]Sheet3!$B:$B,0),13)</f>
        <v>0</v>
      </c>
    </row>
    <row r="163" spans="1:5" hidden="1" x14ac:dyDescent="0.25">
      <c r="A163" t="s">
        <v>1024</v>
      </c>
      <c r="C163" t="b">
        <f>INDEX([1]Sheet3!$A$1:$M$1031,MATCH(A163,[1]Sheet3!$B:$B,0),13)</f>
        <v>0</v>
      </c>
    </row>
    <row r="164" spans="1:5" hidden="1" x14ac:dyDescent="0.25">
      <c r="A164" t="s">
        <v>1025</v>
      </c>
      <c r="C164" t="b">
        <f>INDEX([1]Sheet3!$A$1:$M$1031,MATCH(A164,[1]Sheet3!$B:$B,0),13)</f>
        <v>0</v>
      </c>
    </row>
    <row r="165" spans="1:5" hidden="1" x14ac:dyDescent="0.25">
      <c r="A165" t="s">
        <v>1026</v>
      </c>
      <c r="C165" t="b">
        <f>INDEX([1]Sheet3!$A$1:$M$1031,MATCH(A165,[1]Sheet3!$B:$B,0),13)</f>
        <v>0</v>
      </c>
    </row>
    <row r="166" spans="1:5" hidden="1" x14ac:dyDescent="0.25">
      <c r="A166" t="s">
        <v>1027</v>
      </c>
      <c r="C166" t="b">
        <f>INDEX([1]Sheet3!$A$1:$M$1031,MATCH(A166,[1]Sheet3!$B:$B,0),13)</f>
        <v>0</v>
      </c>
    </row>
    <row r="167" spans="1:5" hidden="1" x14ac:dyDescent="0.25">
      <c r="A167" t="s">
        <v>1028</v>
      </c>
      <c r="C167" t="b">
        <f>INDEX([1]Sheet3!$A$1:$M$1031,MATCH(A167,[1]Sheet3!$B:$B,0),13)</f>
        <v>0</v>
      </c>
    </row>
    <row r="168" spans="1:5" hidden="1" x14ac:dyDescent="0.25">
      <c r="A168" t="s">
        <v>1029</v>
      </c>
      <c r="C168" t="b">
        <f>INDEX([1]Sheet3!$A$1:$M$1031,MATCH(A168,[1]Sheet3!$B:$B,0),13)</f>
        <v>0</v>
      </c>
    </row>
    <row r="169" spans="1:5" hidden="1" x14ac:dyDescent="0.25">
      <c r="A169" t="s">
        <v>1030</v>
      </c>
      <c r="C169" t="b">
        <f>INDEX([1]Sheet3!$A$1:$M$1031,MATCH(A169,[1]Sheet3!$B:$B,0),13)</f>
        <v>0</v>
      </c>
    </row>
    <row r="170" spans="1:5" hidden="1" x14ac:dyDescent="0.25">
      <c r="A170" t="s">
        <v>1031</v>
      </c>
      <c r="C170" t="b">
        <f>INDEX([1]Sheet3!$A$1:$M$1031,MATCH(A170,[1]Sheet3!$B:$B,0),13)</f>
        <v>0</v>
      </c>
    </row>
    <row r="171" spans="1:5" hidden="1" x14ac:dyDescent="0.25">
      <c r="A171" t="s">
        <v>1032</v>
      </c>
      <c r="C171" t="b">
        <f>INDEX([1]Sheet3!$A$1:$M$1031,MATCH(A171,[1]Sheet3!$B:$B,0),13)</f>
        <v>0</v>
      </c>
    </row>
    <row r="172" spans="1:5" hidden="1" x14ac:dyDescent="0.25">
      <c r="A172" t="s">
        <v>1033</v>
      </c>
      <c r="C172" t="b">
        <f>INDEX([1]Sheet3!$A$1:$M$1031,MATCH(A172,[1]Sheet3!$B:$B,0),13)</f>
        <v>0</v>
      </c>
    </row>
    <row r="173" spans="1:5" hidden="1" x14ac:dyDescent="0.25">
      <c r="A173" t="s">
        <v>1034</v>
      </c>
      <c r="C173" t="b">
        <f>INDEX([1]Sheet3!$A$1:$M$1031,MATCH(A173,[1]Sheet3!$B:$B,0),13)</f>
        <v>0</v>
      </c>
    </row>
    <row r="174" spans="1:5" hidden="1" x14ac:dyDescent="0.25">
      <c r="A174" t="s">
        <v>1035</v>
      </c>
      <c r="C174" t="b">
        <f>INDEX([1]Sheet3!$A$1:$M$1031,MATCH(A174,[1]Sheet3!$B:$B,0),13)</f>
        <v>0</v>
      </c>
    </row>
    <row r="175" spans="1:5" hidden="1" x14ac:dyDescent="0.25">
      <c r="A175" t="s">
        <v>1036</v>
      </c>
      <c r="C175" t="b">
        <f>INDEX([1]Sheet3!$A$1:$M$1031,MATCH(A175,[1]Sheet3!$B:$B,0),13)</f>
        <v>0</v>
      </c>
    </row>
    <row r="176" spans="1:5" hidden="1" x14ac:dyDescent="0.25">
      <c r="A176" t="s">
        <v>1037</v>
      </c>
      <c r="C176" t="b">
        <f>INDEX([1]Sheet3!$A$1:$M$1031,MATCH(A176,[1]Sheet3!$B:$B,0),13)</f>
        <v>0</v>
      </c>
      <c r="E176" t="s">
        <v>2079</v>
      </c>
    </row>
    <row r="177" spans="1:3" hidden="1" x14ac:dyDescent="0.25">
      <c r="A177" t="s">
        <v>1038</v>
      </c>
      <c r="C177" t="b">
        <f>INDEX([1]Sheet3!$A$1:$M$1031,MATCH(A177,[1]Sheet3!$B:$B,0),13)</f>
        <v>0</v>
      </c>
    </row>
    <row r="178" spans="1:3" hidden="1" x14ac:dyDescent="0.25">
      <c r="A178" t="s">
        <v>1039</v>
      </c>
      <c r="C178" t="b">
        <f>INDEX([1]Sheet3!$A$1:$M$1031,MATCH(A178,[1]Sheet3!$B:$B,0),13)</f>
        <v>0</v>
      </c>
    </row>
    <row r="179" spans="1:3" hidden="1" x14ac:dyDescent="0.25">
      <c r="A179" t="s">
        <v>1040</v>
      </c>
      <c r="C179" t="b">
        <f>INDEX([1]Sheet3!$A$1:$M$1031,MATCH(A179,[1]Sheet3!$B:$B,0),13)</f>
        <v>0</v>
      </c>
    </row>
    <row r="180" spans="1:3" hidden="1" x14ac:dyDescent="0.25">
      <c r="A180" t="s">
        <v>1041</v>
      </c>
      <c r="C180" t="b">
        <f>INDEX([1]Sheet3!$A$1:$M$1031,MATCH(A180,[1]Sheet3!$B:$B,0),13)</f>
        <v>0</v>
      </c>
    </row>
    <row r="181" spans="1:3" hidden="1" x14ac:dyDescent="0.25">
      <c r="A181" t="s">
        <v>1042</v>
      </c>
      <c r="C181" t="b">
        <f>INDEX([1]Sheet3!$A$1:$M$1031,MATCH(A181,[1]Sheet3!$B:$B,0),13)</f>
        <v>0</v>
      </c>
    </row>
    <row r="182" spans="1:3" hidden="1" x14ac:dyDescent="0.25">
      <c r="A182" t="s">
        <v>1043</v>
      </c>
      <c r="C182" t="b">
        <f>INDEX([1]Sheet3!$A$1:$M$1031,MATCH(A182,[1]Sheet3!$B:$B,0),13)</f>
        <v>0</v>
      </c>
    </row>
    <row r="183" spans="1:3" hidden="1" x14ac:dyDescent="0.25">
      <c r="A183" t="s">
        <v>1044</v>
      </c>
      <c r="C183" t="b">
        <f>INDEX([1]Sheet3!$A$1:$M$1031,MATCH(A183,[1]Sheet3!$B:$B,0),13)</f>
        <v>0</v>
      </c>
    </row>
    <row r="184" spans="1:3" hidden="1" x14ac:dyDescent="0.25">
      <c r="A184" t="s">
        <v>1045</v>
      </c>
      <c r="C184" t="b">
        <f>INDEX([1]Sheet3!$A$1:$M$1031,MATCH(A184,[1]Sheet3!$B:$B,0),13)</f>
        <v>0</v>
      </c>
    </row>
    <row r="185" spans="1:3" hidden="1" x14ac:dyDescent="0.25">
      <c r="A185" t="s">
        <v>1046</v>
      </c>
      <c r="C185" t="b">
        <f>INDEX([1]Sheet3!$A$1:$M$1031,MATCH(A185,[1]Sheet3!$B:$B,0),13)</f>
        <v>0</v>
      </c>
    </row>
    <row r="186" spans="1:3" hidden="1" x14ac:dyDescent="0.25">
      <c r="A186" t="s">
        <v>1047</v>
      </c>
      <c r="C186" t="b">
        <f>INDEX([1]Sheet3!$A$1:$M$1031,MATCH(A186,[1]Sheet3!$B:$B,0),13)</f>
        <v>0</v>
      </c>
    </row>
    <row r="187" spans="1:3" hidden="1" x14ac:dyDescent="0.25">
      <c r="A187" t="s">
        <v>1048</v>
      </c>
      <c r="C187" t="b">
        <f>INDEX([1]Sheet3!$A$1:$M$1031,MATCH(A187,[1]Sheet3!$B:$B,0),13)</f>
        <v>0</v>
      </c>
    </row>
    <row r="188" spans="1:3" hidden="1" x14ac:dyDescent="0.25">
      <c r="A188" t="s">
        <v>1049</v>
      </c>
      <c r="C188" t="b">
        <f>INDEX([1]Sheet3!$A$1:$M$1031,MATCH(A188,[1]Sheet3!$B:$B,0),13)</f>
        <v>0</v>
      </c>
    </row>
    <row r="189" spans="1:3" hidden="1" x14ac:dyDescent="0.25">
      <c r="A189" t="s">
        <v>1050</v>
      </c>
      <c r="C189" t="b">
        <f>INDEX([1]Sheet3!$A$1:$M$1031,MATCH(A189,[1]Sheet3!$B:$B,0),13)</f>
        <v>0</v>
      </c>
    </row>
    <row r="190" spans="1:3" hidden="1" x14ac:dyDescent="0.25">
      <c r="A190" t="s">
        <v>1051</v>
      </c>
      <c r="C190" t="b">
        <f>INDEX([1]Sheet3!$A$1:$M$1031,MATCH(A190,[1]Sheet3!$B:$B,0),13)</f>
        <v>0</v>
      </c>
    </row>
    <row r="191" spans="1:3" hidden="1" x14ac:dyDescent="0.25">
      <c r="A191" t="s">
        <v>1052</v>
      </c>
      <c r="C191" t="b">
        <f>INDEX([1]Sheet3!$A$1:$M$1031,MATCH(A191,[1]Sheet3!$B:$B,0),13)</f>
        <v>0</v>
      </c>
    </row>
    <row r="192" spans="1:3" hidden="1" x14ac:dyDescent="0.25">
      <c r="A192" t="s">
        <v>1053</v>
      </c>
      <c r="C192" t="b">
        <f>INDEX([1]Sheet3!$A$1:$M$1031,MATCH(A192,[1]Sheet3!$B:$B,0),13)</f>
        <v>0</v>
      </c>
    </row>
    <row r="193" spans="1:3" hidden="1" x14ac:dyDescent="0.25">
      <c r="A193" t="s">
        <v>1054</v>
      </c>
      <c r="C193" t="b">
        <f>INDEX([1]Sheet3!$A$1:$M$1031,MATCH(A193,[1]Sheet3!$B:$B,0),13)</f>
        <v>0</v>
      </c>
    </row>
    <row r="194" spans="1:3" hidden="1" x14ac:dyDescent="0.25">
      <c r="A194" t="s">
        <v>1055</v>
      </c>
      <c r="C194" t="b">
        <f>INDEX([1]Sheet3!$A$1:$M$1031,MATCH(A194,[1]Sheet3!$B:$B,0),13)</f>
        <v>0</v>
      </c>
    </row>
    <row r="195" spans="1:3" hidden="1" x14ac:dyDescent="0.25">
      <c r="A195" t="s">
        <v>1056</v>
      </c>
      <c r="C195" t="b">
        <f>INDEX([1]Sheet3!$A$1:$M$1031,MATCH(A195,[1]Sheet3!$B:$B,0),13)</f>
        <v>0</v>
      </c>
    </row>
    <row r="196" spans="1:3" hidden="1" x14ac:dyDescent="0.25">
      <c r="A196" t="s">
        <v>1057</v>
      </c>
      <c r="C196" t="b">
        <f>INDEX([1]Sheet3!$A$1:$M$1031,MATCH(A196,[1]Sheet3!$B:$B,0),13)</f>
        <v>0</v>
      </c>
    </row>
    <row r="197" spans="1:3" hidden="1" x14ac:dyDescent="0.25">
      <c r="A197" t="s">
        <v>1058</v>
      </c>
      <c r="C197" t="b">
        <f>INDEX([1]Sheet3!$A$1:$M$1031,MATCH(A197,[1]Sheet3!$B:$B,0),13)</f>
        <v>0</v>
      </c>
    </row>
    <row r="198" spans="1:3" hidden="1" x14ac:dyDescent="0.25">
      <c r="A198" t="s">
        <v>1059</v>
      </c>
      <c r="C198" t="b">
        <f>INDEX([1]Sheet3!$A$1:$M$1031,MATCH(A198,[1]Sheet3!$B:$B,0),13)</f>
        <v>0</v>
      </c>
    </row>
    <row r="199" spans="1:3" hidden="1" x14ac:dyDescent="0.25">
      <c r="A199" t="s">
        <v>1060</v>
      </c>
      <c r="C199" t="b">
        <f>INDEX([1]Sheet3!$A$1:$M$1031,MATCH(A199,[1]Sheet3!$B:$B,0),13)</f>
        <v>0</v>
      </c>
    </row>
    <row r="200" spans="1:3" hidden="1" x14ac:dyDescent="0.25">
      <c r="A200" t="s">
        <v>1061</v>
      </c>
      <c r="C200" t="b">
        <f>INDEX([1]Sheet3!$A$1:$M$1031,MATCH(A200,[1]Sheet3!$B:$B,0),13)</f>
        <v>0</v>
      </c>
    </row>
    <row r="201" spans="1:3" hidden="1" x14ac:dyDescent="0.25">
      <c r="A201" t="s">
        <v>1062</v>
      </c>
      <c r="C201" t="b">
        <f>INDEX([1]Sheet3!$A$1:$M$1031,MATCH(A201,[1]Sheet3!$B:$B,0),13)</f>
        <v>0</v>
      </c>
    </row>
    <row r="202" spans="1:3" hidden="1" x14ac:dyDescent="0.25">
      <c r="A202" t="s">
        <v>1063</v>
      </c>
      <c r="C202" t="b">
        <f>INDEX([1]Sheet3!$A$1:$M$1031,MATCH(A202,[1]Sheet3!$B:$B,0),13)</f>
        <v>0</v>
      </c>
    </row>
    <row r="203" spans="1:3" hidden="1" x14ac:dyDescent="0.25">
      <c r="A203" t="s">
        <v>1064</v>
      </c>
      <c r="C203" t="b">
        <f>INDEX([1]Sheet3!$A$1:$M$1031,MATCH(A203,[1]Sheet3!$B:$B,0),13)</f>
        <v>0</v>
      </c>
    </row>
    <row r="204" spans="1:3" hidden="1" x14ac:dyDescent="0.25">
      <c r="A204" t="s">
        <v>1065</v>
      </c>
      <c r="C204" t="b">
        <f>INDEX([1]Sheet3!$A$1:$M$1031,MATCH(A204,[1]Sheet3!$B:$B,0),13)</f>
        <v>0</v>
      </c>
    </row>
    <row r="205" spans="1:3" hidden="1" x14ac:dyDescent="0.25">
      <c r="A205" t="s">
        <v>1066</v>
      </c>
      <c r="C205" t="b">
        <f>INDEX([1]Sheet3!$A$1:$M$1031,MATCH(A205,[1]Sheet3!$B:$B,0),13)</f>
        <v>0</v>
      </c>
    </row>
    <row r="206" spans="1:3" hidden="1" x14ac:dyDescent="0.25">
      <c r="A206" t="s">
        <v>1067</v>
      </c>
      <c r="C206" t="b">
        <f>INDEX([1]Sheet3!$A$1:$M$1031,MATCH(A206,[1]Sheet3!$B:$B,0),13)</f>
        <v>0</v>
      </c>
    </row>
    <row r="207" spans="1:3" hidden="1" x14ac:dyDescent="0.25">
      <c r="A207" t="s">
        <v>1068</v>
      </c>
      <c r="C207" t="b">
        <f>INDEX([1]Sheet3!$A$1:$M$1031,MATCH(A207,[1]Sheet3!$B:$B,0),13)</f>
        <v>0</v>
      </c>
    </row>
    <row r="208" spans="1:3" hidden="1" x14ac:dyDescent="0.25">
      <c r="A208" t="s">
        <v>1069</v>
      </c>
      <c r="C208" t="b">
        <f>INDEX([1]Sheet3!$A$1:$M$1031,MATCH(A208,[1]Sheet3!$B:$B,0),13)</f>
        <v>0</v>
      </c>
    </row>
    <row r="209" spans="1:5" hidden="1" x14ac:dyDescent="0.25">
      <c r="A209" t="s">
        <v>1070</v>
      </c>
      <c r="C209" t="b">
        <f>INDEX([1]Sheet3!$A$1:$M$1031,MATCH(A209,[1]Sheet3!$B:$B,0),13)</f>
        <v>0</v>
      </c>
    </row>
    <row r="210" spans="1:5" hidden="1" x14ac:dyDescent="0.25">
      <c r="A210" t="s">
        <v>1071</v>
      </c>
      <c r="C210" t="b">
        <f>INDEX([1]Sheet3!$A$1:$M$1031,MATCH(A210,[1]Sheet3!$B:$B,0),13)</f>
        <v>0</v>
      </c>
      <c r="E210" t="s">
        <v>2080</v>
      </c>
    </row>
    <row r="211" spans="1:5" hidden="1" x14ac:dyDescent="0.25">
      <c r="A211" t="s">
        <v>1072</v>
      </c>
      <c r="C211" t="b">
        <f>INDEX([1]Sheet3!$A$1:$M$1031,MATCH(A211,[1]Sheet3!$B:$B,0),13)</f>
        <v>0</v>
      </c>
    </row>
    <row r="212" spans="1:5" hidden="1" x14ac:dyDescent="0.25">
      <c r="A212" t="s">
        <v>1073</v>
      </c>
      <c r="C212" t="b">
        <f>INDEX([1]Sheet3!$A$1:$M$1031,MATCH(A212,[1]Sheet3!$B:$B,0),13)</f>
        <v>0</v>
      </c>
    </row>
    <row r="213" spans="1:5" hidden="1" x14ac:dyDescent="0.25">
      <c r="A213" t="s">
        <v>1074</v>
      </c>
      <c r="C213" t="b">
        <f>INDEX([1]Sheet3!$A$1:$M$1031,MATCH(A213,[1]Sheet3!$B:$B,0),13)</f>
        <v>0</v>
      </c>
    </row>
    <row r="214" spans="1:5" hidden="1" x14ac:dyDescent="0.25">
      <c r="A214" t="s">
        <v>1075</v>
      </c>
      <c r="C214" t="b">
        <f>INDEX([1]Sheet3!$A$1:$M$1031,MATCH(A214,[1]Sheet3!$B:$B,0),13)</f>
        <v>0</v>
      </c>
    </row>
    <row r="215" spans="1:5" hidden="1" x14ac:dyDescent="0.25">
      <c r="A215" t="s">
        <v>1076</v>
      </c>
      <c r="C215" t="b">
        <f>INDEX([1]Sheet3!$A$1:$M$1031,MATCH(A215,[1]Sheet3!$B:$B,0),13)</f>
        <v>0</v>
      </c>
    </row>
    <row r="216" spans="1:5" hidden="1" x14ac:dyDescent="0.25">
      <c r="A216" t="s">
        <v>1077</v>
      </c>
      <c r="C216" t="b">
        <f>INDEX([1]Sheet3!$A$1:$M$1031,MATCH(A216,[1]Sheet3!$B:$B,0),13)</f>
        <v>0</v>
      </c>
    </row>
    <row r="217" spans="1:5" hidden="1" x14ac:dyDescent="0.25">
      <c r="A217" t="s">
        <v>1078</v>
      </c>
      <c r="C217" t="b">
        <f>INDEX([1]Sheet3!$A$1:$M$1031,MATCH(A217,[1]Sheet3!$B:$B,0),13)</f>
        <v>0</v>
      </c>
    </row>
    <row r="218" spans="1:5" hidden="1" x14ac:dyDescent="0.25">
      <c r="A218" t="s">
        <v>1079</v>
      </c>
      <c r="C218" t="b">
        <f>INDEX([1]Sheet3!$A$1:$M$1031,MATCH(A218,[1]Sheet3!$B:$B,0),13)</f>
        <v>0</v>
      </c>
    </row>
    <row r="219" spans="1:5" hidden="1" x14ac:dyDescent="0.25">
      <c r="A219" t="s">
        <v>1080</v>
      </c>
      <c r="C219" t="b">
        <f>INDEX([1]Sheet3!$A$1:$M$1031,MATCH(A219,[1]Sheet3!$B:$B,0),13)</f>
        <v>0</v>
      </c>
    </row>
    <row r="220" spans="1:5" hidden="1" x14ac:dyDescent="0.25">
      <c r="A220" t="s">
        <v>1081</v>
      </c>
      <c r="C220" t="b">
        <f>INDEX([1]Sheet3!$A$1:$M$1031,MATCH(A220,[1]Sheet3!$B:$B,0),13)</f>
        <v>0</v>
      </c>
    </row>
    <row r="221" spans="1:5" hidden="1" x14ac:dyDescent="0.25">
      <c r="A221" t="s">
        <v>1082</v>
      </c>
      <c r="C221" t="b">
        <f>INDEX([1]Sheet3!$A$1:$M$1031,MATCH(A221,[1]Sheet3!$B:$B,0),13)</f>
        <v>0</v>
      </c>
    </row>
    <row r="222" spans="1:5" hidden="1" x14ac:dyDescent="0.25">
      <c r="A222" t="s">
        <v>1083</v>
      </c>
      <c r="C222" t="b">
        <f>INDEX([1]Sheet3!$A$1:$M$1031,MATCH(A222,[1]Sheet3!$B:$B,0),13)</f>
        <v>0</v>
      </c>
    </row>
    <row r="223" spans="1:5" hidden="1" x14ac:dyDescent="0.25">
      <c r="A223" t="s">
        <v>1084</v>
      </c>
      <c r="C223" t="b">
        <f>INDEX([1]Sheet3!$A$1:$M$1031,MATCH(A223,[1]Sheet3!$B:$B,0),13)</f>
        <v>0</v>
      </c>
    </row>
    <row r="224" spans="1:5" hidden="1" x14ac:dyDescent="0.25">
      <c r="A224" t="s">
        <v>1085</v>
      </c>
      <c r="C224" t="b">
        <f>INDEX([1]Sheet3!$A$1:$M$1031,MATCH(A224,[1]Sheet3!$B:$B,0),13)</f>
        <v>0</v>
      </c>
    </row>
    <row r="225" spans="1:3" hidden="1" x14ac:dyDescent="0.25">
      <c r="A225" t="s">
        <v>1086</v>
      </c>
      <c r="C225" t="b">
        <f>INDEX([1]Sheet3!$A$1:$M$1031,MATCH(A225,[1]Sheet3!$B:$B,0),13)</f>
        <v>0</v>
      </c>
    </row>
    <row r="226" spans="1:3" hidden="1" x14ac:dyDescent="0.25">
      <c r="A226" t="s">
        <v>1087</v>
      </c>
      <c r="C226" t="b">
        <f>INDEX([1]Sheet3!$A$1:$M$1031,MATCH(A226,[1]Sheet3!$B:$B,0),13)</f>
        <v>0</v>
      </c>
    </row>
    <row r="227" spans="1:3" hidden="1" x14ac:dyDescent="0.25">
      <c r="A227" t="s">
        <v>1088</v>
      </c>
      <c r="C227" t="b">
        <f>INDEX([1]Sheet3!$A$1:$M$1031,MATCH(A227,[1]Sheet3!$B:$B,0),13)</f>
        <v>0</v>
      </c>
    </row>
    <row r="228" spans="1:3" hidden="1" x14ac:dyDescent="0.25">
      <c r="A228" t="s">
        <v>1089</v>
      </c>
      <c r="C228" t="b">
        <f>INDEX([1]Sheet3!$A$1:$M$1031,MATCH(A228,[1]Sheet3!$B:$B,0),13)</f>
        <v>0</v>
      </c>
    </row>
    <row r="229" spans="1:3" hidden="1" x14ac:dyDescent="0.25">
      <c r="A229" t="s">
        <v>1090</v>
      </c>
      <c r="C229" t="b">
        <f>INDEX([1]Sheet3!$A$1:$M$1031,MATCH(A229,[1]Sheet3!$B:$B,0),13)</f>
        <v>0</v>
      </c>
    </row>
    <row r="230" spans="1:3" hidden="1" x14ac:dyDescent="0.25">
      <c r="A230" t="s">
        <v>1091</v>
      </c>
      <c r="C230" t="b">
        <f>INDEX([1]Sheet3!$A$1:$M$1031,MATCH(A230,[1]Sheet3!$B:$B,0),13)</f>
        <v>0</v>
      </c>
    </row>
    <row r="231" spans="1:3" hidden="1" x14ac:dyDescent="0.25">
      <c r="A231" t="s">
        <v>1092</v>
      </c>
      <c r="C231" t="b">
        <f>INDEX([1]Sheet3!$A$1:$M$1031,MATCH(A231,[1]Sheet3!$B:$B,0),13)</f>
        <v>0</v>
      </c>
    </row>
    <row r="232" spans="1:3" hidden="1" x14ac:dyDescent="0.25">
      <c r="A232" t="s">
        <v>1093</v>
      </c>
      <c r="C232" t="b">
        <f>INDEX([1]Sheet3!$A$1:$M$1031,MATCH(A232,[1]Sheet3!$B:$B,0),13)</f>
        <v>0</v>
      </c>
    </row>
    <row r="233" spans="1:3" hidden="1" x14ac:dyDescent="0.25">
      <c r="A233" t="s">
        <v>1094</v>
      </c>
      <c r="C233" t="b">
        <f>INDEX([1]Sheet3!$A$1:$M$1031,MATCH(A233,[1]Sheet3!$B:$B,0),13)</f>
        <v>0</v>
      </c>
    </row>
    <row r="234" spans="1:3" hidden="1" x14ac:dyDescent="0.25">
      <c r="A234" t="s">
        <v>1095</v>
      </c>
      <c r="C234" t="b">
        <f>INDEX([1]Sheet3!$A$1:$M$1031,MATCH(A234,[1]Sheet3!$B:$B,0),13)</f>
        <v>0</v>
      </c>
    </row>
    <row r="235" spans="1:3" hidden="1" x14ac:dyDescent="0.25">
      <c r="A235" t="s">
        <v>1096</v>
      </c>
      <c r="C235" t="b">
        <f>INDEX([1]Sheet3!$A$1:$M$1031,MATCH(A235,[1]Sheet3!$B:$B,0),13)</f>
        <v>0</v>
      </c>
    </row>
    <row r="236" spans="1:3" hidden="1" x14ac:dyDescent="0.25">
      <c r="A236" t="s">
        <v>1097</v>
      </c>
      <c r="C236" t="b">
        <f>INDEX([1]Sheet3!$A$1:$M$1031,MATCH(A236,[1]Sheet3!$B:$B,0),13)</f>
        <v>0</v>
      </c>
    </row>
    <row r="237" spans="1:3" hidden="1" x14ac:dyDescent="0.25">
      <c r="A237" t="s">
        <v>1098</v>
      </c>
      <c r="C237" t="b">
        <f>INDEX([1]Sheet3!$A$1:$M$1031,MATCH(A237,[1]Sheet3!$B:$B,0),13)</f>
        <v>0</v>
      </c>
    </row>
    <row r="238" spans="1:3" hidden="1" x14ac:dyDescent="0.25">
      <c r="A238" t="s">
        <v>1099</v>
      </c>
      <c r="C238" t="b">
        <f>INDEX([1]Sheet3!$A$1:$M$1031,MATCH(A238,[1]Sheet3!$B:$B,0),13)</f>
        <v>0</v>
      </c>
    </row>
    <row r="239" spans="1:3" hidden="1" x14ac:dyDescent="0.25">
      <c r="A239" t="s">
        <v>1100</v>
      </c>
      <c r="C239" t="b">
        <f>INDEX([1]Sheet3!$A$1:$M$1031,MATCH(A239,[1]Sheet3!$B:$B,0),13)</f>
        <v>0</v>
      </c>
    </row>
    <row r="240" spans="1:3" hidden="1" x14ac:dyDescent="0.25">
      <c r="A240" t="s">
        <v>1101</v>
      </c>
      <c r="C240" t="b">
        <f>INDEX([1]Sheet3!$A$1:$M$1031,MATCH(A240,[1]Sheet3!$B:$B,0),13)</f>
        <v>0</v>
      </c>
    </row>
    <row r="241" spans="1:3" hidden="1" x14ac:dyDescent="0.25">
      <c r="A241" t="s">
        <v>1102</v>
      </c>
      <c r="C241" t="b">
        <f>INDEX([1]Sheet3!$A$1:$M$1031,MATCH(A241,[1]Sheet3!$B:$B,0),13)</f>
        <v>0</v>
      </c>
    </row>
    <row r="242" spans="1:3" hidden="1" x14ac:dyDescent="0.25">
      <c r="A242" t="s">
        <v>1103</v>
      </c>
      <c r="C242" t="b">
        <f>INDEX([1]Sheet3!$A$1:$M$1031,MATCH(A242,[1]Sheet3!$B:$B,0),13)</f>
        <v>0</v>
      </c>
    </row>
    <row r="243" spans="1:3" hidden="1" x14ac:dyDescent="0.25">
      <c r="A243" t="s">
        <v>1104</v>
      </c>
      <c r="C243" t="b">
        <f>INDEX([1]Sheet3!$A$1:$M$1031,MATCH(A243,[1]Sheet3!$B:$B,0),13)</f>
        <v>0</v>
      </c>
    </row>
    <row r="244" spans="1:3" hidden="1" x14ac:dyDescent="0.25">
      <c r="A244" t="s">
        <v>1105</v>
      </c>
      <c r="B244" t="s">
        <v>50</v>
      </c>
      <c r="C244" t="b">
        <f>INDEX([1]Sheet3!$A$1:$M$1031,MATCH(A244,[1]Sheet3!$B:$B,0),13)</f>
        <v>1</v>
      </c>
    </row>
    <row r="245" spans="1:3" hidden="1" x14ac:dyDescent="0.25">
      <c r="A245" t="s">
        <v>1106</v>
      </c>
      <c r="B245" t="s">
        <v>50</v>
      </c>
      <c r="C245" t="b">
        <f>INDEX([1]Sheet3!$A$1:$M$1031,MATCH(A245,[1]Sheet3!$B:$B,0),13)</f>
        <v>1</v>
      </c>
    </row>
    <row r="246" spans="1:3" hidden="1" x14ac:dyDescent="0.25">
      <c r="A246" t="s">
        <v>1107</v>
      </c>
      <c r="B246" t="s">
        <v>50</v>
      </c>
      <c r="C246" t="b">
        <f>INDEX([1]Sheet3!$A$1:$M$1031,MATCH(A246,[1]Sheet3!$B:$B,0),13)</f>
        <v>1</v>
      </c>
    </row>
    <row r="247" spans="1:3" hidden="1" x14ac:dyDescent="0.25">
      <c r="A247" t="s">
        <v>1108</v>
      </c>
      <c r="C247" t="b">
        <f>INDEX([1]Sheet3!$A$1:$M$1031,MATCH(A247,[1]Sheet3!$B:$B,0),13)</f>
        <v>0</v>
      </c>
    </row>
    <row r="248" spans="1:3" hidden="1" x14ac:dyDescent="0.25">
      <c r="A248" t="s">
        <v>1109</v>
      </c>
      <c r="C248" t="b">
        <f>INDEX([1]Sheet3!$A$1:$M$1031,MATCH(A248,[1]Sheet3!$B:$B,0),13)</f>
        <v>0</v>
      </c>
    </row>
    <row r="249" spans="1:3" hidden="1" x14ac:dyDescent="0.25">
      <c r="A249" t="s">
        <v>1110</v>
      </c>
      <c r="C249" t="b">
        <f>INDEX([1]Sheet3!$A$1:$M$1031,MATCH(A249,[1]Sheet3!$B:$B,0),13)</f>
        <v>0</v>
      </c>
    </row>
    <row r="250" spans="1:3" hidden="1" x14ac:dyDescent="0.25">
      <c r="A250" t="s">
        <v>1111</v>
      </c>
      <c r="B250" t="s">
        <v>50</v>
      </c>
      <c r="C250" t="b">
        <f>INDEX([1]Sheet3!$A$1:$M$1031,MATCH(A250,[1]Sheet3!$B:$B,0),13)</f>
        <v>1</v>
      </c>
    </row>
    <row r="251" spans="1:3" hidden="1" x14ac:dyDescent="0.25">
      <c r="A251" t="s">
        <v>1112</v>
      </c>
      <c r="B251" t="s">
        <v>50</v>
      </c>
      <c r="C251" t="b">
        <f>INDEX([1]Sheet3!$A$1:$M$1031,MATCH(A251,[1]Sheet3!$B:$B,0),13)</f>
        <v>1</v>
      </c>
    </row>
    <row r="252" spans="1:3" hidden="1" x14ac:dyDescent="0.25">
      <c r="A252" t="s">
        <v>1113</v>
      </c>
      <c r="B252" t="s">
        <v>50</v>
      </c>
      <c r="C252" t="b">
        <f>INDEX([1]Sheet3!$A$1:$M$1031,MATCH(A252,[1]Sheet3!$B:$B,0),13)</f>
        <v>1</v>
      </c>
    </row>
    <row r="253" spans="1:3" hidden="1" x14ac:dyDescent="0.25">
      <c r="A253" t="s">
        <v>1114</v>
      </c>
      <c r="C253" t="b">
        <f>INDEX([1]Sheet3!$A$1:$M$1031,MATCH(A253,[1]Sheet3!$B:$B,0),13)</f>
        <v>0</v>
      </c>
    </row>
    <row r="254" spans="1:3" hidden="1" x14ac:dyDescent="0.25">
      <c r="A254" t="s">
        <v>1115</v>
      </c>
      <c r="C254" t="b">
        <f>INDEX([1]Sheet3!$A$1:$M$1031,MATCH(A254,[1]Sheet3!$B:$B,0),13)</f>
        <v>0</v>
      </c>
    </row>
    <row r="255" spans="1:3" hidden="1" x14ac:dyDescent="0.25">
      <c r="A255" t="s">
        <v>1116</v>
      </c>
      <c r="C255" t="b">
        <f>INDEX([1]Sheet3!$A$1:$M$1031,MATCH(A255,[1]Sheet3!$B:$B,0),13)</f>
        <v>0</v>
      </c>
    </row>
    <row r="256" spans="1:3" hidden="1" x14ac:dyDescent="0.25">
      <c r="A256" t="s">
        <v>1117</v>
      </c>
      <c r="C256" t="b">
        <f>INDEX([1]Sheet3!$A$1:$M$1031,MATCH(A256,[1]Sheet3!$B:$B,0),13)</f>
        <v>0</v>
      </c>
    </row>
    <row r="257" spans="1:3" hidden="1" x14ac:dyDescent="0.25">
      <c r="A257" t="s">
        <v>1118</v>
      </c>
      <c r="C257" t="b">
        <f>INDEX([1]Sheet3!$A$1:$M$1031,MATCH(A257,[1]Sheet3!$B:$B,0),13)</f>
        <v>0</v>
      </c>
    </row>
    <row r="258" spans="1:3" hidden="1" x14ac:dyDescent="0.25">
      <c r="A258" t="s">
        <v>1119</v>
      </c>
      <c r="C258" t="b">
        <f>INDEX([1]Sheet3!$A$1:$M$1031,MATCH(A258,[1]Sheet3!$B:$B,0),13)</f>
        <v>0</v>
      </c>
    </row>
    <row r="259" spans="1:3" hidden="1" x14ac:dyDescent="0.25">
      <c r="A259" t="s">
        <v>1120</v>
      </c>
      <c r="C259" t="b">
        <f>INDEX([1]Sheet3!$A$1:$M$1031,MATCH(A259,[1]Sheet3!$B:$B,0),13)</f>
        <v>0</v>
      </c>
    </row>
    <row r="260" spans="1:3" hidden="1" x14ac:dyDescent="0.25">
      <c r="A260" t="s">
        <v>1121</v>
      </c>
      <c r="C260" t="b">
        <f>INDEX([1]Sheet3!$A$1:$M$1031,MATCH(A260,[1]Sheet3!$B:$B,0),13)</f>
        <v>0</v>
      </c>
    </row>
    <row r="261" spans="1:3" hidden="1" x14ac:dyDescent="0.25">
      <c r="A261" t="s">
        <v>1122</v>
      </c>
      <c r="C261" t="b">
        <f>INDEX([1]Sheet3!$A$1:$M$1031,MATCH(A261,[1]Sheet3!$B:$B,0),13)</f>
        <v>0</v>
      </c>
    </row>
    <row r="262" spans="1:3" hidden="1" x14ac:dyDescent="0.25">
      <c r="A262" t="s">
        <v>1123</v>
      </c>
      <c r="C262" t="b">
        <f>INDEX([1]Sheet3!$A$1:$M$1031,MATCH(A262,[1]Sheet3!$B:$B,0),13)</f>
        <v>0</v>
      </c>
    </row>
    <row r="263" spans="1:3" hidden="1" x14ac:dyDescent="0.25">
      <c r="A263" t="s">
        <v>1124</v>
      </c>
      <c r="C263" t="b">
        <f>INDEX([1]Sheet3!$A$1:$M$1031,MATCH(A263,[1]Sheet3!$B:$B,0),13)</f>
        <v>0</v>
      </c>
    </row>
    <row r="264" spans="1:3" hidden="1" x14ac:dyDescent="0.25">
      <c r="A264" t="s">
        <v>1125</v>
      </c>
      <c r="C264" t="b">
        <f>INDEX([1]Sheet3!$A$1:$M$1031,MATCH(A264,[1]Sheet3!$B:$B,0),13)</f>
        <v>0</v>
      </c>
    </row>
    <row r="265" spans="1:3" hidden="1" x14ac:dyDescent="0.25">
      <c r="A265" t="s">
        <v>1126</v>
      </c>
      <c r="C265" t="b">
        <f>INDEX([1]Sheet3!$A$1:$M$1031,MATCH(A265,[1]Sheet3!$B:$B,0),13)</f>
        <v>0</v>
      </c>
    </row>
    <row r="266" spans="1:3" hidden="1" x14ac:dyDescent="0.25">
      <c r="A266" t="s">
        <v>1127</v>
      </c>
      <c r="C266" t="b">
        <f>INDEX([1]Sheet3!$A$1:$M$1031,MATCH(A266,[1]Sheet3!$B:$B,0),13)</f>
        <v>0</v>
      </c>
    </row>
    <row r="267" spans="1:3" hidden="1" x14ac:dyDescent="0.25">
      <c r="A267" t="s">
        <v>1128</v>
      </c>
      <c r="C267" t="b">
        <f>INDEX([1]Sheet3!$A$1:$M$1031,MATCH(A267,[1]Sheet3!$B:$B,0),13)</f>
        <v>0</v>
      </c>
    </row>
    <row r="268" spans="1:3" hidden="1" x14ac:dyDescent="0.25">
      <c r="A268" t="s">
        <v>1129</v>
      </c>
      <c r="C268" t="b">
        <f>INDEX([1]Sheet3!$A$1:$M$1031,MATCH(A268,[1]Sheet3!$B:$B,0),13)</f>
        <v>0</v>
      </c>
    </row>
    <row r="269" spans="1:3" hidden="1" x14ac:dyDescent="0.25">
      <c r="A269" t="s">
        <v>1130</v>
      </c>
      <c r="C269" t="b">
        <f>INDEX([1]Sheet3!$A$1:$M$1031,MATCH(A269,[1]Sheet3!$B:$B,0),13)</f>
        <v>0</v>
      </c>
    </row>
    <row r="270" spans="1:3" hidden="1" x14ac:dyDescent="0.25">
      <c r="A270" t="s">
        <v>1131</v>
      </c>
      <c r="C270" t="b">
        <f>INDEX([1]Sheet3!$A$1:$M$1031,MATCH(A270,[1]Sheet3!$B:$B,0),13)</f>
        <v>0</v>
      </c>
    </row>
    <row r="271" spans="1:3" hidden="1" x14ac:dyDescent="0.25">
      <c r="A271" t="s">
        <v>1132</v>
      </c>
      <c r="C271" t="b">
        <f>INDEX([1]Sheet3!$A$1:$M$1031,MATCH(A271,[1]Sheet3!$B:$B,0),13)</f>
        <v>0</v>
      </c>
    </row>
    <row r="272" spans="1:3" hidden="1" x14ac:dyDescent="0.25">
      <c r="A272" t="s">
        <v>1133</v>
      </c>
      <c r="C272" t="b">
        <f>INDEX([1]Sheet3!$A$1:$M$1031,MATCH(A272,[1]Sheet3!$B:$B,0),13)</f>
        <v>0</v>
      </c>
    </row>
    <row r="273" spans="1:3" hidden="1" x14ac:dyDescent="0.25">
      <c r="A273" t="s">
        <v>1134</v>
      </c>
      <c r="C273" t="b">
        <f>INDEX([1]Sheet3!$A$1:$M$1031,MATCH(A273,[1]Sheet3!$B:$B,0),13)</f>
        <v>0</v>
      </c>
    </row>
    <row r="274" spans="1:3" hidden="1" x14ac:dyDescent="0.25">
      <c r="A274" t="s">
        <v>1135</v>
      </c>
      <c r="C274" t="b">
        <f>INDEX([1]Sheet3!$A$1:$M$1031,MATCH(A274,[1]Sheet3!$B:$B,0),13)</f>
        <v>0</v>
      </c>
    </row>
    <row r="275" spans="1:3" hidden="1" x14ac:dyDescent="0.25">
      <c r="A275" t="s">
        <v>1136</v>
      </c>
      <c r="C275" t="b">
        <f>INDEX([1]Sheet3!$A$1:$M$1031,MATCH(A275,[1]Sheet3!$B:$B,0),13)</f>
        <v>0</v>
      </c>
    </row>
    <row r="276" spans="1:3" hidden="1" x14ac:dyDescent="0.25">
      <c r="A276" t="s">
        <v>1137</v>
      </c>
      <c r="C276" t="b">
        <f>INDEX([1]Sheet3!$A$1:$M$1031,MATCH(A276,[1]Sheet3!$B:$B,0),13)</f>
        <v>0</v>
      </c>
    </row>
    <row r="277" spans="1:3" hidden="1" x14ac:dyDescent="0.25">
      <c r="A277" t="s">
        <v>1138</v>
      </c>
      <c r="C277" t="b">
        <f>INDEX([1]Sheet3!$A$1:$M$1031,MATCH(A277,[1]Sheet3!$B:$B,0),13)</f>
        <v>0</v>
      </c>
    </row>
    <row r="278" spans="1:3" hidden="1" x14ac:dyDescent="0.25">
      <c r="A278" t="s">
        <v>1139</v>
      </c>
      <c r="C278" t="b">
        <f>INDEX([1]Sheet3!$A$1:$M$1031,MATCH(A278,[1]Sheet3!$B:$B,0),13)</f>
        <v>0</v>
      </c>
    </row>
    <row r="279" spans="1:3" hidden="1" x14ac:dyDescent="0.25">
      <c r="A279" t="s">
        <v>1140</v>
      </c>
      <c r="C279" t="b">
        <f>INDEX([1]Sheet3!$A$1:$M$1031,MATCH(A279,[1]Sheet3!$B:$B,0),13)</f>
        <v>0</v>
      </c>
    </row>
    <row r="280" spans="1:3" hidden="1" x14ac:dyDescent="0.25">
      <c r="A280" t="s">
        <v>1141</v>
      </c>
      <c r="C280" t="b">
        <f>INDEX([1]Sheet3!$A$1:$M$1031,MATCH(A280,[1]Sheet3!$B:$B,0),13)</f>
        <v>0</v>
      </c>
    </row>
    <row r="281" spans="1:3" hidden="1" x14ac:dyDescent="0.25">
      <c r="A281" t="s">
        <v>1142</v>
      </c>
      <c r="C281" t="b">
        <f>INDEX([1]Sheet3!$A$1:$M$1031,MATCH(A281,[1]Sheet3!$B:$B,0),13)</f>
        <v>0</v>
      </c>
    </row>
    <row r="282" spans="1:3" hidden="1" x14ac:dyDescent="0.25">
      <c r="A282" t="s">
        <v>1143</v>
      </c>
      <c r="C282" t="b">
        <f>INDEX([1]Sheet3!$A$1:$M$1031,MATCH(A282,[1]Sheet3!$B:$B,0),13)</f>
        <v>0</v>
      </c>
    </row>
    <row r="283" spans="1:3" hidden="1" x14ac:dyDescent="0.25">
      <c r="A283" t="s">
        <v>1144</v>
      </c>
      <c r="C283" t="b">
        <f>INDEX([1]Sheet3!$A$1:$M$1031,MATCH(A283,[1]Sheet3!$B:$B,0),13)</f>
        <v>0</v>
      </c>
    </row>
    <row r="284" spans="1:3" hidden="1" x14ac:dyDescent="0.25">
      <c r="A284" t="s">
        <v>1145</v>
      </c>
      <c r="C284" t="b">
        <f>INDEX([1]Sheet3!$A$1:$M$1031,MATCH(A284,[1]Sheet3!$B:$B,0),13)</f>
        <v>0</v>
      </c>
    </row>
    <row r="285" spans="1:3" hidden="1" x14ac:dyDescent="0.25">
      <c r="A285" t="s">
        <v>1146</v>
      </c>
      <c r="C285" t="b">
        <f>INDEX([1]Sheet3!$A$1:$M$1031,MATCH(A285,[1]Sheet3!$B:$B,0),13)</f>
        <v>0</v>
      </c>
    </row>
    <row r="286" spans="1:3" hidden="1" x14ac:dyDescent="0.25">
      <c r="A286" t="s">
        <v>1147</v>
      </c>
      <c r="C286" t="b">
        <f>INDEX([1]Sheet3!$A$1:$M$1031,MATCH(A286,[1]Sheet3!$B:$B,0),13)</f>
        <v>0</v>
      </c>
    </row>
    <row r="287" spans="1:3" hidden="1" x14ac:dyDescent="0.25">
      <c r="A287" t="s">
        <v>1148</v>
      </c>
      <c r="C287" t="b">
        <f>INDEX([1]Sheet3!$A$1:$M$1031,MATCH(A287,[1]Sheet3!$B:$B,0),13)</f>
        <v>0</v>
      </c>
    </row>
    <row r="288" spans="1:3" hidden="1" x14ac:dyDescent="0.25">
      <c r="A288" t="s">
        <v>1149</v>
      </c>
      <c r="C288" t="b">
        <f>INDEX([1]Sheet3!$A$1:$M$1031,MATCH(A288,[1]Sheet3!$B:$B,0),13)</f>
        <v>0</v>
      </c>
    </row>
    <row r="289" spans="1:3" hidden="1" x14ac:dyDescent="0.25">
      <c r="A289" t="s">
        <v>1150</v>
      </c>
      <c r="C289" t="b">
        <f>INDEX([1]Sheet3!$A$1:$M$1031,MATCH(A289,[1]Sheet3!$B:$B,0),13)</f>
        <v>0</v>
      </c>
    </row>
    <row r="290" spans="1:3" hidden="1" x14ac:dyDescent="0.25">
      <c r="A290" t="s">
        <v>1151</v>
      </c>
      <c r="C290" t="b">
        <f>INDEX([1]Sheet3!$A$1:$M$1031,MATCH(A290,[1]Sheet3!$B:$B,0),13)</f>
        <v>0</v>
      </c>
    </row>
    <row r="291" spans="1:3" hidden="1" x14ac:dyDescent="0.25">
      <c r="A291" t="s">
        <v>1152</v>
      </c>
      <c r="C291" t="b">
        <f>INDEX([1]Sheet3!$A$1:$M$1031,MATCH(A291,[1]Sheet3!$B:$B,0),13)</f>
        <v>0</v>
      </c>
    </row>
    <row r="292" spans="1:3" hidden="1" x14ac:dyDescent="0.25">
      <c r="A292" t="s">
        <v>1153</v>
      </c>
      <c r="C292" t="b">
        <f>INDEX([1]Sheet3!$A$1:$M$1031,MATCH(A292,[1]Sheet3!$B:$B,0),13)</f>
        <v>0</v>
      </c>
    </row>
    <row r="293" spans="1:3" hidden="1" x14ac:dyDescent="0.25">
      <c r="A293" t="s">
        <v>1154</v>
      </c>
      <c r="C293" t="b">
        <f>INDEX([1]Sheet3!$A$1:$M$1031,MATCH(A293,[1]Sheet3!$B:$B,0),13)</f>
        <v>0</v>
      </c>
    </row>
    <row r="294" spans="1:3" hidden="1" x14ac:dyDescent="0.25">
      <c r="A294" t="s">
        <v>1155</v>
      </c>
      <c r="C294" t="b">
        <f>INDEX([1]Sheet3!$A$1:$M$1031,MATCH(A294,[1]Sheet3!$B:$B,0),13)</f>
        <v>0</v>
      </c>
    </row>
    <row r="295" spans="1:3" hidden="1" x14ac:dyDescent="0.25">
      <c r="A295" t="s">
        <v>1156</v>
      </c>
      <c r="C295" t="b">
        <f>INDEX([1]Sheet3!$A$1:$M$1031,MATCH(A295,[1]Sheet3!$B:$B,0),13)</f>
        <v>0</v>
      </c>
    </row>
    <row r="296" spans="1:3" hidden="1" x14ac:dyDescent="0.25">
      <c r="A296" t="s">
        <v>1157</v>
      </c>
      <c r="C296" t="b">
        <f>INDEX([1]Sheet3!$A$1:$M$1031,MATCH(A296,[1]Sheet3!$B:$B,0),13)</f>
        <v>0</v>
      </c>
    </row>
    <row r="297" spans="1:3" hidden="1" x14ac:dyDescent="0.25">
      <c r="A297" t="s">
        <v>1158</v>
      </c>
      <c r="C297" t="b">
        <f>INDEX([1]Sheet3!$A$1:$M$1031,MATCH(A297,[1]Sheet3!$B:$B,0),13)</f>
        <v>0</v>
      </c>
    </row>
    <row r="298" spans="1:3" hidden="1" x14ac:dyDescent="0.25">
      <c r="A298" t="s">
        <v>1159</v>
      </c>
      <c r="C298" t="b">
        <f>INDEX([1]Sheet3!$A$1:$M$1031,MATCH(A298,[1]Sheet3!$B:$B,0),13)</f>
        <v>0</v>
      </c>
    </row>
    <row r="299" spans="1:3" hidden="1" x14ac:dyDescent="0.25">
      <c r="A299" t="s">
        <v>1160</v>
      </c>
      <c r="C299" t="b">
        <f>INDEX([1]Sheet3!$A$1:$M$1031,MATCH(A299,[1]Sheet3!$B:$B,0),13)</f>
        <v>0</v>
      </c>
    </row>
    <row r="300" spans="1:3" hidden="1" x14ac:dyDescent="0.25">
      <c r="A300" t="s">
        <v>1161</v>
      </c>
      <c r="C300" t="b">
        <f>INDEX([1]Sheet3!$A$1:$M$1031,MATCH(A300,[1]Sheet3!$B:$B,0),13)</f>
        <v>0</v>
      </c>
    </row>
    <row r="301" spans="1:3" hidden="1" x14ac:dyDescent="0.25">
      <c r="A301" t="s">
        <v>1162</v>
      </c>
      <c r="C301" t="b">
        <f>INDEX([1]Sheet3!$A$1:$M$1031,MATCH(A301,[1]Sheet3!$B:$B,0),13)</f>
        <v>0</v>
      </c>
    </row>
    <row r="302" spans="1:3" hidden="1" x14ac:dyDescent="0.25">
      <c r="A302" t="s">
        <v>1163</v>
      </c>
      <c r="C302" t="b">
        <f>INDEX([1]Sheet3!$A$1:$M$1031,MATCH(A302,[1]Sheet3!$B:$B,0),13)</f>
        <v>0</v>
      </c>
    </row>
    <row r="303" spans="1:3" hidden="1" x14ac:dyDescent="0.25">
      <c r="A303" t="s">
        <v>1164</v>
      </c>
      <c r="C303" t="b">
        <f>INDEX([1]Sheet3!$A$1:$M$1031,MATCH(A303,[1]Sheet3!$B:$B,0),13)</f>
        <v>0</v>
      </c>
    </row>
    <row r="304" spans="1:3" hidden="1" x14ac:dyDescent="0.25">
      <c r="A304" t="s">
        <v>1165</v>
      </c>
      <c r="C304" t="b">
        <f>INDEX([1]Sheet3!$A$1:$M$1031,MATCH(A304,[1]Sheet3!$B:$B,0),13)</f>
        <v>0</v>
      </c>
    </row>
    <row r="305" spans="1:3" hidden="1" x14ac:dyDescent="0.25">
      <c r="A305" t="s">
        <v>1166</v>
      </c>
      <c r="C305" t="b">
        <f>INDEX([1]Sheet3!$A$1:$M$1031,MATCH(A305,[1]Sheet3!$B:$B,0),13)</f>
        <v>0</v>
      </c>
    </row>
    <row r="306" spans="1:3" hidden="1" x14ac:dyDescent="0.25">
      <c r="A306" t="s">
        <v>1167</v>
      </c>
      <c r="C306" t="b">
        <f>INDEX([1]Sheet3!$A$1:$M$1031,MATCH(A306,[1]Sheet3!$B:$B,0),13)</f>
        <v>0</v>
      </c>
    </row>
    <row r="307" spans="1:3" hidden="1" x14ac:dyDescent="0.25">
      <c r="A307" t="s">
        <v>1168</v>
      </c>
      <c r="C307" t="b">
        <f>INDEX([1]Sheet3!$A$1:$M$1031,MATCH(A307,[1]Sheet3!$B:$B,0),13)</f>
        <v>0</v>
      </c>
    </row>
    <row r="308" spans="1:3" hidden="1" x14ac:dyDescent="0.25">
      <c r="A308" t="s">
        <v>1169</v>
      </c>
      <c r="C308" t="b">
        <f>INDEX([1]Sheet3!$A$1:$M$1031,MATCH(A308,[1]Sheet3!$B:$B,0),13)</f>
        <v>0</v>
      </c>
    </row>
    <row r="309" spans="1:3" hidden="1" x14ac:dyDescent="0.25">
      <c r="A309" t="s">
        <v>1170</v>
      </c>
      <c r="C309" t="b">
        <f>INDEX([1]Sheet3!$A$1:$M$1031,MATCH(A309,[1]Sheet3!$B:$B,0),13)</f>
        <v>0</v>
      </c>
    </row>
    <row r="310" spans="1:3" hidden="1" x14ac:dyDescent="0.25">
      <c r="A310" t="s">
        <v>1171</v>
      </c>
      <c r="C310" t="b">
        <f>INDEX([1]Sheet3!$A$1:$M$1031,MATCH(A310,[1]Sheet3!$B:$B,0),13)</f>
        <v>0</v>
      </c>
    </row>
    <row r="311" spans="1:3" hidden="1" x14ac:dyDescent="0.25">
      <c r="A311" t="s">
        <v>1172</v>
      </c>
      <c r="C311" t="b">
        <f>INDEX([1]Sheet3!$A$1:$M$1031,MATCH(A311,[1]Sheet3!$B:$B,0),13)</f>
        <v>0</v>
      </c>
    </row>
    <row r="312" spans="1:3" hidden="1" x14ac:dyDescent="0.25">
      <c r="A312" t="s">
        <v>1173</v>
      </c>
      <c r="C312" t="b">
        <f>INDEX([1]Sheet3!$A$1:$M$1031,MATCH(A312,[1]Sheet3!$B:$B,0),13)</f>
        <v>0</v>
      </c>
    </row>
    <row r="313" spans="1:3" hidden="1" x14ac:dyDescent="0.25">
      <c r="A313" t="s">
        <v>1174</v>
      </c>
      <c r="C313" t="b">
        <f>INDEX([1]Sheet3!$A$1:$M$1031,MATCH(A313,[1]Sheet3!$B:$B,0),13)</f>
        <v>0</v>
      </c>
    </row>
    <row r="314" spans="1:3" hidden="1" x14ac:dyDescent="0.25">
      <c r="A314" t="s">
        <v>1175</v>
      </c>
      <c r="C314" t="b">
        <f>INDEX([1]Sheet3!$A$1:$M$1031,MATCH(A314,[1]Sheet3!$B:$B,0),13)</f>
        <v>0</v>
      </c>
    </row>
    <row r="315" spans="1:3" hidden="1" x14ac:dyDescent="0.25">
      <c r="A315" t="s">
        <v>1176</v>
      </c>
      <c r="C315" t="b">
        <f>INDEX([1]Sheet3!$A$1:$M$1031,MATCH(A315,[1]Sheet3!$B:$B,0),13)</f>
        <v>0</v>
      </c>
    </row>
    <row r="316" spans="1:3" hidden="1" x14ac:dyDescent="0.25">
      <c r="A316" t="s">
        <v>1177</v>
      </c>
      <c r="C316" t="b">
        <f>INDEX([1]Sheet3!$A$1:$M$1031,MATCH(A316,[1]Sheet3!$B:$B,0),13)</f>
        <v>0</v>
      </c>
    </row>
    <row r="317" spans="1:3" hidden="1" x14ac:dyDescent="0.25">
      <c r="A317" t="s">
        <v>1178</v>
      </c>
      <c r="C317" t="b">
        <f>INDEX([1]Sheet3!$A$1:$M$1031,MATCH(A317,[1]Sheet3!$B:$B,0),13)</f>
        <v>0</v>
      </c>
    </row>
    <row r="318" spans="1:3" hidden="1" x14ac:dyDescent="0.25">
      <c r="A318" t="s">
        <v>1179</v>
      </c>
      <c r="C318" t="b">
        <f>INDEX([1]Sheet3!$A$1:$M$1031,MATCH(A318,[1]Sheet3!$B:$B,0),13)</f>
        <v>0</v>
      </c>
    </row>
    <row r="319" spans="1:3" hidden="1" x14ac:dyDescent="0.25">
      <c r="A319" t="s">
        <v>1180</v>
      </c>
      <c r="C319" t="b">
        <f>INDEX([1]Sheet3!$A$1:$M$1031,MATCH(A319,[1]Sheet3!$B:$B,0),13)</f>
        <v>0</v>
      </c>
    </row>
    <row r="320" spans="1:3" hidden="1" x14ac:dyDescent="0.25">
      <c r="A320" t="s">
        <v>1181</v>
      </c>
      <c r="C320" t="b">
        <f>INDEX([1]Sheet3!$A$1:$M$1031,MATCH(A320,[1]Sheet3!$B:$B,0),13)</f>
        <v>0</v>
      </c>
    </row>
    <row r="321" spans="1:3" hidden="1" x14ac:dyDescent="0.25">
      <c r="A321" t="s">
        <v>1182</v>
      </c>
      <c r="C321" t="b">
        <f>INDEX([1]Sheet3!$A$1:$M$1031,MATCH(A321,[1]Sheet3!$B:$B,0),13)</f>
        <v>0</v>
      </c>
    </row>
    <row r="322" spans="1:3" hidden="1" x14ac:dyDescent="0.25">
      <c r="A322" t="s">
        <v>1183</v>
      </c>
      <c r="C322" t="b">
        <f>INDEX([1]Sheet3!$A$1:$M$1031,MATCH(A322,[1]Sheet3!$B:$B,0),13)</f>
        <v>0</v>
      </c>
    </row>
    <row r="323" spans="1:3" hidden="1" x14ac:dyDescent="0.25">
      <c r="A323" t="s">
        <v>1184</v>
      </c>
      <c r="C323" t="b">
        <f>INDEX([1]Sheet3!$A$1:$M$1031,MATCH(A323,[1]Sheet3!$B:$B,0),13)</f>
        <v>0</v>
      </c>
    </row>
    <row r="324" spans="1:3" hidden="1" x14ac:dyDescent="0.25">
      <c r="A324" t="s">
        <v>1185</v>
      </c>
      <c r="C324" t="b">
        <f>INDEX([1]Sheet3!$A$1:$M$1031,MATCH(A324,[1]Sheet3!$B:$B,0),13)</f>
        <v>0</v>
      </c>
    </row>
    <row r="325" spans="1:3" hidden="1" x14ac:dyDescent="0.25">
      <c r="A325" t="s">
        <v>1186</v>
      </c>
      <c r="C325" t="b">
        <f>INDEX([1]Sheet3!$A$1:$M$1031,MATCH(A325,[1]Sheet3!$B:$B,0),13)</f>
        <v>0</v>
      </c>
    </row>
    <row r="326" spans="1:3" hidden="1" x14ac:dyDescent="0.25">
      <c r="A326" t="s">
        <v>1187</v>
      </c>
      <c r="C326" t="b">
        <f>INDEX([1]Sheet3!$A$1:$M$1031,MATCH(A326,[1]Sheet3!$B:$B,0),13)</f>
        <v>0</v>
      </c>
    </row>
    <row r="327" spans="1:3" hidden="1" x14ac:dyDescent="0.25">
      <c r="A327" t="s">
        <v>1188</v>
      </c>
      <c r="C327" t="b">
        <f>INDEX([1]Sheet3!$A$1:$M$1031,MATCH(A327,[1]Sheet3!$B:$B,0),13)</f>
        <v>0</v>
      </c>
    </row>
    <row r="328" spans="1:3" hidden="1" x14ac:dyDescent="0.25">
      <c r="A328" t="s">
        <v>1189</v>
      </c>
      <c r="C328" t="b">
        <f>INDEX([1]Sheet3!$A$1:$M$1031,MATCH(A328,[1]Sheet3!$B:$B,0),13)</f>
        <v>0</v>
      </c>
    </row>
    <row r="329" spans="1:3" hidden="1" x14ac:dyDescent="0.25">
      <c r="A329" t="s">
        <v>1190</v>
      </c>
      <c r="C329" t="b">
        <f>INDEX([1]Sheet3!$A$1:$M$1031,MATCH(A329,[1]Sheet3!$B:$B,0),13)</f>
        <v>0</v>
      </c>
    </row>
    <row r="330" spans="1:3" hidden="1" x14ac:dyDescent="0.25">
      <c r="A330" t="s">
        <v>1191</v>
      </c>
      <c r="C330" t="b">
        <f>INDEX([1]Sheet3!$A$1:$M$1031,MATCH(A330,[1]Sheet3!$B:$B,0),13)</f>
        <v>0</v>
      </c>
    </row>
    <row r="331" spans="1:3" hidden="1" x14ac:dyDescent="0.25">
      <c r="A331" t="s">
        <v>1192</v>
      </c>
      <c r="C331" t="b">
        <f>INDEX([1]Sheet3!$A$1:$M$1031,MATCH(A331,[1]Sheet3!$B:$B,0),13)</f>
        <v>0</v>
      </c>
    </row>
    <row r="332" spans="1:3" hidden="1" x14ac:dyDescent="0.25">
      <c r="A332" t="s">
        <v>1193</v>
      </c>
      <c r="C332" t="b">
        <f>INDEX([1]Sheet3!$A$1:$M$1031,MATCH(A332,[1]Sheet3!$B:$B,0),13)</f>
        <v>0</v>
      </c>
    </row>
    <row r="333" spans="1:3" hidden="1" x14ac:dyDescent="0.25">
      <c r="A333" t="s">
        <v>1194</v>
      </c>
      <c r="C333" t="b">
        <f>INDEX([1]Sheet3!$A$1:$M$1031,MATCH(A333,[1]Sheet3!$B:$B,0),13)</f>
        <v>0</v>
      </c>
    </row>
    <row r="334" spans="1:3" hidden="1" x14ac:dyDescent="0.25">
      <c r="A334" t="s">
        <v>1195</v>
      </c>
      <c r="C334" t="b">
        <f>INDEX([1]Sheet3!$A$1:$M$1031,MATCH(A334,[1]Sheet3!$B:$B,0),13)</f>
        <v>0</v>
      </c>
    </row>
    <row r="335" spans="1:3" hidden="1" x14ac:dyDescent="0.25">
      <c r="A335" t="s">
        <v>1196</v>
      </c>
      <c r="C335" t="b">
        <f>INDEX([1]Sheet3!$A$1:$M$1031,MATCH(A335,[1]Sheet3!$B:$B,0),13)</f>
        <v>0</v>
      </c>
    </row>
    <row r="336" spans="1:3" hidden="1" x14ac:dyDescent="0.25">
      <c r="A336" t="s">
        <v>1197</v>
      </c>
      <c r="C336" t="b">
        <f>INDEX([1]Sheet3!$A$1:$M$1031,MATCH(A336,[1]Sheet3!$B:$B,0),13)</f>
        <v>0</v>
      </c>
    </row>
    <row r="337" spans="1:3" hidden="1" x14ac:dyDescent="0.25">
      <c r="A337" t="s">
        <v>1198</v>
      </c>
      <c r="C337" t="b">
        <f>INDEX([1]Sheet3!$A$1:$M$1031,MATCH(A337,[1]Sheet3!$B:$B,0),13)</f>
        <v>0</v>
      </c>
    </row>
    <row r="338" spans="1:3" hidden="1" x14ac:dyDescent="0.25">
      <c r="A338" t="s">
        <v>1199</v>
      </c>
      <c r="C338" t="b">
        <f>INDEX([1]Sheet3!$A$1:$M$1031,MATCH(A338,[1]Sheet3!$B:$B,0),13)</f>
        <v>0</v>
      </c>
    </row>
    <row r="339" spans="1:3" hidden="1" x14ac:dyDescent="0.25">
      <c r="A339" t="s">
        <v>1200</v>
      </c>
      <c r="C339" t="b">
        <f>INDEX([1]Sheet3!$A$1:$M$1031,MATCH(A339,[1]Sheet3!$B:$B,0),13)</f>
        <v>0</v>
      </c>
    </row>
    <row r="340" spans="1:3" hidden="1" x14ac:dyDescent="0.25">
      <c r="A340" t="s">
        <v>1201</v>
      </c>
      <c r="C340" t="b">
        <f>INDEX([1]Sheet3!$A$1:$M$1031,MATCH(A340,[1]Sheet3!$B:$B,0),13)</f>
        <v>0</v>
      </c>
    </row>
    <row r="341" spans="1:3" hidden="1" x14ac:dyDescent="0.25">
      <c r="A341" t="s">
        <v>1202</v>
      </c>
      <c r="C341" t="b">
        <f>INDEX([1]Sheet3!$A$1:$M$1031,MATCH(A341,[1]Sheet3!$B:$B,0),13)</f>
        <v>0</v>
      </c>
    </row>
    <row r="342" spans="1:3" hidden="1" x14ac:dyDescent="0.25">
      <c r="A342" t="s">
        <v>1203</v>
      </c>
      <c r="C342" t="b">
        <f>INDEX([1]Sheet3!$A$1:$M$1031,MATCH(A342,[1]Sheet3!$B:$B,0),13)</f>
        <v>0</v>
      </c>
    </row>
    <row r="343" spans="1:3" hidden="1" x14ac:dyDescent="0.25">
      <c r="A343" t="s">
        <v>1204</v>
      </c>
      <c r="C343" t="b">
        <f>INDEX([1]Sheet3!$A$1:$M$1031,MATCH(A343,[1]Sheet3!$B:$B,0),13)</f>
        <v>0</v>
      </c>
    </row>
    <row r="344" spans="1:3" hidden="1" x14ac:dyDescent="0.25">
      <c r="A344" t="s">
        <v>1205</v>
      </c>
      <c r="C344" t="b">
        <f>INDEX([1]Sheet3!$A$1:$M$1031,MATCH(A344,[1]Sheet3!$B:$B,0),13)</f>
        <v>0</v>
      </c>
    </row>
    <row r="345" spans="1:3" hidden="1" x14ac:dyDescent="0.25">
      <c r="A345" t="s">
        <v>1206</v>
      </c>
      <c r="C345" t="b">
        <f>INDEX([1]Sheet3!$A$1:$M$1031,MATCH(A345,[1]Sheet3!$B:$B,0),13)</f>
        <v>0</v>
      </c>
    </row>
    <row r="346" spans="1:3" hidden="1" x14ac:dyDescent="0.25">
      <c r="A346" t="s">
        <v>1207</v>
      </c>
      <c r="C346" t="b">
        <f>INDEX([1]Sheet3!$A$1:$M$1031,MATCH(A346,[1]Sheet3!$B:$B,0),13)</f>
        <v>0</v>
      </c>
    </row>
    <row r="347" spans="1:3" hidden="1" x14ac:dyDescent="0.25">
      <c r="A347" t="s">
        <v>1208</v>
      </c>
      <c r="C347" t="b">
        <f>INDEX([1]Sheet3!$A$1:$M$1031,MATCH(A347,[1]Sheet3!$B:$B,0),13)</f>
        <v>0</v>
      </c>
    </row>
    <row r="348" spans="1:3" hidden="1" x14ac:dyDescent="0.25">
      <c r="A348" t="s">
        <v>1209</v>
      </c>
      <c r="C348" t="b">
        <f>INDEX([1]Sheet3!$A$1:$M$1031,MATCH(A348,[1]Sheet3!$B:$B,0),13)</f>
        <v>0</v>
      </c>
    </row>
    <row r="349" spans="1:3" hidden="1" x14ac:dyDescent="0.25">
      <c r="A349" t="s">
        <v>1210</v>
      </c>
      <c r="C349" t="b">
        <f>INDEX([1]Sheet3!$A$1:$M$1031,MATCH(A349,[1]Sheet3!$B:$B,0),13)</f>
        <v>0</v>
      </c>
    </row>
    <row r="350" spans="1:3" hidden="1" x14ac:dyDescent="0.25">
      <c r="A350" t="s">
        <v>1211</v>
      </c>
      <c r="C350" t="b">
        <f>INDEX([1]Sheet3!$A$1:$M$1031,MATCH(A350,[1]Sheet3!$B:$B,0),13)</f>
        <v>0</v>
      </c>
    </row>
    <row r="351" spans="1:3" hidden="1" x14ac:dyDescent="0.25">
      <c r="A351" t="s">
        <v>1212</v>
      </c>
      <c r="C351" t="b">
        <f>INDEX([1]Sheet3!$A$1:$M$1031,MATCH(A351,[1]Sheet3!$B:$B,0),13)</f>
        <v>0</v>
      </c>
    </row>
    <row r="352" spans="1:3" hidden="1" x14ac:dyDescent="0.25">
      <c r="A352" t="s">
        <v>1213</v>
      </c>
      <c r="C352" t="b">
        <f>INDEX([1]Sheet3!$A$1:$M$1031,MATCH(A352,[1]Sheet3!$B:$B,0),13)</f>
        <v>0</v>
      </c>
    </row>
    <row r="353" spans="1:3" hidden="1" x14ac:dyDescent="0.25">
      <c r="A353" t="s">
        <v>1214</v>
      </c>
      <c r="C353" t="b">
        <f>INDEX([1]Sheet3!$A$1:$M$1031,MATCH(A353,[1]Sheet3!$B:$B,0),13)</f>
        <v>0</v>
      </c>
    </row>
    <row r="354" spans="1:3" hidden="1" x14ac:dyDescent="0.25">
      <c r="A354" t="s">
        <v>1215</v>
      </c>
      <c r="C354" t="b">
        <f>INDEX([1]Sheet3!$A$1:$M$1031,MATCH(A354,[1]Sheet3!$B:$B,0),13)</f>
        <v>0</v>
      </c>
    </row>
    <row r="355" spans="1:3" hidden="1" x14ac:dyDescent="0.25">
      <c r="A355" t="s">
        <v>1216</v>
      </c>
      <c r="C355" t="b">
        <f>INDEX([1]Sheet3!$A$1:$M$1031,MATCH(A355,[1]Sheet3!$B:$B,0),13)</f>
        <v>0</v>
      </c>
    </row>
    <row r="356" spans="1:3" hidden="1" x14ac:dyDescent="0.25">
      <c r="A356" t="s">
        <v>1217</v>
      </c>
      <c r="C356" t="b">
        <f>INDEX([1]Sheet3!$A$1:$M$1031,MATCH(A356,[1]Sheet3!$B:$B,0),13)</f>
        <v>0</v>
      </c>
    </row>
    <row r="357" spans="1:3" hidden="1" x14ac:dyDescent="0.25">
      <c r="A357" t="s">
        <v>1218</v>
      </c>
      <c r="C357" t="b">
        <f>INDEX([1]Sheet3!$A$1:$M$1031,MATCH(A357,[1]Sheet3!$B:$B,0),13)</f>
        <v>0</v>
      </c>
    </row>
    <row r="358" spans="1:3" hidden="1" x14ac:dyDescent="0.25">
      <c r="A358" t="s">
        <v>1219</v>
      </c>
      <c r="C358" t="b">
        <f>INDEX([1]Sheet3!$A$1:$M$1031,MATCH(A358,[1]Sheet3!$B:$B,0),13)</f>
        <v>0</v>
      </c>
    </row>
    <row r="359" spans="1:3" hidden="1" x14ac:dyDescent="0.25">
      <c r="A359" t="s">
        <v>1220</v>
      </c>
      <c r="C359" t="b">
        <f>INDEX([1]Sheet3!$A$1:$M$1031,MATCH(A359,[1]Sheet3!$B:$B,0),13)</f>
        <v>0</v>
      </c>
    </row>
    <row r="360" spans="1:3" hidden="1" x14ac:dyDescent="0.25">
      <c r="A360" t="s">
        <v>1221</v>
      </c>
      <c r="C360" t="b">
        <f>INDEX([1]Sheet3!$A$1:$M$1031,MATCH(A360,[1]Sheet3!$B:$B,0),13)</f>
        <v>0</v>
      </c>
    </row>
    <row r="361" spans="1:3" hidden="1" x14ac:dyDescent="0.25">
      <c r="A361" t="s">
        <v>1222</v>
      </c>
      <c r="C361" t="b">
        <f>INDEX([1]Sheet3!$A$1:$M$1031,MATCH(A361,[1]Sheet3!$B:$B,0),13)</f>
        <v>0</v>
      </c>
    </row>
    <row r="362" spans="1:3" hidden="1" x14ac:dyDescent="0.25">
      <c r="A362" t="s">
        <v>1223</v>
      </c>
      <c r="C362" t="b">
        <f>INDEX([1]Sheet3!$A$1:$M$1031,MATCH(A362,[1]Sheet3!$B:$B,0),13)</f>
        <v>0</v>
      </c>
    </row>
    <row r="363" spans="1:3" hidden="1" x14ac:dyDescent="0.25">
      <c r="A363" t="s">
        <v>1224</v>
      </c>
      <c r="C363" t="b">
        <f>INDEX([1]Sheet3!$A$1:$M$1031,MATCH(A363,[1]Sheet3!$B:$B,0),13)</f>
        <v>0</v>
      </c>
    </row>
    <row r="364" spans="1:3" hidden="1" x14ac:dyDescent="0.25">
      <c r="A364" t="s">
        <v>1225</v>
      </c>
      <c r="C364" t="b">
        <f>INDEX([1]Sheet3!$A$1:$M$1031,MATCH(A364,[1]Sheet3!$B:$B,0),13)</f>
        <v>0</v>
      </c>
    </row>
    <row r="365" spans="1:3" hidden="1" x14ac:dyDescent="0.25">
      <c r="A365" t="s">
        <v>1226</v>
      </c>
      <c r="C365" t="b">
        <f>INDEX([1]Sheet3!$A$1:$M$1031,MATCH(A365,[1]Sheet3!$B:$B,0),13)</f>
        <v>0</v>
      </c>
    </row>
    <row r="366" spans="1:3" hidden="1" x14ac:dyDescent="0.25">
      <c r="A366" t="s">
        <v>1227</v>
      </c>
      <c r="C366" t="b">
        <f>INDEX([1]Sheet3!$A$1:$M$1031,MATCH(A366,[1]Sheet3!$B:$B,0),13)</f>
        <v>0</v>
      </c>
    </row>
    <row r="367" spans="1:3" hidden="1" x14ac:dyDescent="0.25">
      <c r="A367" t="s">
        <v>1228</v>
      </c>
      <c r="C367" t="b">
        <f>INDEX([1]Sheet3!$A$1:$M$1031,MATCH(A367,[1]Sheet3!$B:$B,0),13)</f>
        <v>0</v>
      </c>
    </row>
    <row r="368" spans="1:3" hidden="1" x14ac:dyDescent="0.25">
      <c r="A368" t="s">
        <v>1229</v>
      </c>
      <c r="C368" t="b">
        <f>INDEX([1]Sheet3!$A$1:$M$1031,MATCH(A368,[1]Sheet3!$B:$B,0),13)</f>
        <v>0</v>
      </c>
    </row>
    <row r="369" spans="1:3" hidden="1" x14ac:dyDescent="0.25">
      <c r="A369" t="s">
        <v>1230</v>
      </c>
      <c r="C369" t="b">
        <f>INDEX([1]Sheet3!$A$1:$M$1031,MATCH(A369,[1]Sheet3!$B:$B,0),13)</f>
        <v>0</v>
      </c>
    </row>
    <row r="370" spans="1:3" hidden="1" x14ac:dyDescent="0.25">
      <c r="A370" t="s">
        <v>1231</v>
      </c>
      <c r="C370" t="b">
        <f>INDEX([1]Sheet3!$A$1:$M$1031,MATCH(A370,[1]Sheet3!$B:$B,0),13)</f>
        <v>0</v>
      </c>
    </row>
    <row r="371" spans="1:3" hidden="1" x14ac:dyDescent="0.25">
      <c r="A371" t="s">
        <v>1232</v>
      </c>
      <c r="C371" t="b">
        <f>INDEX([1]Sheet3!$A$1:$M$1031,MATCH(A371,[1]Sheet3!$B:$B,0),13)</f>
        <v>0</v>
      </c>
    </row>
    <row r="372" spans="1:3" hidden="1" x14ac:dyDescent="0.25">
      <c r="A372" t="s">
        <v>1233</v>
      </c>
      <c r="C372" t="b">
        <f>INDEX([1]Sheet3!$A$1:$M$1031,MATCH(A372,[1]Sheet3!$B:$B,0),13)</f>
        <v>0</v>
      </c>
    </row>
    <row r="373" spans="1:3" hidden="1" x14ac:dyDescent="0.25">
      <c r="A373" t="s">
        <v>1234</v>
      </c>
      <c r="C373" t="b">
        <f>INDEX([1]Sheet3!$A$1:$M$1031,MATCH(A373,[1]Sheet3!$B:$B,0),13)</f>
        <v>0</v>
      </c>
    </row>
    <row r="374" spans="1:3" hidden="1" x14ac:dyDescent="0.25">
      <c r="A374" t="s">
        <v>1235</v>
      </c>
      <c r="C374" t="b">
        <f>INDEX([1]Sheet3!$A$1:$M$1031,MATCH(A374,[1]Sheet3!$B:$B,0),13)</f>
        <v>0</v>
      </c>
    </row>
    <row r="375" spans="1:3" hidden="1" x14ac:dyDescent="0.25">
      <c r="A375" t="s">
        <v>1236</v>
      </c>
      <c r="C375" t="b">
        <f>INDEX([1]Sheet3!$A$1:$M$1031,MATCH(A375,[1]Sheet3!$B:$B,0),13)</f>
        <v>0</v>
      </c>
    </row>
    <row r="376" spans="1:3" hidden="1" x14ac:dyDescent="0.25">
      <c r="A376" t="s">
        <v>1237</v>
      </c>
      <c r="C376" t="b">
        <f>INDEX([1]Sheet3!$A$1:$M$1031,MATCH(A376,[1]Sheet3!$B:$B,0),13)</f>
        <v>0</v>
      </c>
    </row>
    <row r="377" spans="1:3" hidden="1" x14ac:dyDescent="0.25">
      <c r="A377" t="s">
        <v>1238</v>
      </c>
      <c r="C377" t="b">
        <f>INDEX([1]Sheet3!$A$1:$M$1031,MATCH(A377,[1]Sheet3!$B:$B,0),13)</f>
        <v>0</v>
      </c>
    </row>
    <row r="378" spans="1:3" hidden="1" x14ac:dyDescent="0.25">
      <c r="A378" t="s">
        <v>1239</v>
      </c>
      <c r="C378" t="b">
        <f>INDEX([1]Sheet3!$A$1:$M$1031,MATCH(A378,[1]Sheet3!$B:$B,0),13)</f>
        <v>1</v>
      </c>
    </row>
    <row r="379" spans="1:3" hidden="1" x14ac:dyDescent="0.25">
      <c r="A379" t="s">
        <v>1240</v>
      </c>
      <c r="C379" t="b">
        <f>INDEX([1]Sheet3!$A$1:$M$1031,MATCH(A379,[1]Sheet3!$B:$B,0),13)</f>
        <v>1</v>
      </c>
    </row>
    <row r="380" spans="1:3" hidden="1" x14ac:dyDescent="0.25">
      <c r="A380" t="s">
        <v>1241</v>
      </c>
      <c r="C380" t="b">
        <f>INDEX([1]Sheet3!$A$1:$M$1031,MATCH(A380,[1]Sheet3!$B:$B,0),13)</f>
        <v>1</v>
      </c>
    </row>
    <row r="381" spans="1:3" hidden="1" x14ac:dyDescent="0.25">
      <c r="A381" t="s">
        <v>1242</v>
      </c>
      <c r="B381" t="s">
        <v>50</v>
      </c>
      <c r="C381" t="b">
        <f>INDEX([1]Sheet3!$A$1:$M$1031,MATCH(A381,[1]Sheet3!$B:$B,0),13)</f>
        <v>1</v>
      </c>
    </row>
    <row r="382" spans="1:3" hidden="1" x14ac:dyDescent="0.25">
      <c r="A382" t="s">
        <v>1243</v>
      </c>
      <c r="B382" t="s">
        <v>50</v>
      </c>
      <c r="C382" t="b">
        <f>INDEX([1]Sheet3!$A$1:$M$1031,MATCH(A382,[1]Sheet3!$B:$B,0),13)</f>
        <v>1</v>
      </c>
    </row>
    <row r="383" spans="1:3" hidden="1" x14ac:dyDescent="0.25">
      <c r="A383" t="s">
        <v>1244</v>
      </c>
      <c r="B383" t="s">
        <v>50</v>
      </c>
      <c r="C383" t="b">
        <f>INDEX([1]Sheet3!$A$1:$M$1031,MATCH(A383,[1]Sheet3!$B:$B,0),13)</f>
        <v>1</v>
      </c>
    </row>
    <row r="384" spans="1:3" hidden="1" x14ac:dyDescent="0.25">
      <c r="A384" t="s">
        <v>1245</v>
      </c>
      <c r="B384" t="s">
        <v>50</v>
      </c>
      <c r="C384" t="b">
        <f>INDEX([1]Sheet3!$A$1:$M$1031,MATCH(A384,[1]Sheet3!$B:$B,0),13)</f>
        <v>1</v>
      </c>
    </row>
    <row r="385" spans="1:3" hidden="1" x14ac:dyDescent="0.25">
      <c r="A385" t="s">
        <v>1246</v>
      </c>
      <c r="B385" t="s">
        <v>50</v>
      </c>
      <c r="C385" t="b">
        <f>INDEX([1]Sheet3!$A$1:$M$1031,MATCH(A385,[1]Sheet3!$B:$B,0),13)</f>
        <v>1</v>
      </c>
    </row>
    <row r="386" spans="1:3" hidden="1" x14ac:dyDescent="0.25">
      <c r="A386" t="s">
        <v>1247</v>
      </c>
      <c r="B386" t="s">
        <v>50</v>
      </c>
      <c r="C386" t="b">
        <f>INDEX([1]Sheet3!$A$1:$M$1031,MATCH(A386,[1]Sheet3!$B:$B,0),13)</f>
        <v>1</v>
      </c>
    </row>
    <row r="387" spans="1:3" hidden="1" x14ac:dyDescent="0.25">
      <c r="A387" t="s">
        <v>1248</v>
      </c>
      <c r="B387" t="s">
        <v>50</v>
      </c>
      <c r="C387" t="b">
        <f>INDEX([1]Sheet3!$A$1:$M$1031,MATCH(A387,[1]Sheet3!$B:$B,0),13)</f>
        <v>1</v>
      </c>
    </row>
    <row r="388" spans="1:3" hidden="1" x14ac:dyDescent="0.25">
      <c r="A388" t="s">
        <v>1249</v>
      </c>
      <c r="C388" t="b">
        <f>INDEX([1]Sheet3!$A$1:$M$1031,MATCH(A388,[1]Sheet3!$B:$B,0),13)</f>
        <v>0</v>
      </c>
    </row>
    <row r="389" spans="1:3" hidden="1" x14ac:dyDescent="0.25">
      <c r="A389" t="s">
        <v>1250</v>
      </c>
      <c r="C389" t="b">
        <f>INDEX([1]Sheet3!$A$1:$M$1031,MATCH(A389,[1]Sheet3!$B:$B,0),13)</f>
        <v>0</v>
      </c>
    </row>
    <row r="390" spans="1:3" hidden="1" x14ac:dyDescent="0.25">
      <c r="A390" t="s">
        <v>1251</v>
      </c>
      <c r="C390" t="b">
        <f>INDEX([1]Sheet3!$A$1:$M$1031,MATCH(A390,[1]Sheet3!$B:$B,0),13)</f>
        <v>0</v>
      </c>
    </row>
    <row r="391" spans="1:3" hidden="1" x14ac:dyDescent="0.25">
      <c r="A391" t="s">
        <v>1252</v>
      </c>
      <c r="C391" t="b">
        <f>INDEX([1]Sheet3!$A$1:$M$1031,MATCH(A391,[1]Sheet3!$B:$B,0),13)</f>
        <v>0</v>
      </c>
    </row>
    <row r="392" spans="1:3" hidden="1" x14ac:dyDescent="0.25">
      <c r="A392" t="s">
        <v>1253</v>
      </c>
      <c r="C392" t="b">
        <f>INDEX([1]Sheet3!$A$1:$M$1031,MATCH(A392,[1]Sheet3!$B:$B,0),13)</f>
        <v>0</v>
      </c>
    </row>
    <row r="393" spans="1:3" hidden="1" x14ac:dyDescent="0.25">
      <c r="A393" t="s">
        <v>1254</v>
      </c>
      <c r="C393" t="b">
        <f>INDEX([1]Sheet3!$A$1:$M$1031,MATCH(A393,[1]Sheet3!$B:$B,0),13)</f>
        <v>0</v>
      </c>
    </row>
    <row r="394" spans="1:3" hidden="1" x14ac:dyDescent="0.25">
      <c r="A394" t="s">
        <v>1255</v>
      </c>
      <c r="C394" t="b">
        <f>INDEX([1]Sheet3!$A$1:$M$1031,MATCH(A394,[1]Sheet3!$B:$B,0),13)</f>
        <v>0</v>
      </c>
    </row>
    <row r="395" spans="1:3" hidden="1" x14ac:dyDescent="0.25">
      <c r="A395" t="s">
        <v>1256</v>
      </c>
      <c r="C395" t="b">
        <f>INDEX([1]Sheet3!$A$1:$M$1031,MATCH(A395,[1]Sheet3!$B:$B,0),13)</f>
        <v>0</v>
      </c>
    </row>
    <row r="396" spans="1:3" hidden="1" x14ac:dyDescent="0.25">
      <c r="A396" t="s">
        <v>1257</v>
      </c>
      <c r="C396" t="b">
        <f>INDEX([1]Sheet3!$A$1:$M$1031,MATCH(A396,[1]Sheet3!$B:$B,0),13)</f>
        <v>0</v>
      </c>
    </row>
    <row r="397" spans="1:3" hidden="1" x14ac:dyDescent="0.25">
      <c r="A397" t="s">
        <v>1258</v>
      </c>
      <c r="C397" t="b">
        <f>INDEX([1]Sheet3!$A$1:$M$1031,MATCH(A397,[1]Sheet3!$B:$B,0),13)</f>
        <v>0</v>
      </c>
    </row>
    <row r="398" spans="1:3" hidden="1" x14ac:dyDescent="0.25">
      <c r="A398" t="s">
        <v>1259</v>
      </c>
      <c r="C398" t="b">
        <f>INDEX([1]Sheet3!$A$1:$M$1031,MATCH(A398,[1]Sheet3!$B:$B,0),13)</f>
        <v>0</v>
      </c>
    </row>
    <row r="399" spans="1:3" hidden="1" x14ac:dyDescent="0.25">
      <c r="A399" t="s">
        <v>1260</v>
      </c>
      <c r="C399" t="b">
        <f>INDEX([1]Sheet3!$A$1:$M$1031,MATCH(A399,[1]Sheet3!$B:$B,0),13)</f>
        <v>0</v>
      </c>
    </row>
    <row r="400" spans="1:3" hidden="1" x14ac:dyDescent="0.25">
      <c r="A400" t="s">
        <v>1261</v>
      </c>
      <c r="C400" t="b">
        <f>INDEX([1]Sheet3!$A$1:$M$1031,MATCH(A400,[1]Sheet3!$B:$B,0),13)</f>
        <v>0</v>
      </c>
    </row>
    <row r="401" spans="1:3" hidden="1" x14ac:dyDescent="0.25">
      <c r="A401" t="s">
        <v>1262</v>
      </c>
      <c r="C401" t="b">
        <f>INDEX([1]Sheet3!$A$1:$M$1031,MATCH(A401,[1]Sheet3!$B:$B,0),13)</f>
        <v>0</v>
      </c>
    </row>
    <row r="402" spans="1:3" hidden="1" x14ac:dyDescent="0.25">
      <c r="A402" t="s">
        <v>1263</v>
      </c>
      <c r="C402" t="b">
        <f>INDEX([1]Sheet3!$A$1:$M$1031,MATCH(A402,[1]Sheet3!$B:$B,0),13)</f>
        <v>0</v>
      </c>
    </row>
    <row r="403" spans="1:3" hidden="1" x14ac:dyDescent="0.25">
      <c r="A403" t="s">
        <v>1264</v>
      </c>
      <c r="C403" t="b">
        <f>INDEX([1]Sheet3!$A$1:$M$1031,MATCH(A403,[1]Sheet3!$B:$B,0),13)</f>
        <v>0</v>
      </c>
    </row>
    <row r="404" spans="1:3" hidden="1" x14ac:dyDescent="0.25">
      <c r="A404" t="s">
        <v>1265</v>
      </c>
      <c r="C404" t="b">
        <f>INDEX([1]Sheet3!$A$1:$M$1031,MATCH(A404,[1]Sheet3!$B:$B,0),13)</f>
        <v>0</v>
      </c>
    </row>
    <row r="405" spans="1:3" hidden="1" x14ac:dyDescent="0.25">
      <c r="A405" t="s">
        <v>1266</v>
      </c>
      <c r="C405" t="b">
        <f>INDEX([1]Sheet3!$A$1:$M$1031,MATCH(A405,[1]Sheet3!$B:$B,0),13)</f>
        <v>0</v>
      </c>
    </row>
    <row r="406" spans="1:3" hidden="1" x14ac:dyDescent="0.25">
      <c r="A406" t="s">
        <v>1267</v>
      </c>
      <c r="C406" t="b">
        <f>INDEX([1]Sheet3!$A$1:$M$1031,MATCH(A406,[1]Sheet3!$B:$B,0),13)</f>
        <v>0</v>
      </c>
    </row>
    <row r="407" spans="1:3" hidden="1" x14ac:dyDescent="0.25">
      <c r="A407" t="s">
        <v>1268</v>
      </c>
      <c r="C407" t="b">
        <f>INDEX([1]Sheet3!$A$1:$M$1031,MATCH(A407,[1]Sheet3!$B:$B,0),13)</f>
        <v>0</v>
      </c>
    </row>
    <row r="408" spans="1:3" hidden="1" x14ac:dyDescent="0.25">
      <c r="A408" t="s">
        <v>1269</v>
      </c>
      <c r="C408" t="b">
        <f>INDEX([1]Sheet3!$A$1:$M$1031,MATCH(A408,[1]Sheet3!$B:$B,0),13)</f>
        <v>0</v>
      </c>
    </row>
    <row r="409" spans="1:3" hidden="1" x14ac:dyDescent="0.25">
      <c r="A409" t="s">
        <v>1270</v>
      </c>
      <c r="C409" t="b">
        <f>INDEX([1]Sheet3!$A$1:$M$1031,MATCH(A409,[1]Sheet3!$B:$B,0),13)</f>
        <v>0</v>
      </c>
    </row>
    <row r="410" spans="1:3" hidden="1" x14ac:dyDescent="0.25">
      <c r="A410" t="s">
        <v>1271</v>
      </c>
      <c r="C410" t="b">
        <f>INDEX([1]Sheet3!$A$1:$M$1031,MATCH(A410,[1]Sheet3!$B:$B,0),13)</f>
        <v>0</v>
      </c>
    </row>
    <row r="411" spans="1:3" hidden="1" x14ac:dyDescent="0.25">
      <c r="A411" t="s">
        <v>1272</v>
      </c>
      <c r="C411" t="b">
        <f>INDEX([1]Sheet3!$A$1:$M$1031,MATCH(A411,[1]Sheet3!$B:$B,0),13)</f>
        <v>0</v>
      </c>
    </row>
    <row r="412" spans="1:3" hidden="1" x14ac:dyDescent="0.25">
      <c r="A412" t="s">
        <v>1273</v>
      </c>
      <c r="C412" t="b">
        <f>INDEX([1]Sheet3!$A$1:$M$1031,MATCH(A412,[1]Sheet3!$B:$B,0),13)</f>
        <v>0</v>
      </c>
    </row>
    <row r="413" spans="1:3" hidden="1" x14ac:dyDescent="0.25">
      <c r="A413" t="s">
        <v>1274</v>
      </c>
      <c r="C413" t="b">
        <f>INDEX([1]Sheet3!$A$1:$M$1031,MATCH(A413,[1]Sheet3!$B:$B,0),13)</f>
        <v>0</v>
      </c>
    </row>
    <row r="414" spans="1:3" hidden="1" x14ac:dyDescent="0.25">
      <c r="A414" t="s">
        <v>1275</v>
      </c>
      <c r="C414" t="b">
        <f>INDEX([1]Sheet3!$A$1:$M$1031,MATCH(A414,[1]Sheet3!$B:$B,0),13)</f>
        <v>0</v>
      </c>
    </row>
    <row r="415" spans="1:3" hidden="1" x14ac:dyDescent="0.25">
      <c r="A415" t="s">
        <v>1276</v>
      </c>
      <c r="C415" t="b">
        <f>INDEX([1]Sheet3!$A$1:$M$1031,MATCH(A415,[1]Sheet3!$B:$B,0),13)</f>
        <v>0</v>
      </c>
    </row>
    <row r="416" spans="1:3" hidden="1" x14ac:dyDescent="0.25">
      <c r="A416" t="s">
        <v>1277</v>
      </c>
      <c r="C416" t="b">
        <f>INDEX([1]Sheet3!$A$1:$M$1031,MATCH(A416,[1]Sheet3!$B:$B,0),13)</f>
        <v>0</v>
      </c>
    </row>
    <row r="417" spans="1:3" hidden="1" x14ac:dyDescent="0.25">
      <c r="A417" t="s">
        <v>1278</v>
      </c>
      <c r="C417" t="b">
        <f>INDEX([1]Sheet3!$A$1:$M$1031,MATCH(A417,[1]Sheet3!$B:$B,0),13)</f>
        <v>0</v>
      </c>
    </row>
    <row r="418" spans="1:3" hidden="1" x14ac:dyDescent="0.25">
      <c r="A418" t="s">
        <v>1279</v>
      </c>
      <c r="C418" t="b">
        <f>INDEX([1]Sheet3!$A$1:$M$1031,MATCH(A418,[1]Sheet3!$B:$B,0),13)</f>
        <v>0</v>
      </c>
    </row>
    <row r="419" spans="1:3" hidden="1" x14ac:dyDescent="0.25">
      <c r="A419" t="s">
        <v>1280</v>
      </c>
      <c r="C419" t="b">
        <f>INDEX([1]Sheet3!$A$1:$M$1031,MATCH(A419,[1]Sheet3!$B:$B,0),13)</f>
        <v>0</v>
      </c>
    </row>
    <row r="420" spans="1:3" hidden="1" x14ac:dyDescent="0.25">
      <c r="A420" t="s">
        <v>1281</v>
      </c>
      <c r="C420" t="b">
        <f>INDEX([1]Sheet3!$A$1:$M$1031,MATCH(A420,[1]Sheet3!$B:$B,0),13)</f>
        <v>0</v>
      </c>
    </row>
    <row r="421" spans="1:3" hidden="1" x14ac:dyDescent="0.25">
      <c r="A421" t="s">
        <v>1282</v>
      </c>
      <c r="C421" t="b">
        <f>INDEX([1]Sheet3!$A$1:$M$1031,MATCH(A421,[1]Sheet3!$B:$B,0),13)</f>
        <v>0</v>
      </c>
    </row>
    <row r="422" spans="1:3" hidden="1" x14ac:dyDescent="0.25">
      <c r="A422" t="s">
        <v>1283</v>
      </c>
      <c r="C422" t="b">
        <f>INDEX([1]Sheet3!$A$1:$M$1031,MATCH(A422,[1]Sheet3!$B:$B,0),13)</f>
        <v>0</v>
      </c>
    </row>
    <row r="423" spans="1:3" hidden="1" x14ac:dyDescent="0.25">
      <c r="A423" t="s">
        <v>1284</v>
      </c>
      <c r="C423" t="b">
        <f>INDEX([1]Sheet3!$A$1:$M$1031,MATCH(A423,[1]Sheet3!$B:$B,0),13)</f>
        <v>0</v>
      </c>
    </row>
    <row r="424" spans="1:3" hidden="1" x14ac:dyDescent="0.25">
      <c r="A424" t="s">
        <v>1285</v>
      </c>
      <c r="C424" t="b">
        <f>INDEX([1]Sheet3!$A$1:$M$1031,MATCH(A424,[1]Sheet3!$B:$B,0),13)</f>
        <v>0</v>
      </c>
    </row>
    <row r="425" spans="1:3" hidden="1" x14ac:dyDescent="0.25">
      <c r="A425" t="s">
        <v>1286</v>
      </c>
      <c r="C425" t="b">
        <f>INDEX([1]Sheet3!$A$1:$M$1031,MATCH(A425,[1]Sheet3!$B:$B,0),13)</f>
        <v>0</v>
      </c>
    </row>
    <row r="426" spans="1:3" hidden="1" x14ac:dyDescent="0.25">
      <c r="A426" t="s">
        <v>1287</v>
      </c>
      <c r="C426" t="b">
        <f>INDEX([1]Sheet3!$A$1:$M$1031,MATCH(A426,[1]Sheet3!$B:$B,0),13)</f>
        <v>0</v>
      </c>
    </row>
    <row r="427" spans="1:3" hidden="1" x14ac:dyDescent="0.25">
      <c r="A427" t="s">
        <v>1288</v>
      </c>
      <c r="C427" t="b">
        <f>INDEX([1]Sheet3!$A$1:$M$1031,MATCH(A427,[1]Sheet3!$B:$B,0),13)</f>
        <v>0</v>
      </c>
    </row>
    <row r="428" spans="1:3" hidden="1" x14ac:dyDescent="0.25">
      <c r="A428" t="s">
        <v>1289</v>
      </c>
      <c r="C428" t="b">
        <f>INDEX([1]Sheet3!$A$1:$M$1031,MATCH(A428,[1]Sheet3!$B:$B,0),13)</f>
        <v>0</v>
      </c>
    </row>
    <row r="429" spans="1:3" hidden="1" x14ac:dyDescent="0.25">
      <c r="A429" t="s">
        <v>1290</v>
      </c>
      <c r="C429" t="b">
        <f>INDEX([1]Sheet3!$A$1:$M$1031,MATCH(A429,[1]Sheet3!$B:$B,0),13)</f>
        <v>0</v>
      </c>
    </row>
    <row r="430" spans="1:3" hidden="1" x14ac:dyDescent="0.25">
      <c r="A430" t="s">
        <v>1291</v>
      </c>
      <c r="C430" t="b">
        <f>INDEX([1]Sheet3!$A$1:$M$1031,MATCH(A430,[1]Sheet3!$B:$B,0),13)</f>
        <v>0</v>
      </c>
    </row>
    <row r="431" spans="1:3" hidden="1" x14ac:dyDescent="0.25">
      <c r="A431" t="s">
        <v>1292</v>
      </c>
      <c r="C431" t="b">
        <f>INDEX([1]Sheet3!$A$1:$M$1031,MATCH(A431,[1]Sheet3!$B:$B,0),13)</f>
        <v>0</v>
      </c>
    </row>
    <row r="432" spans="1:3" hidden="1" x14ac:dyDescent="0.25">
      <c r="A432" t="s">
        <v>1293</v>
      </c>
      <c r="C432" t="b">
        <f>INDEX([1]Sheet3!$A$1:$M$1031,MATCH(A432,[1]Sheet3!$B:$B,0),13)</f>
        <v>0</v>
      </c>
    </row>
    <row r="433" spans="1:3" hidden="1" x14ac:dyDescent="0.25">
      <c r="A433" t="s">
        <v>1294</v>
      </c>
      <c r="C433" t="b">
        <f>INDEX([1]Sheet3!$A$1:$M$1031,MATCH(A433,[1]Sheet3!$B:$B,0),13)</f>
        <v>0</v>
      </c>
    </row>
    <row r="434" spans="1:3" hidden="1" x14ac:dyDescent="0.25">
      <c r="A434" t="s">
        <v>1295</v>
      </c>
      <c r="C434" t="b">
        <f>INDEX([1]Sheet3!$A$1:$M$1031,MATCH(A434,[1]Sheet3!$B:$B,0),13)</f>
        <v>0</v>
      </c>
    </row>
    <row r="435" spans="1:3" hidden="1" x14ac:dyDescent="0.25">
      <c r="A435" t="s">
        <v>1296</v>
      </c>
      <c r="C435" t="b">
        <f>INDEX([1]Sheet3!$A$1:$M$1031,MATCH(A435,[1]Sheet3!$B:$B,0),13)</f>
        <v>0</v>
      </c>
    </row>
    <row r="436" spans="1:3" hidden="1" x14ac:dyDescent="0.25">
      <c r="A436" t="s">
        <v>1297</v>
      </c>
      <c r="C436" t="b">
        <f>INDEX([1]Sheet3!$A$1:$M$1031,MATCH(A436,[1]Sheet3!$B:$B,0),13)</f>
        <v>0</v>
      </c>
    </row>
    <row r="437" spans="1:3" hidden="1" x14ac:dyDescent="0.25">
      <c r="A437" t="s">
        <v>1298</v>
      </c>
      <c r="C437" t="b">
        <f>INDEX([1]Sheet3!$A$1:$M$1031,MATCH(A437,[1]Sheet3!$B:$B,0),13)</f>
        <v>0</v>
      </c>
    </row>
    <row r="438" spans="1:3" hidden="1" x14ac:dyDescent="0.25">
      <c r="A438" t="s">
        <v>1299</v>
      </c>
      <c r="C438" t="b">
        <f>INDEX([1]Sheet3!$A$1:$M$1031,MATCH(A438,[1]Sheet3!$B:$B,0),13)</f>
        <v>0</v>
      </c>
    </row>
    <row r="439" spans="1:3" hidden="1" x14ac:dyDescent="0.25">
      <c r="A439" t="s">
        <v>1300</v>
      </c>
      <c r="C439" t="b">
        <f>INDEX([1]Sheet3!$A$1:$M$1031,MATCH(A439,[1]Sheet3!$B:$B,0),13)</f>
        <v>0</v>
      </c>
    </row>
    <row r="440" spans="1:3" hidden="1" x14ac:dyDescent="0.25">
      <c r="A440" t="s">
        <v>1301</v>
      </c>
      <c r="C440" t="b">
        <f>INDEX([1]Sheet3!$A$1:$M$1031,MATCH(A440,[1]Sheet3!$B:$B,0),13)</f>
        <v>0</v>
      </c>
    </row>
    <row r="441" spans="1:3" hidden="1" x14ac:dyDescent="0.25">
      <c r="A441" t="s">
        <v>1302</v>
      </c>
      <c r="C441" t="b">
        <f>INDEX([1]Sheet3!$A$1:$M$1031,MATCH(A441,[1]Sheet3!$B:$B,0),13)</f>
        <v>0</v>
      </c>
    </row>
    <row r="442" spans="1:3" hidden="1" x14ac:dyDescent="0.25">
      <c r="A442" t="s">
        <v>1303</v>
      </c>
      <c r="C442" t="b">
        <f>INDEX([1]Sheet3!$A$1:$M$1031,MATCH(A442,[1]Sheet3!$B:$B,0),13)</f>
        <v>0</v>
      </c>
    </row>
    <row r="443" spans="1:3" hidden="1" x14ac:dyDescent="0.25">
      <c r="A443" t="s">
        <v>1304</v>
      </c>
      <c r="C443" t="b">
        <f>INDEX([1]Sheet3!$A$1:$M$1031,MATCH(A443,[1]Sheet3!$B:$B,0),13)</f>
        <v>0</v>
      </c>
    </row>
    <row r="444" spans="1:3" hidden="1" x14ac:dyDescent="0.25">
      <c r="A444" t="s">
        <v>1305</v>
      </c>
      <c r="C444" t="b">
        <f>INDEX([1]Sheet3!$A$1:$M$1031,MATCH(A444,[1]Sheet3!$B:$B,0),13)</f>
        <v>0</v>
      </c>
    </row>
    <row r="445" spans="1:3" hidden="1" x14ac:dyDescent="0.25">
      <c r="A445" t="s">
        <v>1306</v>
      </c>
      <c r="C445" t="b">
        <f>INDEX([1]Sheet3!$A$1:$M$1031,MATCH(A445,[1]Sheet3!$B:$B,0),13)</f>
        <v>0</v>
      </c>
    </row>
    <row r="446" spans="1:3" hidden="1" x14ac:dyDescent="0.25">
      <c r="A446" t="s">
        <v>1307</v>
      </c>
      <c r="C446" t="b">
        <f>INDEX([1]Sheet3!$A$1:$M$1031,MATCH(A446,[1]Sheet3!$B:$B,0),13)</f>
        <v>0</v>
      </c>
    </row>
    <row r="447" spans="1:3" hidden="1" x14ac:dyDescent="0.25">
      <c r="A447" t="s">
        <v>1308</v>
      </c>
      <c r="C447" t="b">
        <f>INDEX([1]Sheet3!$A$1:$M$1031,MATCH(A447,[1]Sheet3!$B:$B,0),13)</f>
        <v>0</v>
      </c>
    </row>
    <row r="448" spans="1:3" hidden="1" x14ac:dyDescent="0.25">
      <c r="A448" t="s">
        <v>1309</v>
      </c>
      <c r="C448" t="b">
        <f>INDEX([1]Sheet3!$A$1:$M$1031,MATCH(A448,[1]Sheet3!$B:$B,0),13)</f>
        <v>0</v>
      </c>
    </row>
    <row r="449" spans="1:3" hidden="1" x14ac:dyDescent="0.25">
      <c r="A449" t="s">
        <v>1310</v>
      </c>
      <c r="C449" t="b">
        <f>INDEX([1]Sheet3!$A$1:$M$1031,MATCH(A449,[1]Sheet3!$B:$B,0),13)</f>
        <v>0</v>
      </c>
    </row>
    <row r="450" spans="1:3" hidden="1" x14ac:dyDescent="0.25">
      <c r="A450" t="s">
        <v>1311</v>
      </c>
      <c r="C450" t="b">
        <f>INDEX([1]Sheet3!$A$1:$M$1031,MATCH(A450,[1]Sheet3!$B:$B,0),13)</f>
        <v>0</v>
      </c>
    </row>
    <row r="451" spans="1:3" hidden="1" x14ac:dyDescent="0.25">
      <c r="A451" t="s">
        <v>1312</v>
      </c>
      <c r="C451" t="b">
        <f>INDEX([1]Sheet3!$A$1:$M$1031,MATCH(A451,[1]Sheet3!$B:$B,0),13)</f>
        <v>0</v>
      </c>
    </row>
    <row r="452" spans="1:3" hidden="1" x14ac:dyDescent="0.25">
      <c r="A452" t="s">
        <v>1313</v>
      </c>
      <c r="C452" t="b">
        <f>INDEX([1]Sheet3!$A$1:$M$1031,MATCH(A452,[1]Sheet3!$B:$B,0),13)</f>
        <v>0</v>
      </c>
    </row>
    <row r="453" spans="1:3" hidden="1" x14ac:dyDescent="0.25">
      <c r="A453" t="s">
        <v>1314</v>
      </c>
      <c r="C453" t="b">
        <f>INDEX([1]Sheet3!$A$1:$M$1031,MATCH(A453,[1]Sheet3!$B:$B,0),13)</f>
        <v>0</v>
      </c>
    </row>
    <row r="454" spans="1:3" hidden="1" x14ac:dyDescent="0.25">
      <c r="A454" t="s">
        <v>1315</v>
      </c>
      <c r="C454" t="b">
        <f>INDEX([1]Sheet3!$A$1:$M$1031,MATCH(A454,[1]Sheet3!$B:$B,0),13)</f>
        <v>0</v>
      </c>
    </row>
    <row r="455" spans="1:3" hidden="1" x14ac:dyDescent="0.25">
      <c r="A455" t="s">
        <v>1316</v>
      </c>
      <c r="C455" t="b">
        <f>INDEX([1]Sheet3!$A$1:$M$1031,MATCH(A455,[1]Sheet3!$B:$B,0),13)</f>
        <v>0</v>
      </c>
    </row>
    <row r="456" spans="1:3" hidden="1" x14ac:dyDescent="0.25">
      <c r="A456" t="s">
        <v>1317</v>
      </c>
      <c r="C456" t="b">
        <f>INDEX([1]Sheet3!$A$1:$M$1031,MATCH(A456,[1]Sheet3!$B:$B,0),13)</f>
        <v>0</v>
      </c>
    </row>
    <row r="457" spans="1:3" hidden="1" x14ac:dyDescent="0.25">
      <c r="A457" t="s">
        <v>1318</v>
      </c>
      <c r="C457" t="b">
        <f>INDEX([1]Sheet3!$A$1:$M$1031,MATCH(A457,[1]Sheet3!$B:$B,0),13)</f>
        <v>0</v>
      </c>
    </row>
    <row r="458" spans="1:3" hidden="1" x14ac:dyDescent="0.25">
      <c r="A458" t="s">
        <v>1319</v>
      </c>
      <c r="C458" t="b">
        <f>INDEX([1]Sheet3!$A$1:$M$1031,MATCH(A458,[1]Sheet3!$B:$B,0),13)</f>
        <v>0</v>
      </c>
    </row>
    <row r="459" spans="1:3" hidden="1" x14ac:dyDescent="0.25">
      <c r="A459" t="s">
        <v>1320</v>
      </c>
      <c r="C459" t="b">
        <f>INDEX([1]Sheet3!$A$1:$M$1031,MATCH(A459,[1]Sheet3!$B:$B,0),13)</f>
        <v>0</v>
      </c>
    </row>
    <row r="460" spans="1:3" hidden="1" x14ac:dyDescent="0.25">
      <c r="A460" t="s">
        <v>1321</v>
      </c>
      <c r="C460" t="b">
        <f>INDEX([1]Sheet3!$A$1:$M$1031,MATCH(A460,[1]Sheet3!$B:$B,0),13)</f>
        <v>0</v>
      </c>
    </row>
    <row r="461" spans="1:3" hidden="1" x14ac:dyDescent="0.25">
      <c r="A461" t="s">
        <v>1322</v>
      </c>
      <c r="C461" t="b">
        <f>INDEX([1]Sheet3!$A$1:$M$1031,MATCH(A461,[1]Sheet3!$B:$B,0),13)</f>
        <v>0</v>
      </c>
    </row>
    <row r="462" spans="1:3" hidden="1" x14ac:dyDescent="0.25">
      <c r="A462" t="s">
        <v>1323</v>
      </c>
      <c r="C462" t="b">
        <f>INDEX([1]Sheet3!$A$1:$M$1031,MATCH(A462,[1]Sheet3!$B:$B,0),13)</f>
        <v>0</v>
      </c>
    </row>
    <row r="463" spans="1:3" hidden="1" x14ac:dyDescent="0.25">
      <c r="A463" t="s">
        <v>1324</v>
      </c>
      <c r="C463" t="b">
        <f>INDEX([1]Sheet3!$A$1:$M$1031,MATCH(A463,[1]Sheet3!$B:$B,0),13)</f>
        <v>0</v>
      </c>
    </row>
    <row r="464" spans="1:3" hidden="1" x14ac:dyDescent="0.25">
      <c r="A464" t="s">
        <v>1325</v>
      </c>
      <c r="C464" t="b">
        <f>INDEX([1]Sheet3!$A$1:$M$1031,MATCH(A464,[1]Sheet3!$B:$B,0),13)</f>
        <v>0</v>
      </c>
    </row>
    <row r="465" spans="1:3" hidden="1" x14ac:dyDescent="0.25">
      <c r="A465" t="s">
        <v>1326</v>
      </c>
      <c r="C465" t="b">
        <f>INDEX([1]Sheet3!$A$1:$M$1031,MATCH(A465,[1]Sheet3!$B:$B,0),13)</f>
        <v>0</v>
      </c>
    </row>
    <row r="466" spans="1:3" hidden="1" x14ac:dyDescent="0.25">
      <c r="A466" t="s">
        <v>1327</v>
      </c>
      <c r="C466" t="b">
        <f>INDEX([1]Sheet3!$A$1:$M$1031,MATCH(A466,[1]Sheet3!$B:$B,0),13)</f>
        <v>0</v>
      </c>
    </row>
    <row r="467" spans="1:3" hidden="1" x14ac:dyDescent="0.25">
      <c r="A467" t="s">
        <v>1328</v>
      </c>
      <c r="C467" t="b">
        <f>INDEX([1]Sheet3!$A$1:$M$1031,MATCH(A467,[1]Sheet3!$B:$B,0),13)</f>
        <v>0</v>
      </c>
    </row>
    <row r="468" spans="1:3" hidden="1" x14ac:dyDescent="0.25">
      <c r="A468" t="s">
        <v>1329</v>
      </c>
      <c r="C468" t="b">
        <f>INDEX([1]Sheet3!$A$1:$M$1031,MATCH(A468,[1]Sheet3!$B:$B,0),13)</f>
        <v>0</v>
      </c>
    </row>
    <row r="469" spans="1:3" hidden="1" x14ac:dyDescent="0.25">
      <c r="A469" t="s">
        <v>1330</v>
      </c>
      <c r="C469" t="b">
        <f>INDEX([1]Sheet3!$A$1:$M$1031,MATCH(A469,[1]Sheet3!$B:$B,0),13)</f>
        <v>0</v>
      </c>
    </row>
    <row r="470" spans="1:3" hidden="1" x14ac:dyDescent="0.25">
      <c r="A470" t="s">
        <v>1331</v>
      </c>
      <c r="C470" t="b">
        <f>INDEX([1]Sheet3!$A$1:$M$1031,MATCH(A470,[1]Sheet3!$B:$B,0),13)</f>
        <v>0</v>
      </c>
    </row>
    <row r="471" spans="1:3" hidden="1" x14ac:dyDescent="0.25">
      <c r="A471" t="s">
        <v>1332</v>
      </c>
      <c r="C471" t="b">
        <f>INDEX([1]Sheet3!$A$1:$M$1031,MATCH(A471,[1]Sheet3!$B:$B,0),13)</f>
        <v>0</v>
      </c>
    </row>
    <row r="472" spans="1:3" hidden="1" x14ac:dyDescent="0.25">
      <c r="A472" t="s">
        <v>1333</v>
      </c>
      <c r="C472" t="b">
        <f>INDEX([1]Sheet3!$A$1:$M$1031,MATCH(A472,[1]Sheet3!$B:$B,0),13)</f>
        <v>0</v>
      </c>
    </row>
    <row r="473" spans="1:3" hidden="1" x14ac:dyDescent="0.25">
      <c r="A473" t="s">
        <v>1334</v>
      </c>
      <c r="C473" t="b">
        <f>INDEX([1]Sheet3!$A$1:$M$1031,MATCH(A473,[1]Sheet3!$B:$B,0),13)</f>
        <v>0</v>
      </c>
    </row>
    <row r="474" spans="1:3" hidden="1" x14ac:dyDescent="0.25">
      <c r="A474" t="s">
        <v>1335</v>
      </c>
      <c r="C474" t="b">
        <f>INDEX([1]Sheet3!$A$1:$M$1031,MATCH(A474,[1]Sheet3!$B:$B,0),13)</f>
        <v>0</v>
      </c>
    </row>
    <row r="475" spans="1:3" hidden="1" x14ac:dyDescent="0.25">
      <c r="A475" t="s">
        <v>1336</v>
      </c>
      <c r="C475" t="b">
        <f>INDEX([1]Sheet3!$A$1:$M$1031,MATCH(A475,[1]Sheet3!$B:$B,0),13)</f>
        <v>0</v>
      </c>
    </row>
    <row r="476" spans="1:3" hidden="1" x14ac:dyDescent="0.25">
      <c r="A476" t="s">
        <v>1337</v>
      </c>
      <c r="C476" t="b">
        <f>INDEX([1]Sheet3!$A$1:$M$1031,MATCH(A476,[1]Sheet3!$B:$B,0),13)</f>
        <v>0</v>
      </c>
    </row>
    <row r="477" spans="1:3" hidden="1" x14ac:dyDescent="0.25">
      <c r="A477" t="s">
        <v>1338</v>
      </c>
      <c r="C477" t="b">
        <f>INDEX([1]Sheet3!$A$1:$M$1031,MATCH(A477,[1]Sheet3!$B:$B,0),13)</f>
        <v>0</v>
      </c>
    </row>
    <row r="478" spans="1:3" hidden="1" x14ac:dyDescent="0.25">
      <c r="A478" t="s">
        <v>1339</v>
      </c>
      <c r="C478" t="b">
        <f>INDEX([1]Sheet3!$A$1:$M$1031,MATCH(A478,[1]Sheet3!$B:$B,0),13)</f>
        <v>0</v>
      </c>
    </row>
    <row r="479" spans="1:3" hidden="1" x14ac:dyDescent="0.25">
      <c r="A479" t="s">
        <v>1340</v>
      </c>
      <c r="C479" t="b">
        <f>INDEX([1]Sheet3!$A$1:$M$1031,MATCH(A479,[1]Sheet3!$B:$B,0),13)</f>
        <v>0</v>
      </c>
    </row>
    <row r="480" spans="1:3" hidden="1" x14ac:dyDescent="0.25">
      <c r="A480" t="s">
        <v>1341</v>
      </c>
      <c r="C480" t="b">
        <f>INDEX([1]Sheet3!$A$1:$M$1031,MATCH(A480,[1]Sheet3!$B:$B,0),13)</f>
        <v>0</v>
      </c>
    </row>
    <row r="481" spans="1:3" hidden="1" x14ac:dyDescent="0.25">
      <c r="A481" t="s">
        <v>1342</v>
      </c>
      <c r="B481" t="s">
        <v>50</v>
      </c>
      <c r="C481" t="b">
        <f>INDEX([1]Sheet3!$A$1:$M$1031,MATCH(A481,[1]Sheet3!$B:$B,0),13)</f>
        <v>1</v>
      </c>
    </row>
    <row r="482" spans="1:3" hidden="1" x14ac:dyDescent="0.25">
      <c r="A482" t="s">
        <v>1343</v>
      </c>
      <c r="B482" t="s">
        <v>50</v>
      </c>
      <c r="C482" t="b">
        <f>INDEX([1]Sheet3!$A$1:$M$1031,MATCH(A482,[1]Sheet3!$B:$B,0),13)</f>
        <v>1</v>
      </c>
    </row>
    <row r="483" spans="1:3" hidden="1" x14ac:dyDescent="0.25">
      <c r="A483" t="s">
        <v>1344</v>
      </c>
      <c r="B483" t="s">
        <v>50</v>
      </c>
      <c r="C483" t="b">
        <f>INDEX([1]Sheet3!$A$1:$M$1031,MATCH(A483,[1]Sheet3!$B:$B,0),13)</f>
        <v>1</v>
      </c>
    </row>
    <row r="484" spans="1:3" hidden="1" x14ac:dyDescent="0.25">
      <c r="A484" t="s">
        <v>1345</v>
      </c>
      <c r="B484" t="s">
        <v>50</v>
      </c>
      <c r="C484" t="b">
        <f>INDEX([1]Sheet3!$A$1:$M$1031,MATCH(A484,[1]Sheet3!$B:$B,0),13)</f>
        <v>1</v>
      </c>
    </row>
    <row r="485" spans="1:3" hidden="1" x14ac:dyDescent="0.25">
      <c r="A485" t="s">
        <v>1346</v>
      </c>
      <c r="B485" t="s">
        <v>50</v>
      </c>
      <c r="C485" t="b">
        <f>INDEX([1]Sheet3!$A$1:$M$1031,MATCH(A485,[1]Sheet3!$B:$B,0),13)</f>
        <v>1</v>
      </c>
    </row>
    <row r="486" spans="1:3" hidden="1" x14ac:dyDescent="0.25">
      <c r="A486" t="s">
        <v>1347</v>
      </c>
      <c r="B486" t="s">
        <v>50</v>
      </c>
      <c r="C486" t="b">
        <f>INDEX([1]Sheet3!$A$1:$M$1031,MATCH(A486,[1]Sheet3!$B:$B,0),13)</f>
        <v>1</v>
      </c>
    </row>
    <row r="487" spans="1:3" hidden="1" x14ac:dyDescent="0.25">
      <c r="A487" t="s">
        <v>1348</v>
      </c>
      <c r="B487" t="s">
        <v>50</v>
      </c>
      <c r="C487" t="b">
        <f>INDEX([1]Sheet3!$A$1:$M$1031,MATCH(A487,[1]Sheet3!$B:$B,0),13)</f>
        <v>1</v>
      </c>
    </row>
    <row r="488" spans="1:3" hidden="1" x14ac:dyDescent="0.25">
      <c r="A488" t="s">
        <v>1349</v>
      </c>
      <c r="B488" t="s">
        <v>50</v>
      </c>
      <c r="C488" t="b">
        <f>INDEX([1]Sheet3!$A$1:$M$1031,MATCH(A488,[1]Sheet3!$B:$B,0),13)</f>
        <v>1</v>
      </c>
    </row>
    <row r="489" spans="1:3" hidden="1" x14ac:dyDescent="0.25">
      <c r="A489" t="s">
        <v>1350</v>
      </c>
      <c r="C489" t="b">
        <f>INDEX([1]Sheet3!$A$1:$M$1031,MATCH(A489,[1]Sheet3!$B:$B,0),13)</f>
        <v>1</v>
      </c>
    </row>
    <row r="490" spans="1:3" hidden="1" x14ac:dyDescent="0.25">
      <c r="A490" t="s">
        <v>1351</v>
      </c>
      <c r="B490" t="s">
        <v>50</v>
      </c>
      <c r="C490" t="b">
        <f>INDEX([1]Sheet3!$A$1:$M$1031,MATCH(A490,[1]Sheet3!$B:$B,0),13)</f>
        <v>1</v>
      </c>
    </row>
    <row r="491" spans="1:3" hidden="1" x14ac:dyDescent="0.25">
      <c r="A491" t="s">
        <v>1352</v>
      </c>
      <c r="C491" t="b">
        <f>INDEX([1]Sheet3!$A$1:$M$1031,MATCH(A491,[1]Sheet3!$B:$B,0),13)</f>
        <v>1</v>
      </c>
    </row>
    <row r="492" spans="1:3" hidden="1" x14ac:dyDescent="0.25">
      <c r="A492" t="s">
        <v>1353</v>
      </c>
      <c r="C492" t="b">
        <f>INDEX([1]Sheet3!$A$1:$M$1031,MATCH(A492,[1]Sheet3!$B:$B,0),13)</f>
        <v>1</v>
      </c>
    </row>
    <row r="493" spans="1:3" hidden="1" x14ac:dyDescent="0.25">
      <c r="A493" t="s">
        <v>1354</v>
      </c>
      <c r="B493" t="s">
        <v>50</v>
      </c>
      <c r="C493" t="b">
        <f>INDEX([1]Sheet3!$A$1:$M$1031,MATCH(A493,[1]Sheet3!$B:$B,0),13)</f>
        <v>1</v>
      </c>
    </row>
    <row r="494" spans="1:3" hidden="1" x14ac:dyDescent="0.25">
      <c r="A494" t="s">
        <v>1355</v>
      </c>
      <c r="B494" t="s">
        <v>50</v>
      </c>
      <c r="C494" t="b">
        <f>INDEX([1]Sheet3!$A$1:$M$1031,MATCH(A494,[1]Sheet3!$B:$B,0),13)</f>
        <v>1</v>
      </c>
    </row>
    <row r="495" spans="1:3" hidden="1" x14ac:dyDescent="0.25">
      <c r="A495" t="s">
        <v>1356</v>
      </c>
      <c r="B495" t="s">
        <v>50</v>
      </c>
      <c r="C495" t="b">
        <f>INDEX([1]Sheet3!$A$1:$M$1031,MATCH(A495,[1]Sheet3!$B:$B,0),13)</f>
        <v>1</v>
      </c>
    </row>
    <row r="496" spans="1:3" hidden="1" x14ac:dyDescent="0.25">
      <c r="A496" t="s">
        <v>1357</v>
      </c>
      <c r="C496" t="b">
        <f>INDEX([1]Sheet3!$A$1:$M$1031,MATCH(A496,[1]Sheet3!$B:$B,0),13)</f>
        <v>0</v>
      </c>
    </row>
    <row r="497" spans="1:3" hidden="1" x14ac:dyDescent="0.25">
      <c r="A497" t="s">
        <v>1358</v>
      </c>
      <c r="C497" t="b">
        <f>INDEX([1]Sheet3!$A$1:$M$1031,MATCH(A497,[1]Sheet3!$B:$B,0),13)</f>
        <v>0</v>
      </c>
    </row>
    <row r="498" spans="1:3" hidden="1" x14ac:dyDescent="0.25">
      <c r="A498" t="s">
        <v>1359</v>
      </c>
      <c r="C498" t="b">
        <f>INDEX([1]Sheet3!$A$1:$M$1031,MATCH(A498,[1]Sheet3!$B:$B,0),13)</f>
        <v>0</v>
      </c>
    </row>
    <row r="499" spans="1:3" hidden="1" x14ac:dyDescent="0.25">
      <c r="A499" t="s">
        <v>1360</v>
      </c>
      <c r="C499" t="b">
        <f>INDEX([1]Sheet3!$A$1:$M$1031,MATCH(A499,[1]Sheet3!$B:$B,0),13)</f>
        <v>0</v>
      </c>
    </row>
    <row r="500" spans="1:3" hidden="1" x14ac:dyDescent="0.25">
      <c r="A500" t="s">
        <v>1361</v>
      </c>
      <c r="C500" t="b">
        <f>INDEX([1]Sheet3!$A$1:$M$1031,MATCH(A500,[1]Sheet3!$B:$B,0),13)</f>
        <v>0</v>
      </c>
    </row>
    <row r="501" spans="1:3" hidden="1" x14ac:dyDescent="0.25">
      <c r="A501" t="s">
        <v>1362</v>
      </c>
      <c r="C501" t="b">
        <f>INDEX([1]Sheet3!$A$1:$M$1031,MATCH(A501,[1]Sheet3!$B:$B,0),13)</f>
        <v>0</v>
      </c>
    </row>
    <row r="502" spans="1:3" hidden="1" x14ac:dyDescent="0.25">
      <c r="A502" t="s">
        <v>1363</v>
      </c>
      <c r="C502" t="b">
        <f>INDEX([1]Sheet3!$A$1:$M$1031,MATCH(A502,[1]Sheet3!$B:$B,0),13)</f>
        <v>0</v>
      </c>
    </row>
    <row r="503" spans="1:3" hidden="1" x14ac:dyDescent="0.25">
      <c r="A503" t="s">
        <v>1364</v>
      </c>
      <c r="C503" t="b">
        <f>INDEX([1]Sheet3!$A$1:$M$1031,MATCH(A503,[1]Sheet3!$B:$B,0),13)</f>
        <v>0</v>
      </c>
    </row>
    <row r="504" spans="1:3" hidden="1" x14ac:dyDescent="0.25">
      <c r="A504" t="s">
        <v>1365</v>
      </c>
      <c r="C504" t="b">
        <f>INDEX([1]Sheet3!$A$1:$M$1031,MATCH(A504,[1]Sheet3!$B:$B,0),13)</f>
        <v>0</v>
      </c>
    </row>
    <row r="505" spans="1:3" hidden="1" x14ac:dyDescent="0.25">
      <c r="A505" t="s">
        <v>1366</v>
      </c>
      <c r="C505" t="b">
        <f>INDEX([1]Sheet3!$A$1:$M$1031,MATCH(A505,[1]Sheet3!$B:$B,0),13)</f>
        <v>0</v>
      </c>
    </row>
    <row r="506" spans="1:3" hidden="1" x14ac:dyDescent="0.25">
      <c r="A506" t="s">
        <v>1367</v>
      </c>
      <c r="C506" t="b">
        <f>INDEX([1]Sheet3!$A$1:$M$1031,MATCH(A506,[1]Sheet3!$B:$B,0),13)</f>
        <v>0</v>
      </c>
    </row>
    <row r="507" spans="1:3" hidden="1" x14ac:dyDescent="0.25">
      <c r="A507" t="s">
        <v>1368</v>
      </c>
      <c r="C507" t="b">
        <f>INDEX([1]Sheet3!$A$1:$M$1031,MATCH(A507,[1]Sheet3!$B:$B,0),13)</f>
        <v>0</v>
      </c>
    </row>
    <row r="508" spans="1:3" hidden="1" x14ac:dyDescent="0.25">
      <c r="A508" t="s">
        <v>1369</v>
      </c>
      <c r="C508" t="b">
        <f>INDEX([1]Sheet3!$A$1:$M$1031,MATCH(A508,[1]Sheet3!$B:$B,0),13)</f>
        <v>0</v>
      </c>
    </row>
    <row r="509" spans="1:3" hidden="1" x14ac:dyDescent="0.25">
      <c r="A509" t="s">
        <v>1370</v>
      </c>
      <c r="C509" t="b">
        <f>INDEX([1]Sheet3!$A$1:$M$1031,MATCH(A509,[1]Sheet3!$B:$B,0),13)</f>
        <v>0</v>
      </c>
    </row>
    <row r="510" spans="1:3" hidden="1" x14ac:dyDescent="0.25">
      <c r="A510" t="s">
        <v>1371</v>
      </c>
      <c r="C510" t="b">
        <f>INDEX([1]Sheet3!$A$1:$M$1031,MATCH(A510,[1]Sheet3!$B:$B,0),13)</f>
        <v>0</v>
      </c>
    </row>
    <row r="511" spans="1:3" hidden="1" x14ac:dyDescent="0.25">
      <c r="A511" t="s">
        <v>1372</v>
      </c>
      <c r="C511" t="b">
        <f>INDEX([1]Sheet3!$A$1:$M$1031,MATCH(A511,[1]Sheet3!$B:$B,0),13)</f>
        <v>0</v>
      </c>
    </row>
    <row r="512" spans="1:3" hidden="1" x14ac:dyDescent="0.25">
      <c r="A512" t="s">
        <v>1373</v>
      </c>
      <c r="C512" t="b">
        <f>INDEX([1]Sheet3!$A$1:$M$1031,MATCH(A512,[1]Sheet3!$B:$B,0),13)</f>
        <v>0</v>
      </c>
    </row>
    <row r="513" spans="1:3" hidden="1" x14ac:dyDescent="0.25">
      <c r="A513" t="s">
        <v>1374</v>
      </c>
      <c r="C513" t="b">
        <f>INDEX([1]Sheet3!$A$1:$M$1031,MATCH(A513,[1]Sheet3!$B:$B,0),13)</f>
        <v>0</v>
      </c>
    </row>
    <row r="514" spans="1:3" hidden="1" x14ac:dyDescent="0.25">
      <c r="A514" t="s">
        <v>1375</v>
      </c>
      <c r="C514" t="b">
        <f>INDEX([1]Sheet3!$A$1:$M$1031,MATCH(A514,[1]Sheet3!$B:$B,0),13)</f>
        <v>0</v>
      </c>
    </row>
    <row r="515" spans="1:3" hidden="1" x14ac:dyDescent="0.25">
      <c r="A515" t="s">
        <v>1376</v>
      </c>
      <c r="C515" t="b">
        <f>INDEX([1]Sheet3!$A$1:$M$1031,MATCH(A515,[1]Sheet3!$B:$B,0),13)</f>
        <v>0</v>
      </c>
    </row>
    <row r="516" spans="1:3" hidden="1" x14ac:dyDescent="0.25">
      <c r="A516" t="s">
        <v>1377</v>
      </c>
      <c r="C516" t="b">
        <f>INDEX([1]Sheet3!$A$1:$M$1031,MATCH(A516,[1]Sheet3!$B:$B,0),13)</f>
        <v>0</v>
      </c>
    </row>
    <row r="517" spans="1:3" hidden="1" x14ac:dyDescent="0.25">
      <c r="A517" t="s">
        <v>1378</v>
      </c>
      <c r="C517" t="b">
        <f>INDEX([1]Sheet3!$A$1:$M$1031,MATCH(A517,[1]Sheet3!$B:$B,0),13)</f>
        <v>0</v>
      </c>
    </row>
    <row r="518" spans="1:3" hidden="1" x14ac:dyDescent="0.25">
      <c r="A518" t="s">
        <v>1379</v>
      </c>
      <c r="C518" t="b">
        <f>INDEX([1]Sheet3!$A$1:$M$1031,MATCH(A518,[1]Sheet3!$B:$B,0),13)</f>
        <v>0</v>
      </c>
    </row>
    <row r="519" spans="1:3" hidden="1" x14ac:dyDescent="0.25">
      <c r="A519" t="s">
        <v>1380</v>
      </c>
      <c r="C519" t="b">
        <f>INDEX([1]Sheet3!$A$1:$M$1031,MATCH(A519,[1]Sheet3!$B:$B,0),13)</f>
        <v>0</v>
      </c>
    </row>
    <row r="520" spans="1:3" hidden="1" x14ac:dyDescent="0.25">
      <c r="A520" t="s">
        <v>1381</v>
      </c>
      <c r="C520" t="b">
        <f>INDEX([1]Sheet3!$A$1:$M$1031,MATCH(A520,[1]Sheet3!$B:$B,0),13)</f>
        <v>0</v>
      </c>
    </row>
    <row r="521" spans="1:3" hidden="1" x14ac:dyDescent="0.25">
      <c r="A521" t="s">
        <v>1382</v>
      </c>
      <c r="C521" t="b">
        <f>INDEX([1]Sheet3!$A$1:$M$1031,MATCH(A521,[1]Sheet3!$B:$B,0),13)</f>
        <v>0</v>
      </c>
    </row>
    <row r="522" spans="1:3" hidden="1" x14ac:dyDescent="0.25">
      <c r="A522" t="s">
        <v>1383</v>
      </c>
      <c r="C522" t="b">
        <f>INDEX([1]Sheet3!$A$1:$M$1031,MATCH(A522,[1]Sheet3!$B:$B,0),13)</f>
        <v>0</v>
      </c>
    </row>
    <row r="523" spans="1:3" hidden="1" x14ac:dyDescent="0.25">
      <c r="A523" t="s">
        <v>1384</v>
      </c>
      <c r="C523" t="b">
        <f>INDEX([1]Sheet3!$A$1:$M$1031,MATCH(A523,[1]Sheet3!$B:$B,0),13)</f>
        <v>0</v>
      </c>
    </row>
    <row r="524" spans="1:3" hidden="1" x14ac:dyDescent="0.25">
      <c r="A524" t="s">
        <v>1385</v>
      </c>
      <c r="C524" t="b">
        <f>INDEX([1]Sheet3!$A$1:$M$1031,MATCH(A524,[1]Sheet3!$B:$B,0),13)</f>
        <v>0</v>
      </c>
    </row>
    <row r="525" spans="1:3" hidden="1" x14ac:dyDescent="0.25">
      <c r="A525" t="s">
        <v>1386</v>
      </c>
      <c r="C525" t="b">
        <f>INDEX([1]Sheet3!$A$1:$M$1031,MATCH(A525,[1]Sheet3!$B:$B,0),13)</f>
        <v>0</v>
      </c>
    </row>
    <row r="526" spans="1:3" hidden="1" x14ac:dyDescent="0.25">
      <c r="A526" t="s">
        <v>1387</v>
      </c>
      <c r="C526" t="b">
        <f>INDEX([1]Sheet3!$A$1:$M$1031,MATCH(A526,[1]Sheet3!$B:$B,0),13)</f>
        <v>0</v>
      </c>
    </row>
    <row r="527" spans="1:3" hidden="1" x14ac:dyDescent="0.25">
      <c r="A527" t="s">
        <v>1388</v>
      </c>
      <c r="C527" t="b">
        <f>INDEX([1]Sheet3!$A$1:$M$1031,MATCH(A527,[1]Sheet3!$B:$B,0),13)</f>
        <v>0</v>
      </c>
    </row>
    <row r="528" spans="1:3" hidden="1" x14ac:dyDescent="0.25">
      <c r="A528" t="s">
        <v>1389</v>
      </c>
      <c r="C528" t="b">
        <f>INDEX([1]Sheet3!$A$1:$M$1031,MATCH(A528,[1]Sheet3!$B:$B,0),13)</f>
        <v>0</v>
      </c>
    </row>
    <row r="529" spans="1:3" hidden="1" x14ac:dyDescent="0.25">
      <c r="A529" t="s">
        <v>1390</v>
      </c>
      <c r="C529" t="b">
        <f>INDEX([1]Sheet3!$A$1:$M$1031,MATCH(A529,[1]Sheet3!$B:$B,0),13)</f>
        <v>0</v>
      </c>
    </row>
    <row r="530" spans="1:3" hidden="1" x14ac:dyDescent="0.25">
      <c r="A530" t="s">
        <v>1391</v>
      </c>
      <c r="C530" t="b">
        <f>INDEX([1]Sheet3!$A$1:$M$1031,MATCH(A530,[1]Sheet3!$B:$B,0),13)</f>
        <v>0</v>
      </c>
    </row>
    <row r="531" spans="1:3" hidden="1" x14ac:dyDescent="0.25">
      <c r="A531" t="s">
        <v>1392</v>
      </c>
      <c r="C531" t="b">
        <f>INDEX([1]Sheet3!$A$1:$M$1031,MATCH(A531,[1]Sheet3!$B:$B,0),13)</f>
        <v>0</v>
      </c>
    </row>
    <row r="532" spans="1:3" hidden="1" x14ac:dyDescent="0.25">
      <c r="A532" t="s">
        <v>1393</v>
      </c>
      <c r="C532" t="b">
        <f>INDEX([1]Sheet3!$A$1:$M$1031,MATCH(A532,[1]Sheet3!$B:$B,0),13)</f>
        <v>0</v>
      </c>
    </row>
    <row r="533" spans="1:3" hidden="1" x14ac:dyDescent="0.25">
      <c r="A533" t="s">
        <v>1394</v>
      </c>
      <c r="C533" t="b">
        <f>INDEX([1]Sheet3!$A$1:$M$1031,MATCH(A533,[1]Sheet3!$B:$B,0),13)</f>
        <v>0</v>
      </c>
    </row>
    <row r="534" spans="1:3" hidden="1" x14ac:dyDescent="0.25">
      <c r="A534" t="s">
        <v>1395</v>
      </c>
      <c r="C534" t="b">
        <f>INDEX([1]Sheet3!$A$1:$M$1031,MATCH(A534,[1]Sheet3!$B:$B,0),13)</f>
        <v>0</v>
      </c>
    </row>
    <row r="535" spans="1:3" hidden="1" x14ac:dyDescent="0.25">
      <c r="A535" t="s">
        <v>1396</v>
      </c>
      <c r="C535" t="b">
        <f>INDEX([1]Sheet3!$A$1:$M$1031,MATCH(A535,[1]Sheet3!$B:$B,0),13)</f>
        <v>0</v>
      </c>
    </row>
    <row r="536" spans="1:3" hidden="1" x14ac:dyDescent="0.25">
      <c r="A536" t="s">
        <v>1397</v>
      </c>
      <c r="C536" t="b">
        <f>INDEX([1]Sheet3!$A$1:$M$1031,MATCH(A536,[1]Sheet3!$B:$B,0),13)</f>
        <v>0</v>
      </c>
    </row>
    <row r="537" spans="1:3" hidden="1" x14ac:dyDescent="0.25">
      <c r="A537" t="s">
        <v>1398</v>
      </c>
      <c r="C537" t="b">
        <f>INDEX([1]Sheet3!$A$1:$M$1031,MATCH(A537,[1]Sheet3!$B:$B,0),13)</f>
        <v>0</v>
      </c>
    </row>
    <row r="538" spans="1:3" hidden="1" x14ac:dyDescent="0.25">
      <c r="A538" t="s">
        <v>1399</v>
      </c>
      <c r="C538" t="b">
        <f>INDEX([1]Sheet3!$A$1:$M$1031,MATCH(A538,[1]Sheet3!$B:$B,0),13)</f>
        <v>0</v>
      </c>
    </row>
    <row r="539" spans="1:3" hidden="1" x14ac:dyDescent="0.25">
      <c r="A539" t="s">
        <v>1400</v>
      </c>
      <c r="C539" t="b">
        <f>INDEX([1]Sheet3!$A$1:$M$1031,MATCH(A539,[1]Sheet3!$B:$B,0),13)</f>
        <v>0</v>
      </c>
    </row>
    <row r="540" spans="1:3" hidden="1" x14ac:dyDescent="0.25">
      <c r="A540" t="s">
        <v>1401</v>
      </c>
      <c r="C540" t="b">
        <f>INDEX([1]Sheet3!$A$1:$M$1031,MATCH(A540,[1]Sheet3!$B:$B,0),13)</f>
        <v>0</v>
      </c>
    </row>
    <row r="541" spans="1:3" hidden="1" x14ac:dyDescent="0.25">
      <c r="A541" t="s">
        <v>1402</v>
      </c>
      <c r="C541" t="b">
        <f>INDEX([1]Sheet3!$A$1:$M$1031,MATCH(A541,[1]Sheet3!$B:$B,0),13)</f>
        <v>0</v>
      </c>
    </row>
    <row r="542" spans="1:3" hidden="1" x14ac:dyDescent="0.25">
      <c r="A542" t="s">
        <v>1403</v>
      </c>
      <c r="C542" t="b">
        <f>INDEX([1]Sheet3!$A$1:$M$1031,MATCH(A542,[1]Sheet3!$B:$B,0),13)</f>
        <v>0</v>
      </c>
    </row>
    <row r="543" spans="1:3" hidden="1" x14ac:dyDescent="0.25">
      <c r="A543" t="s">
        <v>1404</v>
      </c>
      <c r="C543" t="b">
        <f>INDEX([1]Sheet3!$A$1:$M$1031,MATCH(A543,[1]Sheet3!$B:$B,0),13)</f>
        <v>0</v>
      </c>
    </row>
    <row r="544" spans="1:3" hidden="1" x14ac:dyDescent="0.25">
      <c r="A544" t="s">
        <v>1405</v>
      </c>
      <c r="C544" t="b">
        <f>INDEX([1]Sheet3!$A$1:$M$1031,MATCH(A544,[1]Sheet3!$B:$B,0),13)</f>
        <v>0</v>
      </c>
    </row>
    <row r="545" spans="1:3" hidden="1" x14ac:dyDescent="0.25">
      <c r="A545" t="s">
        <v>1406</v>
      </c>
      <c r="C545" t="b">
        <f>INDEX([1]Sheet3!$A$1:$M$1031,MATCH(A545,[1]Sheet3!$B:$B,0),13)</f>
        <v>0</v>
      </c>
    </row>
    <row r="546" spans="1:3" hidden="1" x14ac:dyDescent="0.25">
      <c r="A546" t="s">
        <v>1407</v>
      </c>
      <c r="C546" t="b">
        <f>INDEX([1]Sheet3!$A$1:$M$1031,MATCH(A546,[1]Sheet3!$B:$B,0),13)</f>
        <v>0</v>
      </c>
    </row>
    <row r="547" spans="1:3" hidden="1" x14ac:dyDescent="0.25">
      <c r="A547" t="s">
        <v>1408</v>
      </c>
      <c r="C547" t="b">
        <f>INDEX([1]Sheet3!$A$1:$M$1031,MATCH(A547,[1]Sheet3!$B:$B,0),13)</f>
        <v>0</v>
      </c>
    </row>
    <row r="548" spans="1:3" hidden="1" x14ac:dyDescent="0.25">
      <c r="A548" t="s">
        <v>1409</v>
      </c>
      <c r="C548" t="b">
        <f>INDEX([1]Sheet3!$A$1:$M$1031,MATCH(A548,[1]Sheet3!$B:$B,0),13)</f>
        <v>0</v>
      </c>
    </row>
    <row r="549" spans="1:3" hidden="1" x14ac:dyDescent="0.25">
      <c r="A549" t="s">
        <v>1410</v>
      </c>
      <c r="C549" t="b">
        <f>INDEX([1]Sheet3!$A$1:$M$1031,MATCH(A549,[1]Sheet3!$B:$B,0),13)</f>
        <v>0</v>
      </c>
    </row>
    <row r="550" spans="1:3" hidden="1" x14ac:dyDescent="0.25">
      <c r="A550" t="s">
        <v>1411</v>
      </c>
      <c r="C550" t="b">
        <f>INDEX([1]Sheet3!$A$1:$M$1031,MATCH(A550,[1]Sheet3!$B:$B,0),13)</f>
        <v>0</v>
      </c>
    </row>
    <row r="551" spans="1:3" hidden="1" x14ac:dyDescent="0.25">
      <c r="A551" t="s">
        <v>1412</v>
      </c>
      <c r="C551" t="b">
        <f>INDEX([1]Sheet3!$A$1:$M$1031,MATCH(A551,[1]Sheet3!$B:$B,0),13)</f>
        <v>0</v>
      </c>
    </row>
    <row r="552" spans="1:3" hidden="1" x14ac:dyDescent="0.25">
      <c r="A552" t="s">
        <v>1413</v>
      </c>
      <c r="C552" t="b">
        <f>INDEX([1]Sheet3!$A$1:$M$1031,MATCH(A552,[1]Sheet3!$B:$B,0),13)</f>
        <v>0</v>
      </c>
    </row>
    <row r="553" spans="1:3" hidden="1" x14ac:dyDescent="0.25">
      <c r="A553" t="s">
        <v>1414</v>
      </c>
      <c r="C553" t="b">
        <f>INDEX([1]Sheet3!$A$1:$M$1031,MATCH(A553,[1]Sheet3!$B:$B,0),13)</f>
        <v>0</v>
      </c>
    </row>
    <row r="554" spans="1:3" hidden="1" x14ac:dyDescent="0.25">
      <c r="A554" t="s">
        <v>1415</v>
      </c>
      <c r="C554" t="b">
        <f>INDEX([1]Sheet3!$A$1:$M$1031,MATCH(A554,[1]Sheet3!$B:$B,0),13)</f>
        <v>0</v>
      </c>
    </row>
    <row r="555" spans="1:3" hidden="1" x14ac:dyDescent="0.25">
      <c r="A555" t="s">
        <v>1416</v>
      </c>
      <c r="C555" t="b">
        <f>INDEX([1]Sheet3!$A$1:$M$1031,MATCH(A555,[1]Sheet3!$B:$B,0),13)</f>
        <v>0</v>
      </c>
    </row>
    <row r="556" spans="1:3" hidden="1" x14ac:dyDescent="0.25">
      <c r="A556" t="s">
        <v>1417</v>
      </c>
      <c r="C556" t="b">
        <f>INDEX([1]Sheet3!$A$1:$M$1031,MATCH(A556,[1]Sheet3!$B:$B,0),13)</f>
        <v>0</v>
      </c>
    </row>
    <row r="557" spans="1:3" hidden="1" x14ac:dyDescent="0.25">
      <c r="A557" t="s">
        <v>1418</v>
      </c>
      <c r="C557" t="b">
        <f>INDEX([1]Sheet3!$A$1:$M$1031,MATCH(A557,[1]Sheet3!$B:$B,0),13)</f>
        <v>0</v>
      </c>
    </row>
    <row r="558" spans="1:3" hidden="1" x14ac:dyDescent="0.25">
      <c r="A558" t="s">
        <v>1419</v>
      </c>
      <c r="C558" t="b">
        <f>INDEX([1]Sheet3!$A$1:$M$1031,MATCH(A558,[1]Sheet3!$B:$B,0),13)</f>
        <v>0</v>
      </c>
    </row>
    <row r="559" spans="1:3" hidden="1" x14ac:dyDescent="0.25">
      <c r="A559" t="s">
        <v>1420</v>
      </c>
      <c r="C559" t="b">
        <f>INDEX([1]Sheet3!$A$1:$M$1031,MATCH(A559,[1]Sheet3!$B:$B,0),13)</f>
        <v>0</v>
      </c>
    </row>
    <row r="560" spans="1:3" hidden="1" x14ac:dyDescent="0.25">
      <c r="A560" t="s">
        <v>1421</v>
      </c>
      <c r="C560" t="b">
        <f>INDEX([1]Sheet3!$A$1:$M$1031,MATCH(A560,[1]Sheet3!$B:$B,0),13)</f>
        <v>0</v>
      </c>
    </row>
    <row r="561" spans="1:3" hidden="1" x14ac:dyDescent="0.25">
      <c r="A561" t="s">
        <v>1422</v>
      </c>
      <c r="C561" t="b">
        <f>INDEX([1]Sheet3!$A$1:$M$1031,MATCH(A561,[1]Sheet3!$B:$B,0),13)</f>
        <v>0</v>
      </c>
    </row>
    <row r="562" spans="1:3" hidden="1" x14ac:dyDescent="0.25">
      <c r="A562" t="s">
        <v>1423</v>
      </c>
      <c r="C562" t="b">
        <f>INDEX([1]Sheet3!$A$1:$M$1031,MATCH(A562,[1]Sheet3!$B:$B,0),13)</f>
        <v>0</v>
      </c>
    </row>
    <row r="563" spans="1:3" hidden="1" x14ac:dyDescent="0.25">
      <c r="A563" t="s">
        <v>1424</v>
      </c>
      <c r="C563" t="b">
        <f>INDEX([1]Sheet3!$A$1:$M$1031,MATCH(A563,[1]Sheet3!$B:$B,0),13)</f>
        <v>0</v>
      </c>
    </row>
    <row r="564" spans="1:3" hidden="1" x14ac:dyDescent="0.25">
      <c r="A564" t="s">
        <v>1425</v>
      </c>
      <c r="C564" t="b">
        <f>INDEX([1]Sheet3!$A$1:$M$1031,MATCH(A564,[1]Sheet3!$B:$B,0),13)</f>
        <v>0</v>
      </c>
    </row>
    <row r="565" spans="1:3" hidden="1" x14ac:dyDescent="0.25">
      <c r="A565" t="s">
        <v>1426</v>
      </c>
      <c r="C565" t="b">
        <f>INDEX([1]Sheet3!$A$1:$M$1031,MATCH(A565,[1]Sheet3!$B:$B,0),13)</f>
        <v>0</v>
      </c>
    </row>
    <row r="566" spans="1:3" hidden="1" x14ac:dyDescent="0.25">
      <c r="A566" t="s">
        <v>1427</v>
      </c>
      <c r="C566" t="b">
        <f>INDEX([1]Sheet3!$A$1:$M$1031,MATCH(A566,[1]Sheet3!$B:$B,0),13)</f>
        <v>0</v>
      </c>
    </row>
    <row r="567" spans="1:3" hidden="1" x14ac:dyDescent="0.25">
      <c r="A567" t="s">
        <v>1428</v>
      </c>
      <c r="C567" t="b">
        <f>INDEX([1]Sheet3!$A$1:$M$1031,MATCH(A567,[1]Sheet3!$B:$B,0),13)</f>
        <v>0</v>
      </c>
    </row>
    <row r="568" spans="1:3" hidden="1" x14ac:dyDescent="0.25">
      <c r="A568" t="s">
        <v>1429</v>
      </c>
      <c r="C568" t="b">
        <f>INDEX([1]Sheet3!$A$1:$M$1031,MATCH(A568,[1]Sheet3!$B:$B,0),13)</f>
        <v>0</v>
      </c>
    </row>
    <row r="569" spans="1:3" hidden="1" x14ac:dyDescent="0.25">
      <c r="A569" t="s">
        <v>1430</v>
      </c>
      <c r="C569" t="b">
        <f>INDEX([1]Sheet3!$A$1:$M$1031,MATCH(A569,[1]Sheet3!$B:$B,0),13)</f>
        <v>0</v>
      </c>
    </row>
    <row r="570" spans="1:3" hidden="1" x14ac:dyDescent="0.25">
      <c r="A570" t="s">
        <v>1431</v>
      </c>
      <c r="C570" t="b">
        <f>INDEX([1]Sheet3!$A$1:$M$1031,MATCH(A570,[1]Sheet3!$B:$B,0),13)</f>
        <v>0</v>
      </c>
    </row>
    <row r="571" spans="1:3" hidden="1" x14ac:dyDescent="0.25">
      <c r="A571" t="s">
        <v>1432</v>
      </c>
      <c r="C571" t="b">
        <f>INDEX([1]Sheet3!$A$1:$M$1031,MATCH(A571,[1]Sheet3!$B:$B,0),13)</f>
        <v>0</v>
      </c>
    </row>
    <row r="572" spans="1:3" hidden="1" x14ac:dyDescent="0.25">
      <c r="A572" t="s">
        <v>1433</v>
      </c>
      <c r="C572" t="b">
        <f>INDEX([1]Sheet3!$A$1:$M$1031,MATCH(A572,[1]Sheet3!$B:$B,0),13)</f>
        <v>0</v>
      </c>
    </row>
    <row r="573" spans="1:3" hidden="1" x14ac:dyDescent="0.25">
      <c r="A573" t="s">
        <v>1434</v>
      </c>
      <c r="C573" t="b">
        <f>INDEX([1]Sheet3!$A$1:$M$1031,MATCH(A573,[1]Sheet3!$B:$B,0),13)</f>
        <v>0</v>
      </c>
    </row>
    <row r="574" spans="1:3" hidden="1" x14ac:dyDescent="0.25">
      <c r="A574" t="s">
        <v>1435</v>
      </c>
      <c r="C574" t="b">
        <f>INDEX([1]Sheet3!$A$1:$M$1031,MATCH(A574,[1]Sheet3!$B:$B,0),13)</f>
        <v>0</v>
      </c>
    </row>
    <row r="575" spans="1:3" hidden="1" x14ac:dyDescent="0.25">
      <c r="A575" t="s">
        <v>1436</v>
      </c>
      <c r="C575" t="b">
        <f>INDEX([1]Sheet3!$A$1:$M$1031,MATCH(A575,[1]Sheet3!$B:$B,0),13)</f>
        <v>0</v>
      </c>
    </row>
    <row r="576" spans="1:3" hidden="1" x14ac:dyDescent="0.25">
      <c r="A576" t="s">
        <v>1437</v>
      </c>
      <c r="C576" t="b">
        <f>INDEX([1]Sheet3!$A$1:$M$1031,MATCH(A576,[1]Sheet3!$B:$B,0),13)</f>
        <v>0</v>
      </c>
    </row>
    <row r="577" spans="1:5" hidden="1" x14ac:dyDescent="0.25">
      <c r="A577" t="s">
        <v>1438</v>
      </c>
      <c r="C577" t="b">
        <f>INDEX([1]Sheet3!$A$1:$M$1031,MATCH(A577,[1]Sheet3!$B:$B,0),13)</f>
        <v>0</v>
      </c>
    </row>
    <row r="578" spans="1:5" hidden="1" x14ac:dyDescent="0.25">
      <c r="A578" t="s">
        <v>1439</v>
      </c>
      <c r="C578" t="b">
        <f>INDEX([1]Sheet3!$A$1:$M$1031,MATCH(A578,[1]Sheet3!$B:$B,0),13)</f>
        <v>0</v>
      </c>
    </row>
    <row r="579" spans="1:5" hidden="1" x14ac:dyDescent="0.25">
      <c r="A579" t="s">
        <v>1440</v>
      </c>
      <c r="C579" t="b">
        <f>INDEX([1]Sheet3!$A$1:$M$1031,MATCH(A579,[1]Sheet3!$B:$B,0),13)</f>
        <v>0</v>
      </c>
    </row>
    <row r="580" spans="1:5" hidden="1" x14ac:dyDescent="0.25">
      <c r="A580" t="s">
        <v>1441</v>
      </c>
      <c r="C580" t="b">
        <f>INDEX([1]Sheet3!$A$1:$M$1031,MATCH(A580,[1]Sheet3!$B:$B,0),13)</f>
        <v>0</v>
      </c>
    </row>
    <row r="581" spans="1:5" hidden="1" x14ac:dyDescent="0.25">
      <c r="A581" t="s">
        <v>1442</v>
      </c>
      <c r="C581" t="b">
        <f>INDEX([1]Sheet3!$A$1:$M$1031,MATCH(A581,[1]Sheet3!$B:$B,0),13)</f>
        <v>0</v>
      </c>
    </row>
    <row r="582" spans="1:5" hidden="1" x14ac:dyDescent="0.25">
      <c r="A582" t="s">
        <v>1443</v>
      </c>
      <c r="C582" t="b">
        <f>INDEX([1]Sheet3!$A$1:$M$1031,MATCH(A582,[1]Sheet3!$B:$B,0),13)</f>
        <v>0</v>
      </c>
    </row>
    <row r="583" spans="1:5" hidden="1" x14ac:dyDescent="0.25">
      <c r="A583" t="s">
        <v>1444</v>
      </c>
      <c r="C583" t="b">
        <f>INDEX([1]Sheet3!$A$1:$M$1031,MATCH(A583,[1]Sheet3!$B:$B,0),13)</f>
        <v>0</v>
      </c>
    </row>
    <row r="584" spans="1:5" hidden="1" x14ac:dyDescent="0.25">
      <c r="A584" t="s">
        <v>1445</v>
      </c>
      <c r="C584" t="b">
        <f>INDEX([1]Sheet3!$A$1:$M$1031,MATCH(A584,[1]Sheet3!$B:$B,0),13)</f>
        <v>0</v>
      </c>
    </row>
    <row r="585" spans="1:5" hidden="1" x14ac:dyDescent="0.25">
      <c r="A585" t="s">
        <v>1446</v>
      </c>
      <c r="C585" t="b">
        <f>INDEX([1]Sheet3!$A$1:$M$1031,MATCH(A585,[1]Sheet3!$B:$B,0),13)</f>
        <v>0</v>
      </c>
    </row>
    <row r="586" spans="1:5" hidden="1" x14ac:dyDescent="0.25">
      <c r="A586" t="s">
        <v>1447</v>
      </c>
      <c r="C586" t="b">
        <f>INDEX([1]Sheet3!$A$1:$M$1031,MATCH(A586,[1]Sheet3!$B:$B,0),13)</f>
        <v>0</v>
      </c>
    </row>
    <row r="587" spans="1:5" hidden="1" x14ac:dyDescent="0.25">
      <c r="A587" t="s">
        <v>1448</v>
      </c>
      <c r="C587" t="b">
        <f>INDEX([1]Sheet3!$A$1:$M$1031,MATCH(A587,[1]Sheet3!$B:$B,0),13)</f>
        <v>0</v>
      </c>
    </row>
    <row r="588" spans="1:5" hidden="1" x14ac:dyDescent="0.25">
      <c r="A588" t="s">
        <v>1449</v>
      </c>
      <c r="C588" t="b">
        <f>INDEX([1]Sheet3!$A$1:$M$1031,MATCH(A588,[1]Sheet3!$B:$B,0),13)</f>
        <v>0</v>
      </c>
    </row>
    <row r="589" spans="1:5" hidden="1" x14ac:dyDescent="0.25">
      <c r="A589" t="s">
        <v>1450</v>
      </c>
      <c r="C589" t="b">
        <f>INDEX([1]Sheet3!$A$1:$M$1031,MATCH(A589,[1]Sheet3!$B:$B,0),13)</f>
        <v>0</v>
      </c>
    </row>
    <row r="590" spans="1:5" hidden="1" x14ac:dyDescent="0.25">
      <c r="A590" t="s">
        <v>1451</v>
      </c>
      <c r="C590" t="b">
        <f>INDEX([1]Sheet3!$A$1:$M$1031,MATCH(A590,[1]Sheet3!$B:$B,0),13)</f>
        <v>0</v>
      </c>
    </row>
    <row r="591" spans="1:5" hidden="1" x14ac:dyDescent="0.25">
      <c r="A591" t="s">
        <v>1452</v>
      </c>
      <c r="C591" t="b">
        <f>INDEX([1]Sheet3!$A$1:$M$1031,MATCH(A591,[1]Sheet3!$B:$B,0),13)</f>
        <v>0</v>
      </c>
    </row>
    <row r="592" spans="1:5" hidden="1" x14ac:dyDescent="0.25">
      <c r="A592" t="s">
        <v>1453</v>
      </c>
      <c r="C592" t="b">
        <f>INDEX([1]Sheet3!$A$1:$M$1031,MATCH(A592,[1]Sheet3!$B:$B,0),13)</f>
        <v>0</v>
      </c>
      <c r="E592" t="s">
        <v>2081</v>
      </c>
    </row>
    <row r="593" spans="1:3" hidden="1" x14ac:dyDescent="0.25">
      <c r="A593" t="s">
        <v>1454</v>
      </c>
      <c r="C593" t="b">
        <f>INDEX([1]Sheet3!$A$1:$M$1031,MATCH(A593,[1]Sheet3!$B:$B,0),13)</f>
        <v>0</v>
      </c>
    </row>
    <row r="594" spans="1:3" hidden="1" x14ac:dyDescent="0.25">
      <c r="A594" t="s">
        <v>1455</v>
      </c>
      <c r="C594" t="b">
        <f>INDEX([1]Sheet3!$A$1:$M$1031,MATCH(A594,[1]Sheet3!$B:$B,0),13)</f>
        <v>0</v>
      </c>
    </row>
    <row r="595" spans="1:3" hidden="1" x14ac:dyDescent="0.25">
      <c r="A595" t="s">
        <v>1456</v>
      </c>
      <c r="C595" t="b">
        <f>INDEX([1]Sheet3!$A$1:$M$1031,MATCH(A595,[1]Sheet3!$B:$B,0),13)</f>
        <v>0</v>
      </c>
    </row>
    <row r="596" spans="1:3" hidden="1" x14ac:dyDescent="0.25">
      <c r="A596" t="s">
        <v>1457</v>
      </c>
      <c r="C596" t="b">
        <f>INDEX([1]Sheet3!$A$1:$M$1031,MATCH(A596,[1]Sheet3!$B:$B,0),13)</f>
        <v>0</v>
      </c>
    </row>
    <row r="597" spans="1:3" hidden="1" x14ac:dyDescent="0.25">
      <c r="A597" t="s">
        <v>1458</v>
      </c>
      <c r="C597" t="b">
        <f>INDEX([1]Sheet3!$A$1:$M$1031,MATCH(A597,[1]Sheet3!$B:$B,0),13)</f>
        <v>0</v>
      </c>
    </row>
    <row r="598" spans="1:3" hidden="1" x14ac:dyDescent="0.25">
      <c r="A598" t="s">
        <v>1459</v>
      </c>
      <c r="C598" t="b">
        <f>INDEX([1]Sheet3!$A$1:$M$1031,MATCH(A598,[1]Sheet3!$B:$B,0),13)</f>
        <v>0</v>
      </c>
    </row>
    <row r="599" spans="1:3" hidden="1" x14ac:dyDescent="0.25">
      <c r="A599" t="s">
        <v>1460</v>
      </c>
      <c r="C599" t="b">
        <f>INDEX([1]Sheet3!$A$1:$M$1031,MATCH(A599,[1]Sheet3!$B:$B,0),13)</f>
        <v>0</v>
      </c>
    </row>
    <row r="600" spans="1:3" hidden="1" x14ac:dyDescent="0.25">
      <c r="A600" t="s">
        <v>1461</v>
      </c>
      <c r="C600" t="b">
        <f>INDEX([1]Sheet3!$A$1:$M$1031,MATCH(A600,[1]Sheet3!$B:$B,0),13)</f>
        <v>0</v>
      </c>
    </row>
    <row r="601" spans="1:3" hidden="1" x14ac:dyDescent="0.25">
      <c r="A601" t="s">
        <v>1462</v>
      </c>
      <c r="C601" t="b">
        <f>INDEX([1]Sheet3!$A$1:$M$1031,MATCH(A601,[1]Sheet3!$B:$B,0),13)</f>
        <v>0</v>
      </c>
    </row>
    <row r="602" spans="1:3" hidden="1" x14ac:dyDescent="0.25">
      <c r="A602" t="s">
        <v>1463</v>
      </c>
      <c r="C602" t="b">
        <f>INDEX([1]Sheet3!$A$1:$M$1031,MATCH(A602,[1]Sheet3!$B:$B,0),13)</f>
        <v>0</v>
      </c>
    </row>
    <row r="603" spans="1:3" hidden="1" x14ac:dyDescent="0.25">
      <c r="A603" t="s">
        <v>1464</v>
      </c>
      <c r="C603" t="b">
        <f>INDEX([1]Sheet3!$A$1:$M$1031,MATCH(A603,[1]Sheet3!$B:$B,0),13)</f>
        <v>0</v>
      </c>
    </row>
    <row r="604" spans="1:3" hidden="1" x14ac:dyDescent="0.25">
      <c r="A604" t="s">
        <v>1465</v>
      </c>
      <c r="C604" t="b">
        <f>INDEX([1]Sheet3!$A$1:$M$1031,MATCH(A604,[1]Sheet3!$B:$B,0),13)</f>
        <v>0</v>
      </c>
    </row>
    <row r="605" spans="1:3" hidden="1" x14ac:dyDescent="0.25">
      <c r="A605" t="s">
        <v>1466</v>
      </c>
      <c r="C605" t="b">
        <f>INDEX([1]Sheet3!$A$1:$M$1031,MATCH(A605,[1]Sheet3!$B:$B,0),13)</f>
        <v>0</v>
      </c>
    </row>
    <row r="606" spans="1:3" hidden="1" x14ac:dyDescent="0.25">
      <c r="A606" t="s">
        <v>1467</v>
      </c>
      <c r="C606" t="b">
        <f>INDEX([1]Sheet3!$A$1:$M$1031,MATCH(A606,[1]Sheet3!$B:$B,0),13)</f>
        <v>0</v>
      </c>
    </row>
    <row r="607" spans="1:3" hidden="1" x14ac:dyDescent="0.25">
      <c r="A607" t="s">
        <v>1468</v>
      </c>
      <c r="C607" t="b">
        <f>INDEX([1]Sheet3!$A$1:$M$1031,MATCH(A607,[1]Sheet3!$B:$B,0),13)</f>
        <v>0</v>
      </c>
    </row>
    <row r="608" spans="1:3" hidden="1" x14ac:dyDescent="0.25">
      <c r="A608" t="s">
        <v>1469</v>
      </c>
      <c r="C608" t="b">
        <f>INDEX([1]Sheet3!$A$1:$M$1031,MATCH(A608,[1]Sheet3!$B:$B,0),13)</f>
        <v>0</v>
      </c>
    </row>
    <row r="609" spans="1:3" hidden="1" x14ac:dyDescent="0.25">
      <c r="A609" t="s">
        <v>1470</v>
      </c>
      <c r="C609" t="b">
        <f>INDEX([1]Sheet3!$A$1:$M$1031,MATCH(A609,[1]Sheet3!$B:$B,0),13)</f>
        <v>0</v>
      </c>
    </row>
    <row r="610" spans="1:3" hidden="1" x14ac:dyDescent="0.25">
      <c r="A610" t="s">
        <v>1471</v>
      </c>
      <c r="C610" t="b">
        <f>INDEX([1]Sheet3!$A$1:$M$1031,MATCH(A610,[1]Sheet3!$B:$B,0),13)</f>
        <v>0</v>
      </c>
    </row>
    <row r="611" spans="1:3" hidden="1" x14ac:dyDescent="0.25">
      <c r="A611" t="s">
        <v>1472</v>
      </c>
      <c r="C611" t="b">
        <f>INDEX([1]Sheet3!$A$1:$M$1031,MATCH(A611,[1]Sheet3!$B:$B,0),13)</f>
        <v>0</v>
      </c>
    </row>
    <row r="612" spans="1:3" hidden="1" x14ac:dyDescent="0.25">
      <c r="A612" t="s">
        <v>1473</v>
      </c>
      <c r="C612" t="b">
        <f>INDEX([1]Sheet3!$A$1:$M$1031,MATCH(A612,[1]Sheet3!$B:$B,0),13)</f>
        <v>0</v>
      </c>
    </row>
    <row r="613" spans="1:3" hidden="1" x14ac:dyDescent="0.25">
      <c r="A613" t="s">
        <v>1474</v>
      </c>
      <c r="C613" t="b">
        <f>INDEX([1]Sheet3!$A$1:$M$1031,MATCH(A613,[1]Sheet3!$B:$B,0),13)</f>
        <v>0</v>
      </c>
    </row>
    <row r="614" spans="1:3" hidden="1" x14ac:dyDescent="0.25">
      <c r="A614" t="s">
        <v>1475</v>
      </c>
      <c r="C614" t="b">
        <f>INDEX([1]Sheet3!$A$1:$M$1031,MATCH(A614,[1]Sheet3!$B:$B,0),13)</f>
        <v>0</v>
      </c>
    </row>
    <row r="615" spans="1:3" hidden="1" x14ac:dyDescent="0.25">
      <c r="A615" t="s">
        <v>1476</v>
      </c>
      <c r="C615" t="b">
        <f>INDEX([1]Sheet3!$A$1:$M$1031,MATCH(A615,[1]Sheet3!$B:$B,0),13)</f>
        <v>0</v>
      </c>
    </row>
    <row r="616" spans="1:3" hidden="1" x14ac:dyDescent="0.25">
      <c r="A616" t="s">
        <v>1477</v>
      </c>
      <c r="C616" t="b">
        <f>INDEX([1]Sheet3!$A$1:$M$1031,MATCH(A616,[1]Sheet3!$B:$B,0),13)</f>
        <v>0</v>
      </c>
    </row>
    <row r="617" spans="1:3" hidden="1" x14ac:dyDescent="0.25">
      <c r="A617" t="s">
        <v>1478</v>
      </c>
      <c r="C617" t="b">
        <f>INDEX([1]Sheet3!$A$1:$M$1031,MATCH(A617,[1]Sheet3!$B:$B,0),13)</f>
        <v>0</v>
      </c>
    </row>
    <row r="618" spans="1:3" hidden="1" x14ac:dyDescent="0.25">
      <c r="A618" t="s">
        <v>1479</v>
      </c>
      <c r="C618" t="b">
        <f>INDEX([1]Sheet3!$A$1:$M$1031,MATCH(A618,[1]Sheet3!$B:$B,0),13)</f>
        <v>0</v>
      </c>
    </row>
    <row r="619" spans="1:3" hidden="1" x14ac:dyDescent="0.25">
      <c r="A619" t="s">
        <v>1480</v>
      </c>
      <c r="C619" t="b">
        <f>INDEX([1]Sheet3!$A$1:$M$1031,MATCH(A619,[1]Sheet3!$B:$B,0),13)</f>
        <v>0</v>
      </c>
    </row>
    <row r="620" spans="1:3" hidden="1" x14ac:dyDescent="0.25">
      <c r="A620" t="s">
        <v>1481</v>
      </c>
      <c r="C620" t="b">
        <f>INDEX([1]Sheet3!$A$1:$M$1031,MATCH(A620,[1]Sheet3!$B:$B,0),13)</f>
        <v>0</v>
      </c>
    </row>
    <row r="621" spans="1:3" hidden="1" x14ac:dyDescent="0.25">
      <c r="A621" t="s">
        <v>1482</v>
      </c>
      <c r="C621" t="b">
        <f>INDEX([1]Sheet3!$A$1:$M$1031,MATCH(A621,[1]Sheet3!$B:$B,0),13)</f>
        <v>0</v>
      </c>
    </row>
    <row r="622" spans="1:3" hidden="1" x14ac:dyDescent="0.25">
      <c r="A622" t="s">
        <v>1483</v>
      </c>
      <c r="C622" t="b">
        <f>INDEX([1]Sheet3!$A$1:$M$1031,MATCH(A622,[1]Sheet3!$B:$B,0),13)</f>
        <v>0</v>
      </c>
    </row>
    <row r="623" spans="1:3" hidden="1" x14ac:dyDescent="0.25">
      <c r="A623" t="s">
        <v>1484</v>
      </c>
      <c r="C623" t="b">
        <f>INDEX([1]Sheet3!$A$1:$M$1031,MATCH(A623,[1]Sheet3!$B:$B,0),13)</f>
        <v>0</v>
      </c>
    </row>
    <row r="624" spans="1:3" hidden="1" x14ac:dyDescent="0.25">
      <c r="A624" t="s">
        <v>1485</v>
      </c>
      <c r="C624" t="b">
        <f>INDEX([1]Sheet3!$A$1:$M$1031,MATCH(A624,[1]Sheet3!$B:$B,0),13)</f>
        <v>0</v>
      </c>
    </row>
    <row r="625" spans="1:3" hidden="1" x14ac:dyDescent="0.25">
      <c r="A625" t="s">
        <v>1486</v>
      </c>
      <c r="C625" t="b">
        <f>INDEX([1]Sheet3!$A$1:$M$1031,MATCH(A625,[1]Sheet3!$B:$B,0),13)</f>
        <v>0</v>
      </c>
    </row>
    <row r="626" spans="1:3" hidden="1" x14ac:dyDescent="0.25">
      <c r="A626" t="s">
        <v>1487</v>
      </c>
      <c r="C626" t="b">
        <f>INDEX([1]Sheet3!$A$1:$M$1031,MATCH(A626,[1]Sheet3!$B:$B,0),13)</f>
        <v>0</v>
      </c>
    </row>
    <row r="627" spans="1:3" hidden="1" x14ac:dyDescent="0.25">
      <c r="A627" t="s">
        <v>1488</v>
      </c>
      <c r="C627" t="b">
        <f>INDEX([1]Sheet3!$A$1:$M$1031,MATCH(A627,[1]Sheet3!$B:$B,0),13)</f>
        <v>0</v>
      </c>
    </row>
    <row r="628" spans="1:3" hidden="1" x14ac:dyDescent="0.25">
      <c r="A628" t="s">
        <v>1489</v>
      </c>
      <c r="C628" t="b">
        <f>INDEX([1]Sheet3!$A$1:$M$1031,MATCH(A628,[1]Sheet3!$B:$B,0),13)</f>
        <v>0</v>
      </c>
    </row>
    <row r="629" spans="1:3" hidden="1" x14ac:dyDescent="0.25">
      <c r="A629" t="s">
        <v>1490</v>
      </c>
      <c r="C629" t="b">
        <f>INDEX([1]Sheet3!$A$1:$M$1031,MATCH(A629,[1]Sheet3!$B:$B,0),13)</f>
        <v>0</v>
      </c>
    </row>
    <row r="630" spans="1:3" hidden="1" x14ac:dyDescent="0.25">
      <c r="A630" t="s">
        <v>1491</v>
      </c>
      <c r="C630" t="b">
        <f>INDEX([1]Sheet3!$A$1:$M$1031,MATCH(A630,[1]Sheet3!$B:$B,0),13)</f>
        <v>0</v>
      </c>
    </row>
    <row r="631" spans="1:3" hidden="1" x14ac:dyDescent="0.25">
      <c r="A631" t="s">
        <v>1492</v>
      </c>
      <c r="C631" t="b">
        <f>INDEX([1]Sheet3!$A$1:$M$1031,MATCH(A631,[1]Sheet3!$B:$B,0),13)</f>
        <v>0</v>
      </c>
    </row>
    <row r="632" spans="1:3" hidden="1" x14ac:dyDescent="0.25">
      <c r="A632" t="s">
        <v>1493</v>
      </c>
      <c r="C632" t="b">
        <f>INDEX([1]Sheet3!$A$1:$M$1031,MATCH(A632,[1]Sheet3!$B:$B,0),13)</f>
        <v>0</v>
      </c>
    </row>
    <row r="633" spans="1:3" hidden="1" x14ac:dyDescent="0.25">
      <c r="A633" t="s">
        <v>1494</v>
      </c>
      <c r="C633" t="b">
        <f>INDEX([1]Sheet3!$A$1:$M$1031,MATCH(A633,[1]Sheet3!$B:$B,0),13)</f>
        <v>0</v>
      </c>
    </row>
    <row r="634" spans="1:3" hidden="1" x14ac:dyDescent="0.25">
      <c r="A634" t="s">
        <v>1495</v>
      </c>
      <c r="C634" t="b">
        <f>INDEX([1]Sheet3!$A$1:$M$1031,MATCH(A634,[1]Sheet3!$B:$B,0),13)</f>
        <v>0</v>
      </c>
    </row>
    <row r="635" spans="1:3" hidden="1" x14ac:dyDescent="0.25">
      <c r="A635" t="s">
        <v>1496</v>
      </c>
      <c r="C635" t="b">
        <f>INDEX([1]Sheet3!$A$1:$M$1031,MATCH(A635,[1]Sheet3!$B:$B,0),13)</f>
        <v>0</v>
      </c>
    </row>
    <row r="636" spans="1:3" hidden="1" x14ac:dyDescent="0.25">
      <c r="A636" t="s">
        <v>1497</v>
      </c>
      <c r="C636" t="b">
        <f>INDEX([1]Sheet3!$A$1:$M$1031,MATCH(A636,[1]Sheet3!$B:$B,0),13)</f>
        <v>0</v>
      </c>
    </row>
    <row r="637" spans="1:3" hidden="1" x14ac:dyDescent="0.25">
      <c r="A637" t="s">
        <v>1498</v>
      </c>
      <c r="C637" t="b">
        <f>INDEX([1]Sheet3!$A$1:$M$1031,MATCH(A637,[1]Sheet3!$B:$B,0),13)</f>
        <v>0</v>
      </c>
    </row>
    <row r="638" spans="1:3" hidden="1" x14ac:dyDescent="0.25">
      <c r="A638" t="s">
        <v>1499</v>
      </c>
      <c r="C638" t="b">
        <f>INDEX([1]Sheet3!$A$1:$M$1031,MATCH(A638,[1]Sheet3!$B:$B,0),13)</f>
        <v>0</v>
      </c>
    </row>
    <row r="639" spans="1:3" hidden="1" x14ac:dyDescent="0.25">
      <c r="A639" t="s">
        <v>1500</v>
      </c>
      <c r="B639" t="s">
        <v>50</v>
      </c>
      <c r="C639" t="b">
        <f>INDEX([1]Sheet3!$A$1:$M$1031,MATCH(A639,[1]Sheet3!$B:$B,0),13)</f>
        <v>1</v>
      </c>
    </row>
    <row r="640" spans="1:3" hidden="1" x14ac:dyDescent="0.25">
      <c r="A640" t="s">
        <v>1501</v>
      </c>
      <c r="B640" t="s">
        <v>50</v>
      </c>
      <c r="C640" t="b">
        <f>INDEX([1]Sheet3!$A$1:$M$1031,MATCH(A640,[1]Sheet3!$B:$B,0),13)</f>
        <v>1</v>
      </c>
    </row>
    <row r="641" spans="1:3" hidden="1" x14ac:dyDescent="0.25">
      <c r="A641" t="s">
        <v>1502</v>
      </c>
      <c r="B641" t="s">
        <v>50</v>
      </c>
      <c r="C641" t="b">
        <f>INDEX([1]Sheet3!$A$1:$M$1031,MATCH(A641,[1]Sheet3!$B:$B,0),13)</f>
        <v>1</v>
      </c>
    </row>
    <row r="642" spans="1:3" hidden="1" x14ac:dyDescent="0.25">
      <c r="A642" t="s">
        <v>1503</v>
      </c>
      <c r="B642" t="s">
        <v>50</v>
      </c>
      <c r="C642" t="b">
        <f>INDEX([1]Sheet3!$A$1:$M$1031,MATCH(A642,[1]Sheet3!$B:$B,0),13)</f>
        <v>1</v>
      </c>
    </row>
    <row r="643" spans="1:3" hidden="1" x14ac:dyDescent="0.25">
      <c r="A643" t="s">
        <v>1504</v>
      </c>
      <c r="B643" t="s">
        <v>50</v>
      </c>
      <c r="C643" t="b">
        <f>INDEX([1]Sheet3!$A$1:$M$1031,MATCH(A643,[1]Sheet3!$B:$B,0),13)</f>
        <v>1</v>
      </c>
    </row>
    <row r="644" spans="1:3" hidden="1" x14ac:dyDescent="0.25">
      <c r="A644" t="s">
        <v>1505</v>
      </c>
      <c r="B644" t="s">
        <v>50</v>
      </c>
      <c r="C644" t="b">
        <f>INDEX([1]Sheet3!$A$1:$M$1031,MATCH(A644,[1]Sheet3!$B:$B,0),13)</f>
        <v>1</v>
      </c>
    </row>
    <row r="645" spans="1:3" hidden="1" x14ac:dyDescent="0.25">
      <c r="A645" t="s">
        <v>1506</v>
      </c>
      <c r="B645" t="s">
        <v>50</v>
      </c>
      <c r="C645" t="b">
        <f>INDEX([1]Sheet3!$A$1:$M$1031,MATCH(A645,[1]Sheet3!$B:$B,0),13)</f>
        <v>1</v>
      </c>
    </row>
    <row r="646" spans="1:3" hidden="1" x14ac:dyDescent="0.25">
      <c r="A646" t="s">
        <v>1507</v>
      </c>
      <c r="B646" t="s">
        <v>50</v>
      </c>
      <c r="C646" t="b">
        <f>INDEX([1]Sheet3!$A$1:$M$1031,MATCH(A646,[1]Sheet3!$B:$B,0),13)</f>
        <v>1</v>
      </c>
    </row>
    <row r="647" spans="1:3" hidden="1" x14ac:dyDescent="0.25">
      <c r="A647" t="s">
        <v>1508</v>
      </c>
      <c r="B647" t="s">
        <v>50</v>
      </c>
      <c r="C647" t="b">
        <f>INDEX([1]Sheet3!$A$1:$M$1031,MATCH(A647,[1]Sheet3!$B:$B,0),13)</f>
        <v>1</v>
      </c>
    </row>
    <row r="648" spans="1:3" hidden="1" x14ac:dyDescent="0.25">
      <c r="A648" t="s">
        <v>1509</v>
      </c>
      <c r="B648" t="s">
        <v>50</v>
      </c>
      <c r="C648" t="b">
        <f>INDEX([1]Sheet3!$A$1:$M$1031,MATCH(A648,[1]Sheet3!$B:$B,0),13)</f>
        <v>1</v>
      </c>
    </row>
    <row r="649" spans="1:3" hidden="1" x14ac:dyDescent="0.25">
      <c r="A649" t="s">
        <v>1510</v>
      </c>
      <c r="B649" t="s">
        <v>50</v>
      </c>
      <c r="C649" t="b">
        <f>INDEX([1]Sheet3!$A$1:$M$1031,MATCH(A649,[1]Sheet3!$B:$B,0),13)</f>
        <v>1</v>
      </c>
    </row>
    <row r="650" spans="1:3" hidden="1" x14ac:dyDescent="0.25">
      <c r="A650" t="s">
        <v>1511</v>
      </c>
      <c r="B650" t="s">
        <v>50</v>
      </c>
      <c r="C650" t="b">
        <v>1</v>
      </c>
    </row>
    <row r="651" spans="1:3" hidden="1" x14ac:dyDescent="0.25">
      <c r="A651" t="s">
        <v>1512</v>
      </c>
      <c r="C651" t="b">
        <f>INDEX([1]Sheet3!$A$1:$M$1031,MATCH(A651,[1]Sheet3!$B:$B,0),13)</f>
        <v>0</v>
      </c>
    </row>
    <row r="652" spans="1:3" hidden="1" x14ac:dyDescent="0.25">
      <c r="A652" t="s">
        <v>1513</v>
      </c>
      <c r="C652" t="b">
        <f>INDEX([1]Sheet3!$A$1:$M$1031,MATCH(A652,[1]Sheet3!$B:$B,0),13)</f>
        <v>0</v>
      </c>
    </row>
    <row r="653" spans="1:3" hidden="1" x14ac:dyDescent="0.25">
      <c r="A653" t="s">
        <v>1514</v>
      </c>
      <c r="C653" t="b">
        <f>INDEX([1]Sheet3!$A$1:$M$1031,MATCH(A653,[1]Sheet3!$B:$B,0),13)</f>
        <v>0</v>
      </c>
    </row>
    <row r="654" spans="1:3" hidden="1" x14ac:dyDescent="0.25">
      <c r="A654" t="s">
        <v>1515</v>
      </c>
      <c r="C654" t="b">
        <f>INDEX([1]Sheet3!$A$1:$M$1031,MATCH(A654,[1]Sheet3!$B:$B,0),13)</f>
        <v>0</v>
      </c>
    </row>
    <row r="655" spans="1:3" hidden="1" x14ac:dyDescent="0.25">
      <c r="A655" t="s">
        <v>1516</v>
      </c>
      <c r="C655" t="b">
        <f>INDEX([1]Sheet3!$A$1:$M$1031,MATCH(A655,[1]Sheet3!$B:$B,0),13)</f>
        <v>0</v>
      </c>
    </row>
    <row r="656" spans="1:3" hidden="1" x14ac:dyDescent="0.25">
      <c r="A656" t="s">
        <v>1517</v>
      </c>
      <c r="C656" t="b">
        <f>INDEX([1]Sheet3!$A$1:$M$1031,MATCH(A656,[1]Sheet3!$B:$B,0),13)</f>
        <v>0</v>
      </c>
    </row>
    <row r="657" spans="1:3" hidden="1" x14ac:dyDescent="0.25">
      <c r="A657" t="s">
        <v>1518</v>
      </c>
      <c r="C657" t="b">
        <f>INDEX([1]Sheet3!$A$1:$M$1031,MATCH(A657,[1]Sheet3!$B:$B,0),13)</f>
        <v>0</v>
      </c>
    </row>
    <row r="658" spans="1:3" hidden="1" x14ac:dyDescent="0.25">
      <c r="A658" t="s">
        <v>1519</v>
      </c>
      <c r="C658" t="b">
        <f>INDEX([1]Sheet3!$A$1:$M$1031,MATCH(A658,[1]Sheet3!$B:$B,0),13)</f>
        <v>0</v>
      </c>
    </row>
    <row r="659" spans="1:3" hidden="1" x14ac:dyDescent="0.25">
      <c r="A659" t="s">
        <v>1520</v>
      </c>
      <c r="C659" t="b">
        <f>INDEX([1]Sheet3!$A$1:$M$1031,MATCH(A659,[1]Sheet3!$B:$B,0),13)</f>
        <v>0</v>
      </c>
    </row>
    <row r="660" spans="1:3" hidden="1" x14ac:dyDescent="0.25">
      <c r="A660" t="s">
        <v>1521</v>
      </c>
      <c r="C660" t="b">
        <f>INDEX([1]Sheet3!$A$1:$M$1031,MATCH(A660,[1]Sheet3!$B:$B,0),13)</f>
        <v>0</v>
      </c>
    </row>
    <row r="661" spans="1:3" hidden="1" x14ac:dyDescent="0.25">
      <c r="A661" t="s">
        <v>1522</v>
      </c>
      <c r="C661" t="b">
        <f>INDEX([1]Sheet3!$A$1:$M$1031,MATCH(A661,[1]Sheet3!$B:$B,0),13)</f>
        <v>0</v>
      </c>
    </row>
    <row r="662" spans="1:3" hidden="1" x14ac:dyDescent="0.25">
      <c r="A662" t="s">
        <v>1523</v>
      </c>
      <c r="C662" t="b">
        <f>INDEX([1]Sheet3!$A$1:$M$1031,MATCH(A662,[1]Sheet3!$B:$B,0),13)</f>
        <v>0</v>
      </c>
    </row>
    <row r="663" spans="1:3" hidden="1" x14ac:dyDescent="0.25">
      <c r="A663" t="s">
        <v>1524</v>
      </c>
      <c r="C663" t="b">
        <f>INDEX([1]Sheet3!$A$1:$M$1031,MATCH(A663,[1]Sheet3!$B:$B,0),13)</f>
        <v>0</v>
      </c>
    </row>
    <row r="664" spans="1:3" hidden="1" x14ac:dyDescent="0.25">
      <c r="A664" t="s">
        <v>1525</v>
      </c>
      <c r="C664" t="b">
        <f>INDEX([1]Sheet3!$A$1:$M$1031,MATCH(A664,[1]Sheet3!$B:$B,0),13)</f>
        <v>0</v>
      </c>
    </row>
    <row r="665" spans="1:3" hidden="1" x14ac:dyDescent="0.25">
      <c r="A665" t="s">
        <v>1526</v>
      </c>
      <c r="C665" t="b">
        <f>INDEX([1]Sheet3!$A$1:$M$1031,MATCH(A665,[1]Sheet3!$B:$B,0),13)</f>
        <v>0</v>
      </c>
    </row>
    <row r="666" spans="1:3" hidden="1" x14ac:dyDescent="0.25">
      <c r="A666" t="s">
        <v>1527</v>
      </c>
      <c r="C666" t="b">
        <f>INDEX([1]Sheet3!$A$1:$M$1031,MATCH(A666,[1]Sheet3!$B:$B,0),13)</f>
        <v>0</v>
      </c>
    </row>
    <row r="667" spans="1:3" hidden="1" x14ac:dyDescent="0.25">
      <c r="A667" t="s">
        <v>1528</v>
      </c>
      <c r="C667" t="b">
        <f>INDEX([1]Sheet3!$A$1:$M$1031,MATCH(A667,[1]Sheet3!$B:$B,0),13)</f>
        <v>0</v>
      </c>
    </row>
    <row r="668" spans="1:3" hidden="1" x14ac:dyDescent="0.25">
      <c r="A668" t="s">
        <v>1529</v>
      </c>
      <c r="C668" t="b">
        <f>INDEX([1]Sheet3!$A$1:$M$1031,MATCH(A668,[1]Sheet3!$B:$B,0),13)</f>
        <v>0</v>
      </c>
    </row>
    <row r="669" spans="1:3" hidden="1" x14ac:dyDescent="0.25">
      <c r="A669" t="s">
        <v>1530</v>
      </c>
      <c r="C669" t="b">
        <f>INDEX([1]Sheet3!$A$1:$M$1031,MATCH(A669,[1]Sheet3!$B:$B,0),13)</f>
        <v>0</v>
      </c>
    </row>
    <row r="670" spans="1:3" hidden="1" x14ac:dyDescent="0.25">
      <c r="A670" t="s">
        <v>1531</v>
      </c>
      <c r="C670" t="b">
        <f>INDEX([1]Sheet3!$A$1:$M$1031,MATCH(A670,[1]Sheet3!$B:$B,0),13)</f>
        <v>0</v>
      </c>
    </row>
    <row r="671" spans="1:3" hidden="1" x14ac:dyDescent="0.25">
      <c r="A671" t="s">
        <v>1532</v>
      </c>
      <c r="C671" t="b">
        <f>INDEX([1]Sheet3!$A$1:$M$1031,MATCH(A671,[1]Sheet3!$B:$B,0),13)</f>
        <v>0</v>
      </c>
    </row>
    <row r="672" spans="1:3" hidden="1" x14ac:dyDescent="0.25">
      <c r="A672" t="s">
        <v>1533</v>
      </c>
      <c r="C672" t="b">
        <f>INDEX([1]Sheet3!$A$1:$M$1031,MATCH(A672,[1]Sheet3!$B:$B,0),13)</f>
        <v>0</v>
      </c>
    </row>
    <row r="673" spans="1:3" hidden="1" x14ac:dyDescent="0.25">
      <c r="A673" t="s">
        <v>1534</v>
      </c>
      <c r="C673" t="b">
        <f>INDEX([1]Sheet3!$A$1:$M$1031,MATCH(A673,[1]Sheet3!$B:$B,0),13)</f>
        <v>0</v>
      </c>
    </row>
    <row r="674" spans="1:3" hidden="1" x14ac:dyDescent="0.25">
      <c r="A674" t="s">
        <v>1535</v>
      </c>
      <c r="C674" t="b">
        <f>INDEX([1]Sheet3!$A$1:$M$1031,MATCH(A674,[1]Sheet3!$B:$B,0),13)</f>
        <v>0</v>
      </c>
    </row>
    <row r="675" spans="1:3" hidden="1" x14ac:dyDescent="0.25">
      <c r="A675" t="s">
        <v>1536</v>
      </c>
      <c r="C675" t="b">
        <f>INDEX([1]Sheet3!$A$1:$M$1031,MATCH(A675,[1]Sheet3!$B:$B,0),13)</f>
        <v>0</v>
      </c>
    </row>
    <row r="676" spans="1:3" hidden="1" x14ac:dyDescent="0.25">
      <c r="A676" t="s">
        <v>1537</v>
      </c>
      <c r="C676" t="b">
        <f>INDEX([1]Sheet3!$A$1:$M$1031,MATCH(A676,[1]Sheet3!$B:$B,0),13)</f>
        <v>0</v>
      </c>
    </row>
    <row r="677" spans="1:3" hidden="1" x14ac:dyDescent="0.25">
      <c r="A677" t="s">
        <v>1538</v>
      </c>
      <c r="C677" t="b">
        <f>INDEX([1]Sheet3!$A$1:$M$1031,MATCH(A677,[1]Sheet3!$B:$B,0),13)</f>
        <v>0</v>
      </c>
    </row>
    <row r="678" spans="1:3" hidden="1" x14ac:dyDescent="0.25">
      <c r="A678" t="s">
        <v>1539</v>
      </c>
      <c r="C678" t="b">
        <f>INDEX([1]Sheet3!$A$1:$M$1031,MATCH(A678,[1]Sheet3!$B:$B,0),13)</f>
        <v>0</v>
      </c>
    </row>
    <row r="679" spans="1:3" hidden="1" x14ac:dyDescent="0.25">
      <c r="A679" t="s">
        <v>1540</v>
      </c>
      <c r="C679" t="b">
        <f>INDEX([1]Sheet3!$A$1:$M$1031,MATCH(A679,[1]Sheet3!$B:$B,0),13)</f>
        <v>0</v>
      </c>
    </row>
    <row r="680" spans="1:3" hidden="1" x14ac:dyDescent="0.25">
      <c r="A680" t="s">
        <v>1541</v>
      </c>
      <c r="C680" t="b">
        <f>INDEX([1]Sheet3!$A$1:$M$1031,MATCH(A680,[1]Sheet3!$B:$B,0),13)</f>
        <v>0</v>
      </c>
    </row>
    <row r="681" spans="1:3" hidden="1" x14ac:dyDescent="0.25">
      <c r="A681" t="s">
        <v>1542</v>
      </c>
      <c r="C681" t="b">
        <f>INDEX([1]Sheet3!$A$1:$M$1031,MATCH(A681,[1]Sheet3!$B:$B,0),13)</f>
        <v>0</v>
      </c>
    </row>
    <row r="682" spans="1:3" hidden="1" x14ac:dyDescent="0.25">
      <c r="A682" t="s">
        <v>1543</v>
      </c>
      <c r="C682" t="b">
        <f>INDEX([1]Sheet3!$A$1:$M$1031,MATCH(A682,[1]Sheet3!$B:$B,0),13)</f>
        <v>0</v>
      </c>
    </row>
    <row r="683" spans="1:3" hidden="1" x14ac:dyDescent="0.25">
      <c r="A683" t="s">
        <v>1544</v>
      </c>
      <c r="C683" t="b">
        <f>INDEX([1]Sheet3!$A$1:$M$1031,MATCH(A683,[1]Sheet3!$B:$B,0),13)</f>
        <v>0</v>
      </c>
    </row>
    <row r="684" spans="1:3" hidden="1" x14ac:dyDescent="0.25">
      <c r="A684" t="s">
        <v>1545</v>
      </c>
      <c r="C684" t="b">
        <f>INDEX([1]Sheet3!$A$1:$M$1031,MATCH(A684,[1]Sheet3!$B:$B,0),13)</f>
        <v>0</v>
      </c>
    </row>
    <row r="685" spans="1:3" hidden="1" x14ac:dyDescent="0.25">
      <c r="A685" t="s">
        <v>1546</v>
      </c>
      <c r="C685" t="b">
        <f>INDEX([1]Sheet3!$A$1:$M$1031,MATCH(A685,[1]Sheet3!$B:$B,0),13)</f>
        <v>0</v>
      </c>
    </row>
    <row r="686" spans="1:3" hidden="1" x14ac:dyDescent="0.25">
      <c r="A686" t="s">
        <v>1547</v>
      </c>
      <c r="C686" t="b">
        <f>INDEX([1]Sheet3!$A$1:$M$1031,MATCH(A686,[1]Sheet3!$B:$B,0),13)</f>
        <v>0</v>
      </c>
    </row>
    <row r="687" spans="1:3" hidden="1" x14ac:dyDescent="0.25">
      <c r="A687" t="s">
        <v>1548</v>
      </c>
      <c r="C687" t="b">
        <f>INDEX([1]Sheet3!$A$1:$M$1031,MATCH(A687,[1]Sheet3!$B:$B,0),13)</f>
        <v>0</v>
      </c>
    </row>
    <row r="688" spans="1:3" hidden="1" x14ac:dyDescent="0.25">
      <c r="A688" t="s">
        <v>1549</v>
      </c>
      <c r="C688" t="b">
        <f>INDEX([1]Sheet3!$A$1:$M$1031,MATCH(A688,[1]Sheet3!$B:$B,0),13)</f>
        <v>0</v>
      </c>
    </row>
    <row r="689" spans="1:3" hidden="1" x14ac:dyDescent="0.25">
      <c r="A689" t="s">
        <v>1550</v>
      </c>
      <c r="C689" t="b">
        <f>INDEX([1]Sheet3!$A$1:$M$1031,MATCH(A689,[1]Sheet3!$B:$B,0),13)</f>
        <v>0</v>
      </c>
    </row>
    <row r="690" spans="1:3" hidden="1" x14ac:dyDescent="0.25">
      <c r="A690" t="s">
        <v>1551</v>
      </c>
      <c r="C690" t="b">
        <f>INDEX([1]Sheet3!$A$1:$M$1031,MATCH(A690,[1]Sheet3!$B:$B,0),13)</f>
        <v>0</v>
      </c>
    </row>
    <row r="691" spans="1:3" hidden="1" x14ac:dyDescent="0.25">
      <c r="A691" t="s">
        <v>1552</v>
      </c>
      <c r="C691" t="b">
        <f>INDEX([1]Sheet3!$A$1:$M$1031,MATCH(A691,[1]Sheet3!$B:$B,0),13)</f>
        <v>0</v>
      </c>
    </row>
    <row r="692" spans="1:3" hidden="1" x14ac:dyDescent="0.25">
      <c r="A692" t="s">
        <v>1553</v>
      </c>
      <c r="C692" t="b">
        <f>INDEX([1]Sheet3!$A$1:$M$1031,MATCH(A692,[1]Sheet3!$B:$B,0),13)</f>
        <v>0</v>
      </c>
    </row>
    <row r="693" spans="1:3" hidden="1" x14ac:dyDescent="0.25">
      <c r="A693" t="s">
        <v>1554</v>
      </c>
      <c r="C693" t="b">
        <f>INDEX([1]Sheet3!$A$1:$M$1031,MATCH(A693,[1]Sheet3!$B:$B,0),13)</f>
        <v>0</v>
      </c>
    </row>
    <row r="694" spans="1:3" hidden="1" x14ac:dyDescent="0.25">
      <c r="A694" t="s">
        <v>1555</v>
      </c>
      <c r="C694" t="b">
        <f>INDEX([1]Sheet3!$A$1:$M$1031,MATCH(A694,[1]Sheet3!$B:$B,0),13)</f>
        <v>0</v>
      </c>
    </row>
    <row r="695" spans="1:3" hidden="1" x14ac:dyDescent="0.25">
      <c r="A695" t="s">
        <v>1556</v>
      </c>
      <c r="C695" t="b">
        <f>INDEX([1]Sheet3!$A$1:$M$1031,MATCH(A695,[1]Sheet3!$B:$B,0),13)</f>
        <v>0</v>
      </c>
    </row>
    <row r="696" spans="1:3" hidden="1" x14ac:dyDescent="0.25">
      <c r="A696" t="s">
        <v>1557</v>
      </c>
      <c r="C696" t="b">
        <f>INDEX([1]Sheet3!$A$1:$M$1031,MATCH(A696,[1]Sheet3!$B:$B,0),13)</f>
        <v>0</v>
      </c>
    </row>
    <row r="697" spans="1:3" hidden="1" x14ac:dyDescent="0.25">
      <c r="A697" t="s">
        <v>1558</v>
      </c>
      <c r="C697" t="b">
        <f>INDEX([1]Sheet3!$A$1:$M$1031,MATCH(A697,[1]Sheet3!$B:$B,0),13)</f>
        <v>0</v>
      </c>
    </row>
    <row r="698" spans="1:3" hidden="1" x14ac:dyDescent="0.25">
      <c r="A698" t="s">
        <v>1559</v>
      </c>
      <c r="C698" t="b">
        <f>INDEX([1]Sheet3!$A$1:$M$1031,MATCH(A698,[1]Sheet3!$B:$B,0),13)</f>
        <v>0</v>
      </c>
    </row>
    <row r="699" spans="1:3" hidden="1" x14ac:dyDescent="0.25">
      <c r="A699" t="s">
        <v>1560</v>
      </c>
      <c r="C699" t="b">
        <f>INDEX([1]Sheet3!$A$1:$M$1031,MATCH(A699,[1]Sheet3!$B:$B,0),13)</f>
        <v>0</v>
      </c>
    </row>
    <row r="700" spans="1:3" hidden="1" x14ac:dyDescent="0.25">
      <c r="A700" t="s">
        <v>1561</v>
      </c>
      <c r="C700" t="b">
        <f>INDEX([1]Sheet3!$A$1:$M$1031,MATCH(A700,[1]Sheet3!$B:$B,0),13)</f>
        <v>0</v>
      </c>
    </row>
    <row r="701" spans="1:3" hidden="1" x14ac:dyDescent="0.25">
      <c r="A701" t="s">
        <v>1562</v>
      </c>
      <c r="C701" t="b">
        <f>INDEX([1]Sheet3!$A$1:$M$1031,MATCH(A701,[1]Sheet3!$B:$B,0),13)</f>
        <v>0</v>
      </c>
    </row>
    <row r="702" spans="1:3" hidden="1" x14ac:dyDescent="0.25">
      <c r="A702" t="s">
        <v>1563</v>
      </c>
      <c r="C702" t="b">
        <f>INDEX([1]Sheet3!$A$1:$M$1031,MATCH(A702,[1]Sheet3!$B:$B,0),13)</f>
        <v>0</v>
      </c>
    </row>
    <row r="703" spans="1:3" hidden="1" x14ac:dyDescent="0.25">
      <c r="A703" t="s">
        <v>1564</v>
      </c>
      <c r="C703" t="b">
        <f>INDEX([1]Sheet3!$A$1:$M$1031,MATCH(A703,[1]Sheet3!$B:$B,0),13)</f>
        <v>0</v>
      </c>
    </row>
    <row r="704" spans="1:3" hidden="1" x14ac:dyDescent="0.25">
      <c r="A704" t="s">
        <v>1565</v>
      </c>
      <c r="C704" t="b">
        <f>INDEX([1]Sheet3!$A$1:$M$1031,MATCH(A704,[1]Sheet3!$B:$B,0),13)</f>
        <v>0</v>
      </c>
    </row>
    <row r="705" spans="1:3" hidden="1" x14ac:dyDescent="0.25">
      <c r="A705" t="s">
        <v>1566</v>
      </c>
      <c r="C705" t="b">
        <f>INDEX([1]Sheet3!$A$1:$M$1031,MATCH(A705,[1]Sheet3!$B:$B,0),13)</f>
        <v>0</v>
      </c>
    </row>
    <row r="706" spans="1:3" hidden="1" x14ac:dyDescent="0.25">
      <c r="A706" t="s">
        <v>1567</v>
      </c>
      <c r="C706" t="b">
        <f>INDEX([1]Sheet3!$A$1:$M$1031,MATCH(A706,[1]Sheet3!$B:$B,0),13)</f>
        <v>0</v>
      </c>
    </row>
    <row r="707" spans="1:3" hidden="1" x14ac:dyDescent="0.25">
      <c r="A707" t="s">
        <v>1568</v>
      </c>
      <c r="C707" t="b">
        <f>INDEX([1]Sheet3!$A$1:$M$1031,MATCH(A707,[1]Sheet3!$B:$B,0),13)</f>
        <v>0</v>
      </c>
    </row>
    <row r="708" spans="1:3" hidden="1" x14ac:dyDescent="0.25">
      <c r="A708" t="s">
        <v>1569</v>
      </c>
      <c r="C708" t="b">
        <f>INDEX([1]Sheet3!$A$1:$M$1031,MATCH(A708,[1]Sheet3!$B:$B,0),13)</f>
        <v>0</v>
      </c>
    </row>
    <row r="709" spans="1:3" hidden="1" x14ac:dyDescent="0.25">
      <c r="A709" t="s">
        <v>1570</v>
      </c>
      <c r="C709" t="b">
        <f>INDEX([1]Sheet3!$A$1:$M$1031,MATCH(A709,[1]Sheet3!$B:$B,0),13)</f>
        <v>0</v>
      </c>
    </row>
    <row r="710" spans="1:3" hidden="1" x14ac:dyDescent="0.25">
      <c r="A710" t="s">
        <v>1571</v>
      </c>
      <c r="C710" t="b">
        <f>INDEX([1]Sheet3!$A$1:$M$1031,MATCH(A710,[1]Sheet3!$B:$B,0),13)</f>
        <v>0</v>
      </c>
    </row>
    <row r="711" spans="1:3" hidden="1" x14ac:dyDescent="0.25">
      <c r="A711" t="s">
        <v>1572</v>
      </c>
      <c r="C711" t="b">
        <f>INDEX([1]Sheet3!$A$1:$M$1031,MATCH(A711,[1]Sheet3!$B:$B,0),13)</f>
        <v>0</v>
      </c>
    </row>
    <row r="712" spans="1:3" hidden="1" x14ac:dyDescent="0.25">
      <c r="A712" t="s">
        <v>1573</v>
      </c>
      <c r="C712" t="b">
        <f>INDEX([1]Sheet3!$A$1:$M$1031,MATCH(A712,[1]Sheet3!$B:$B,0),13)</f>
        <v>0</v>
      </c>
    </row>
    <row r="713" spans="1:3" hidden="1" x14ac:dyDescent="0.25">
      <c r="A713" t="s">
        <v>1574</v>
      </c>
      <c r="C713" t="b">
        <f>INDEX([1]Sheet3!$A$1:$M$1031,MATCH(A713,[1]Sheet3!$B:$B,0),13)</f>
        <v>0</v>
      </c>
    </row>
    <row r="714" spans="1:3" hidden="1" x14ac:dyDescent="0.25">
      <c r="A714" t="s">
        <v>1575</v>
      </c>
      <c r="C714" t="b">
        <f>INDEX([1]Sheet3!$A$1:$M$1031,MATCH(A714,[1]Sheet3!$B:$B,0),13)</f>
        <v>0</v>
      </c>
    </row>
    <row r="715" spans="1:3" hidden="1" x14ac:dyDescent="0.25">
      <c r="A715" t="s">
        <v>1576</v>
      </c>
      <c r="C715" t="b">
        <f>INDEX([1]Sheet3!$A$1:$M$1031,MATCH(A715,[1]Sheet3!$B:$B,0),13)</f>
        <v>0</v>
      </c>
    </row>
    <row r="716" spans="1:3" hidden="1" x14ac:dyDescent="0.25">
      <c r="A716" t="s">
        <v>1577</v>
      </c>
      <c r="C716" t="b">
        <f>INDEX([1]Sheet3!$A$1:$M$1031,MATCH(A716,[1]Sheet3!$B:$B,0),13)</f>
        <v>0</v>
      </c>
    </row>
    <row r="717" spans="1:3" hidden="1" x14ac:dyDescent="0.25">
      <c r="A717" t="s">
        <v>1578</v>
      </c>
      <c r="B717" t="s">
        <v>50</v>
      </c>
      <c r="C717" t="b">
        <f>INDEX([1]Sheet3!$A$1:$M$1031,MATCH(A717,[1]Sheet3!$B:$B,0),13)</f>
        <v>1</v>
      </c>
    </row>
    <row r="718" spans="1:3" hidden="1" x14ac:dyDescent="0.25">
      <c r="A718" t="s">
        <v>1579</v>
      </c>
      <c r="B718" t="s">
        <v>50</v>
      </c>
      <c r="C718" t="b">
        <f>INDEX([1]Sheet3!$A$1:$M$1031,MATCH(A718,[1]Sheet3!$B:$B,0),13)</f>
        <v>1</v>
      </c>
    </row>
    <row r="719" spans="1:3" hidden="1" x14ac:dyDescent="0.25">
      <c r="A719" t="s">
        <v>1580</v>
      </c>
      <c r="B719" t="s">
        <v>50</v>
      </c>
      <c r="C719" t="b">
        <f>INDEX([1]Sheet3!$A$1:$M$1031,MATCH(A719,[1]Sheet3!$B:$B,0),13)</f>
        <v>1</v>
      </c>
    </row>
    <row r="720" spans="1:3" hidden="1" x14ac:dyDescent="0.25">
      <c r="A720" t="s">
        <v>1581</v>
      </c>
      <c r="B720" t="s">
        <v>50</v>
      </c>
      <c r="C720" t="b">
        <f>INDEX([1]Sheet3!$A$1:$M$1031,MATCH(A720,[1]Sheet3!$B:$B,0),13)</f>
        <v>1</v>
      </c>
    </row>
    <row r="721" spans="1:3" hidden="1" x14ac:dyDescent="0.25">
      <c r="A721" t="s">
        <v>1582</v>
      </c>
      <c r="B721" t="s">
        <v>50</v>
      </c>
      <c r="C721" t="b">
        <f>INDEX([1]Sheet3!$A$1:$M$1031,MATCH(A721,[1]Sheet3!$B:$B,0),13)</f>
        <v>1</v>
      </c>
    </row>
    <row r="722" spans="1:3" hidden="1" x14ac:dyDescent="0.25">
      <c r="A722" t="s">
        <v>1583</v>
      </c>
      <c r="B722" t="s">
        <v>50</v>
      </c>
      <c r="C722" t="b">
        <f>INDEX([1]Sheet3!$A$1:$M$1031,MATCH(A722,[1]Sheet3!$B:$B,0),13)</f>
        <v>1</v>
      </c>
    </row>
    <row r="723" spans="1:3" hidden="1" x14ac:dyDescent="0.25">
      <c r="A723" t="s">
        <v>1584</v>
      </c>
      <c r="C723">
        <f>INDEX([1]Sheet3!$A$1:$M$1031,MATCH(A723,[1]Sheet3!$B:$B,0),13)</f>
        <v>0</v>
      </c>
    </row>
    <row r="724" spans="1:3" hidden="1" x14ac:dyDescent="0.25">
      <c r="A724" t="s">
        <v>1585</v>
      </c>
      <c r="C724">
        <f>INDEX([1]Sheet3!$A$1:$M$1031,MATCH(A724,[1]Sheet3!$B:$B,0),13)</f>
        <v>0</v>
      </c>
    </row>
    <row r="725" spans="1:3" hidden="1" x14ac:dyDescent="0.25">
      <c r="A725" t="s">
        <v>1586</v>
      </c>
      <c r="C725">
        <f>INDEX([1]Sheet3!$A$1:$M$1031,MATCH(A725,[1]Sheet3!$B:$B,0),13)</f>
        <v>0</v>
      </c>
    </row>
    <row r="726" spans="1:3" hidden="1" x14ac:dyDescent="0.25">
      <c r="A726" t="s">
        <v>1587</v>
      </c>
      <c r="C726">
        <f>INDEX([1]Sheet3!$A$1:$M$1031,MATCH(A726,[1]Sheet3!$B:$B,0),13)</f>
        <v>0</v>
      </c>
    </row>
    <row r="727" spans="1:3" hidden="1" x14ac:dyDescent="0.25">
      <c r="A727" t="s">
        <v>1588</v>
      </c>
      <c r="C727">
        <f>INDEX([1]Sheet3!$A$1:$M$1031,MATCH(A727,[1]Sheet3!$B:$B,0),13)</f>
        <v>0</v>
      </c>
    </row>
    <row r="728" spans="1:3" hidden="1" x14ac:dyDescent="0.25">
      <c r="A728" t="s">
        <v>1589</v>
      </c>
      <c r="C728">
        <f>INDEX([1]Sheet3!$A$1:$M$1031,MATCH(A728,[1]Sheet3!$B:$B,0),13)</f>
        <v>0</v>
      </c>
    </row>
    <row r="729" spans="1:3" hidden="1" x14ac:dyDescent="0.25">
      <c r="A729" t="s">
        <v>1590</v>
      </c>
      <c r="C729">
        <f>INDEX([1]Sheet3!$A$1:$M$1031,MATCH(A729,[1]Sheet3!$B:$B,0),13)</f>
        <v>0</v>
      </c>
    </row>
    <row r="730" spans="1:3" hidden="1" x14ac:dyDescent="0.25">
      <c r="A730" t="s">
        <v>1591</v>
      </c>
      <c r="C730">
        <f>INDEX([1]Sheet3!$A$1:$M$1031,MATCH(A730,[1]Sheet3!$B:$B,0),13)</f>
        <v>0</v>
      </c>
    </row>
    <row r="731" spans="1:3" hidden="1" x14ac:dyDescent="0.25">
      <c r="A731" t="s">
        <v>1592</v>
      </c>
      <c r="C731">
        <f>INDEX([1]Sheet3!$A$1:$M$1031,MATCH(A731,[1]Sheet3!$B:$B,0),13)</f>
        <v>0</v>
      </c>
    </row>
    <row r="732" spans="1:3" hidden="1" x14ac:dyDescent="0.25">
      <c r="A732" t="s">
        <v>1593</v>
      </c>
      <c r="C732">
        <f>INDEX([1]Sheet3!$A$1:$M$1031,MATCH(A732,[1]Sheet3!$B:$B,0),13)</f>
        <v>0</v>
      </c>
    </row>
    <row r="733" spans="1:3" hidden="1" x14ac:dyDescent="0.25">
      <c r="A733" t="s">
        <v>1594</v>
      </c>
      <c r="C733">
        <f>INDEX([1]Sheet3!$A$1:$M$1031,MATCH(A733,[1]Sheet3!$B:$B,0),13)</f>
        <v>0</v>
      </c>
    </row>
    <row r="734" spans="1:3" hidden="1" x14ac:dyDescent="0.25">
      <c r="A734" t="s">
        <v>1595</v>
      </c>
      <c r="C734">
        <f>INDEX([1]Sheet3!$A$1:$M$1031,MATCH(A734,[1]Sheet3!$B:$B,0),13)</f>
        <v>0</v>
      </c>
    </row>
    <row r="735" spans="1:3" hidden="1" x14ac:dyDescent="0.25">
      <c r="A735" t="s">
        <v>1596</v>
      </c>
      <c r="C735">
        <f>INDEX([1]Sheet3!$A$1:$M$1031,MATCH(A735,[1]Sheet3!$B:$B,0),13)</f>
        <v>0</v>
      </c>
    </row>
    <row r="736" spans="1:3" hidden="1" x14ac:dyDescent="0.25">
      <c r="A736" t="s">
        <v>1597</v>
      </c>
      <c r="C736">
        <f>INDEX([1]Sheet3!$A$1:$M$1031,MATCH(A736,[1]Sheet3!$B:$B,0),13)</f>
        <v>0</v>
      </c>
    </row>
    <row r="737" spans="1:3" hidden="1" x14ac:dyDescent="0.25">
      <c r="A737" t="s">
        <v>1598</v>
      </c>
      <c r="C737">
        <f>INDEX([1]Sheet3!$A$1:$M$1031,MATCH(A737,[1]Sheet3!$B:$B,0),13)</f>
        <v>0</v>
      </c>
    </row>
    <row r="738" spans="1:3" hidden="1" x14ac:dyDescent="0.25">
      <c r="A738" t="s">
        <v>1599</v>
      </c>
      <c r="C738">
        <f>INDEX([1]Sheet3!$A$1:$M$1031,MATCH(A738,[1]Sheet3!$B:$B,0),13)</f>
        <v>0</v>
      </c>
    </row>
    <row r="739" spans="1:3" hidden="1" x14ac:dyDescent="0.25">
      <c r="A739" t="s">
        <v>1600</v>
      </c>
      <c r="C739">
        <f>INDEX([1]Sheet3!$A$1:$M$1031,MATCH(A739,[1]Sheet3!$B:$B,0),13)</f>
        <v>0</v>
      </c>
    </row>
    <row r="740" spans="1:3" hidden="1" x14ac:dyDescent="0.25">
      <c r="A740" t="s">
        <v>1601</v>
      </c>
      <c r="C740">
        <f>INDEX([1]Sheet3!$A$1:$M$1031,MATCH(A740,[1]Sheet3!$B:$B,0),13)</f>
        <v>0</v>
      </c>
    </row>
    <row r="741" spans="1:3" hidden="1" x14ac:dyDescent="0.25">
      <c r="A741" t="s">
        <v>1602</v>
      </c>
      <c r="C741">
        <f>INDEX([1]Sheet3!$A$1:$M$1031,MATCH(A741,[1]Sheet3!$B:$B,0),13)</f>
        <v>0</v>
      </c>
    </row>
    <row r="742" spans="1:3" hidden="1" x14ac:dyDescent="0.25">
      <c r="A742" t="s">
        <v>1603</v>
      </c>
      <c r="C742">
        <f>INDEX([1]Sheet3!$A$1:$M$1031,MATCH(A742,[1]Sheet3!$B:$B,0),13)</f>
        <v>0</v>
      </c>
    </row>
    <row r="743" spans="1:3" hidden="1" x14ac:dyDescent="0.25">
      <c r="A743" t="s">
        <v>1604</v>
      </c>
      <c r="C743">
        <f>INDEX([1]Sheet3!$A$1:$M$1031,MATCH(A743,[1]Sheet3!$B:$B,0),13)</f>
        <v>0</v>
      </c>
    </row>
    <row r="744" spans="1:3" hidden="1" x14ac:dyDescent="0.25">
      <c r="A744" t="s">
        <v>1605</v>
      </c>
      <c r="C744">
        <f>INDEX([1]Sheet3!$A$1:$M$1031,MATCH(A744,[1]Sheet3!$B:$B,0),13)</f>
        <v>0</v>
      </c>
    </row>
    <row r="745" spans="1:3" hidden="1" x14ac:dyDescent="0.25">
      <c r="A745" t="s">
        <v>1606</v>
      </c>
      <c r="C745">
        <f>INDEX([1]Sheet3!$A$1:$M$1031,MATCH(A745,[1]Sheet3!$B:$B,0),13)</f>
        <v>0</v>
      </c>
    </row>
    <row r="746" spans="1:3" hidden="1" x14ac:dyDescent="0.25">
      <c r="A746" t="s">
        <v>1607</v>
      </c>
      <c r="C746">
        <f>INDEX([1]Sheet3!$A$1:$M$1031,MATCH(A746,[1]Sheet3!$B:$B,0),13)</f>
        <v>0</v>
      </c>
    </row>
    <row r="747" spans="1:3" hidden="1" x14ac:dyDescent="0.25">
      <c r="A747" t="s">
        <v>1608</v>
      </c>
      <c r="C747">
        <f>INDEX([1]Sheet3!$A$1:$M$1031,MATCH(A747,[1]Sheet3!$B:$B,0),13)</f>
        <v>0</v>
      </c>
    </row>
    <row r="748" spans="1:3" hidden="1" x14ac:dyDescent="0.25">
      <c r="A748" t="s">
        <v>1609</v>
      </c>
      <c r="C748">
        <f>INDEX([1]Sheet3!$A$1:$M$1031,MATCH(A748,[1]Sheet3!$B:$B,0),13)</f>
        <v>0</v>
      </c>
    </row>
    <row r="749" spans="1:3" hidden="1" x14ac:dyDescent="0.25">
      <c r="A749" t="s">
        <v>1610</v>
      </c>
      <c r="C749">
        <f>INDEX([1]Sheet3!$A$1:$M$1031,MATCH(A749,[1]Sheet3!$B:$B,0),13)</f>
        <v>0</v>
      </c>
    </row>
    <row r="750" spans="1:3" hidden="1" x14ac:dyDescent="0.25">
      <c r="A750" t="s">
        <v>1611</v>
      </c>
      <c r="C750">
        <f>INDEX([1]Sheet3!$A$1:$M$1031,MATCH(A750,[1]Sheet3!$B:$B,0),13)</f>
        <v>0</v>
      </c>
    </row>
    <row r="751" spans="1:3" hidden="1" x14ac:dyDescent="0.25">
      <c r="A751" t="s">
        <v>1612</v>
      </c>
      <c r="C751">
        <f>INDEX([1]Sheet3!$A$1:$M$1031,MATCH(A751,[1]Sheet3!$B:$B,0),13)</f>
        <v>0</v>
      </c>
    </row>
    <row r="752" spans="1:3" hidden="1" x14ac:dyDescent="0.25">
      <c r="A752" t="s">
        <v>1613</v>
      </c>
      <c r="C752">
        <f>INDEX([1]Sheet3!$A$1:$M$1031,MATCH(A752,[1]Sheet3!$B:$B,0),13)</f>
        <v>0</v>
      </c>
    </row>
    <row r="753" spans="1:3" hidden="1" x14ac:dyDescent="0.25">
      <c r="A753" t="s">
        <v>1614</v>
      </c>
      <c r="C753">
        <f>INDEX([1]Sheet3!$A$1:$M$1031,MATCH(A753,[1]Sheet3!$B:$B,0),13)</f>
        <v>0</v>
      </c>
    </row>
    <row r="754" spans="1:3" hidden="1" x14ac:dyDescent="0.25">
      <c r="A754" t="s">
        <v>1615</v>
      </c>
      <c r="C754">
        <f>INDEX([1]Sheet3!$A$1:$M$1031,MATCH(A754,[1]Sheet3!$B:$B,0),13)</f>
        <v>0</v>
      </c>
    </row>
    <row r="755" spans="1:3" hidden="1" x14ac:dyDescent="0.25">
      <c r="A755" t="s">
        <v>1616</v>
      </c>
      <c r="C755">
        <f>INDEX([1]Sheet3!$A$1:$M$1031,MATCH(A755,[1]Sheet3!$B:$B,0),13)</f>
        <v>0</v>
      </c>
    </row>
    <row r="756" spans="1:3" hidden="1" x14ac:dyDescent="0.25">
      <c r="A756" t="s">
        <v>1617</v>
      </c>
      <c r="C756">
        <f>INDEX([1]Sheet3!$A$1:$M$1031,MATCH(A756,[1]Sheet3!$B:$B,0),13)</f>
        <v>0</v>
      </c>
    </row>
    <row r="757" spans="1:3" hidden="1" x14ac:dyDescent="0.25">
      <c r="A757" t="s">
        <v>1618</v>
      </c>
      <c r="C757">
        <f>INDEX([1]Sheet3!$A$1:$M$1031,MATCH(A757,[1]Sheet3!$B:$B,0),13)</f>
        <v>0</v>
      </c>
    </row>
    <row r="758" spans="1:3" hidden="1" x14ac:dyDescent="0.25">
      <c r="A758" t="s">
        <v>1619</v>
      </c>
      <c r="C758">
        <f>INDEX([1]Sheet3!$A$1:$M$1031,MATCH(A758,[1]Sheet3!$B:$B,0),13)</f>
        <v>0</v>
      </c>
    </row>
    <row r="759" spans="1:3" hidden="1" x14ac:dyDescent="0.25">
      <c r="A759" t="s">
        <v>1620</v>
      </c>
      <c r="C759">
        <f>INDEX([1]Sheet3!$A$1:$M$1031,MATCH(A759,[1]Sheet3!$B:$B,0),13)</f>
        <v>0</v>
      </c>
    </row>
    <row r="760" spans="1:3" hidden="1" x14ac:dyDescent="0.25">
      <c r="A760" t="s">
        <v>1621</v>
      </c>
      <c r="C760">
        <f>INDEX([1]Sheet3!$A$1:$M$1031,MATCH(A760,[1]Sheet3!$B:$B,0),13)</f>
        <v>0</v>
      </c>
    </row>
    <row r="761" spans="1:3" hidden="1" x14ac:dyDescent="0.25">
      <c r="A761" t="s">
        <v>1622</v>
      </c>
      <c r="C761">
        <f>INDEX([1]Sheet3!$A$1:$M$1031,MATCH(A761,[1]Sheet3!$B:$B,0),13)</f>
        <v>0</v>
      </c>
    </row>
    <row r="762" spans="1:3" hidden="1" x14ac:dyDescent="0.25">
      <c r="A762" t="s">
        <v>1623</v>
      </c>
      <c r="C762">
        <f>INDEX([1]Sheet3!$A$1:$M$1031,MATCH(A762,[1]Sheet3!$B:$B,0),13)</f>
        <v>0</v>
      </c>
    </row>
    <row r="763" spans="1:3" hidden="1" x14ac:dyDescent="0.25">
      <c r="A763" t="s">
        <v>1624</v>
      </c>
      <c r="C763">
        <f>INDEX([1]Sheet3!$A$1:$M$1031,MATCH(A763,[1]Sheet3!$B:$B,0),13)</f>
        <v>0</v>
      </c>
    </row>
    <row r="764" spans="1:3" hidden="1" x14ac:dyDescent="0.25">
      <c r="A764" t="s">
        <v>1625</v>
      </c>
      <c r="C764">
        <f>INDEX([1]Sheet3!$A$1:$M$1031,MATCH(A764,[1]Sheet3!$B:$B,0),13)</f>
        <v>0</v>
      </c>
    </row>
    <row r="765" spans="1:3" hidden="1" x14ac:dyDescent="0.25">
      <c r="A765" t="s">
        <v>1626</v>
      </c>
      <c r="C765">
        <f>INDEX([1]Sheet3!$A$1:$M$1031,MATCH(A765,[1]Sheet3!$B:$B,0),13)</f>
        <v>0</v>
      </c>
    </row>
    <row r="766" spans="1:3" hidden="1" x14ac:dyDescent="0.25">
      <c r="A766" t="s">
        <v>1627</v>
      </c>
      <c r="C766">
        <f>INDEX([1]Sheet3!$A$1:$M$1031,MATCH(A766,[1]Sheet3!$B:$B,0),13)</f>
        <v>0</v>
      </c>
    </row>
    <row r="767" spans="1:3" hidden="1" x14ac:dyDescent="0.25">
      <c r="A767" t="s">
        <v>1628</v>
      </c>
      <c r="C767">
        <f>INDEX([1]Sheet3!$A$1:$M$1031,MATCH(A767,[1]Sheet3!$B:$B,0),13)</f>
        <v>0</v>
      </c>
    </row>
    <row r="768" spans="1:3" hidden="1" x14ac:dyDescent="0.25">
      <c r="A768" t="s">
        <v>1629</v>
      </c>
      <c r="C768">
        <f>INDEX([1]Sheet3!$A$1:$M$1031,MATCH(A768,[1]Sheet3!$B:$B,0),13)</f>
        <v>0</v>
      </c>
    </row>
    <row r="769" spans="1:3" hidden="1" x14ac:dyDescent="0.25">
      <c r="A769" t="s">
        <v>1630</v>
      </c>
      <c r="C769">
        <f>INDEX([1]Sheet3!$A$1:$M$1031,MATCH(A769,[1]Sheet3!$B:$B,0),13)</f>
        <v>0</v>
      </c>
    </row>
    <row r="770" spans="1:3" hidden="1" x14ac:dyDescent="0.25">
      <c r="A770" t="s">
        <v>1631</v>
      </c>
      <c r="C770">
        <f>INDEX([1]Sheet3!$A$1:$M$1031,MATCH(A770,[1]Sheet3!$B:$B,0),13)</f>
        <v>0</v>
      </c>
    </row>
    <row r="771" spans="1:3" hidden="1" x14ac:dyDescent="0.25">
      <c r="A771" t="s">
        <v>1632</v>
      </c>
      <c r="C771">
        <f>INDEX([1]Sheet3!$A$1:$M$1031,MATCH(A771,[1]Sheet3!$B:$B,0),13)</f>
        <v>0</v>
      </c>
    </row>
    <row r="772" spans="1:3" hidden="1" x14ac:dyDescent="0.25">
      <c r="A772" t="s">
        <v>1633</v>
      </c>
      <c r="C772">
        <f>INDEX([1]Sheet3!$A$1:$M$1031,MATCH(A772,[1]Sheet3!$B:$B,0),13)</f>
        <v>0</v>
      </c>
    </row>
    <row r="773" spans="1:3" hidden="1" x14ac:dyDescent="0.25">
      <c r="A773" t="s">
        <v>1634</v>
      </c>
      <c r="B773" t="s">
        <v>50</v>
      </c>
      <c r="C773" t="b">
        <f>INDEX([1]Sheet3!$A$1:$M$1031,MATCH(A773,[1]Sheet3!$B:$B,0),13)</f>
        <v>1</v>
      </c>
    </row>
    <row r="774" spans="1:3" hidden="1" x14ac:dyDescent="0.25">
      <c r="A774" t="s">
        <v>1635</v>
      </c>
      <c r="B774" t="s">
        <v>50</v>
      </c>
      <c r="C774" t="b">
        <f>INDEX([1]Sheet3!$A$1:$M$1031,MATCH(A774,[1]Sheet3!$B:$B,0),13)</f>
        <v>1</v>
      </c>
    </row>
    <row r="775" spans="1:3" hidden="1" x14ac:dyDescent="0.25">
      <c r="A775" t="s">
        <v>1636</v>
      </c>
      <c r="C775">
        <f>INDEX([1]Sheet3!$A$1:$M$1031,MATCH(A775,[1]Sheet3!$B:$B,0),13)</f>
        <v>0</v>
      </c>
    </row>
    <row r="776" spans="1:3" hidden="1" x14ac:dyDescent="0.25">
      <c r="A776" t="s">
        <v>1637</v>
      </c>
      <c r="C776">
        <f>INDEX([1]Sheet3!$A$1:$M$1031,MATCH(A776,[1]Sheet3!$B:$B,0),13)</f>
        <v>0</v>
      </c>
    </row>
    <row r="777" spans="1:3" hidden="1" x14ac:dyDescent="0.25">
      <c r="A777" t="s">
        <v>1638</v>
      </c>
      <c r="C777">
        <f>INDEX([1]Sheet3!$A$1:$M$1031,MATCH(A777,[1]Sheet3!$B:$B,0),13)</f>
        <v>0</v>
      </c>
    </row>
    <row r="778" spans="1:3" hidden="1" x14ac:dyDescent="0.25">
      <c r="A778" t="s">
        <v>1639</v>
      </c>
      <c r="C778">
        <f>INDEX([1]Sheet3!$A$1:$M$1031,MATCH(A778,[1]Sheet3!$B:$B,0),13)</f>
        <v>0</v>
      </c>
    </row>
    <row r="779" spans="1:3" hidden="1" x14ac:dyDescent="0.25">
      <c r="A779" t="s">
        <v>1640</v>
      </c>
      <c r="C779">
        <f>INDEX([1]Sheet3!$A$1:$M$1031,MATCH(A779,[1]Sheet3!$B:$B,0),13)</f>
        <v>0</v>
      </c>
    </row>
    <row r="780" spans="1:3" hidden="1" x14ac:dyDescent="0.25">
      <c r="A780" t="s">
        <v>1641</v>
      </c>
      <c r="C780">
        <f>INDEX([1]Sheet3!$A$1:$M$1031,MATCH(A780,[1]Sheet3!$B:$B,0),13)</f>
        <v>0</v>
      </c>
    </row>
    <row r="781" spans="1:3" hidden="1" x14ac:dyDescent="0.25">
      <c r="A781" t="s">
        <v>1642</v>
      </c>
      <c r="C781">
        <f>INDEX([1]Sheet3!$A$1:$M$1031,MATCH(A781,[1]Sheet3!$B:$B,0),13)</f>
        <v>0</v>
      </c>
    </row>
    <row r="782" spans="1:3" hidden="1" x14ac:dyDescent="0.25">
      <c r="A782" t="s">
        <v>1643</v>
      </c>
      <c r="C782">
        <f>INDEX([1]Sheet3!$A$1:$M$1031,MATCH(A782,[1]Sheet3!$B:$B,0),13)</f>
        <v>0</v>
      </c>
    </row>
    <row r="783" spans="1:3" hidden="1" x14ac:dyDescent="0.25">
      <c r="A783" t="s">
        <v>1644</v>
      </c>
      <c r="C783">
        <f>INDEX([1]Sheet3!$A$1:$M$1031,MATCH(A783,[1]Sheet3!$B:$B,0),13)</f>
        <v>0</v>
      </c>
    </row>
    <row r="784" spans="1:3" hidden="1" x14ac:dyDescent="0.25">
      <c r="A784" t="s">
        <v>1645</v>
      </c>
      <c r="C784">
        <f>INDEX([1]Sheet3!$A$1:$M$1031,MATCH(A784,[1]Sheet3!$B:$B,0),13)</f>
        <v>0</v>
      </c>
    </row>
    <row r="785" spans="1:3" hidden="1" x14ac:dyDescent="0.25">
      <c r="A785" t="s">
        <v>1646</v>
      </c>
      <c r="C785">
        <f>INDEX([1]Sheet3!$A$1:$M$1031,MATCH(A785,[1]Sheet3!$B:$B,0),13)</f>
        <v>0</v>
      </c>
    </row>
    <row r="786" spans="1:3" hidden="1" x14ac:dyDescent="0.25">
      <c r="A786" t="s">
        <v>1647</v>
      </c>
      <c r="B786" t="s">
        <v>50</v>
      </c>
      <c r="C786" t="b">
        <f>INDEX([1]Sheet3!$A$1:$M$1031,MATCH(A786,[1]Sheet3!$B:$B,0),13)</f>
        <v>1</v>
      </c>
    </row>
    <row r="787" spans="1:3" hidden="1" x14ac:dyDescent="0.25">
      <c r="A787" t="s">
        <v>1648</v>
      </c>
      <c r="B787" t="s">
        <v>50</v>
      </c>
      <c r="C787" t="b">
        <f>INDEX([1]Sheet3!$A$1:$M$1031,MATCH(A787,[1]Sheet3!$B:$B,0),13)</f>
        <v>1</v>
      </c>
    </row>
    <row r="788" spans="1:3" hidden="1" x14ac:dyDescent="0.25">
      <c r="A788" t="s">
        <v>1649</v>
      </c>
      <c r="B788" t="s">
        <v>50</v>
      </c>
      <c r="C788" t="b">
        <f>INDEX([1]Sheet3!$A$1:$M$1031,MATCH(A788,[1]Sheet3!$B:$B,0),13)</f>
        <v>1</v>
      </c>
    </row>
    <row r="789" spans="1:3" hidden="1" x14ac:dyDescent="0.25">
      <c r="A789" t="s">
        <v>1650</v>
      </c>
      <c r="B789" t="s">
        <v>50</v>
      </c>
      <c r="C789" t="b">
        <f>INDEX([1]Sheet3!$A$1:$M$1031,MATCH(A789,[1]Sheet3!$B:$B,0),13)</f>
        <v>1</v>
      </c>
    </row>
    <row r="790" spans="1:3" hidden="1" x14ac:dyDescent="0.25">
      <c r="A790" t="s">
        <v>1651</v>
      </c>
      <c r="B790" t="s">
        <v>50</v>
      </c>
      <c r="C790" t="b">
        <f>INDEX([1]Sheet3!$A$1:$M$1031,MATCH(A790,[1]Sheet3!$B:$B,0),13)</f>
        <v>1</v>
      </c>
    </row>
    <row r="791" spans="1:3" hidden="1" x14ac:dyDescent="0.25">
      <c r="A791" t="s">
        <v>1652</v>
      </c>
      <c r="B791" t="s">
        <v>50</v>
      </c>
      <c r="C791" t="b">
        <f>INDEX([1]Sheet3!$A$1:$M$1031,MATCH(A791,[1]Sheet3!$B:$B,0),13)</f>
        <v>1</v>
      </c>
    </row>
    <row r="792" spans="1:3" hidden="1" x14ac:dyDescent="0.25">
      <c r="A792" t="s">
        <v>1653</v>
      </c>
      <c r="B792" t="s">
        <v>50</v>
      </c>
      <c r="C792" t="b">
        <f>INDEX([1]Sheet3!$A$1:$M$1031,MATCH(A792,[1]Sheet3!$B:$B,0),13)</f>
        <v>1</v>
      </c>
    </row>
    <row r="793" spans="1:3" hidden="1" x14ac:dyDescent="0.25">
      <c r="A793" t="s">
        <v>1654</v>
      </c>
      <c r="B793" t="s">
        <v>50</v>
      </c>
      <c r="C793" t="b">
        <f>INDEX([1]Sheet3!$A$1:$M$1031,MATCH(A793,[1]Sheet3!$B:$B,0),13)</f>
        <v>1</v>
      </c>
    </row>
    <row r="794" spans="1:3" hidden="1" x14ac:dyDescent="0.25">
      <c r="A794" t="s">
        <v>1655</v>
      </c>
      <c r="B794" t="s">
        <v>50</v>
      </c>
      <c r="C794" t="b">
        <f>INDEX([1]Sheet3!$A$1:$M$1031,MATCH(A794,[1]Sheet3!$B:$B,0),13)</f>
        <v>1</v>
      </c>
    </row>
    <row r="795" spans="1:3" hidden="1" x14ac:dyDescent="0.25">
      <c r="A795" t="s">
        <v>1656</v>
      </c>
      <c r="B795" t="s">
        <v>50</v>
      </c>
      <c r="C795" t="b">
        <f>INDEX([1]Sheet3!$A$1:$M$1031,MATCH(A795,[1]Sheet3!$B:$B,0),13)</f>
        <v>1</v>
      </c>
    </row>
    <row r="796" spans="1:3" hidden="1" x14ac:dyDescent="0.25">
      <c r="A796" t="s">
        <v>1657</v>
      </c>
      <c r="B796" t="s">
        <v>50</v>
      </c>
      <c r="C796" t="b">
        <f>INDEX([1]Sheet3!$A$1:$M$1031,MATCH(A796,[1]Sheet3!$B:$B,0),13)</f>
        <v>1</v>
      </c>
    </row>
    <row r="797" spans="1:3" hidden="1" x14ac:dyDescent="0.25">
      <c r="A797" t="s">
        <v>1658</v>
      </c>
      <c r="B797" t="s">
        <v>50</v>
      </c>
      <c r="C797" t="b">
        <f>INDEX([1]Sheet3!$A$1:$M$1031,MATCH(A797,[1]Sheet3!$B:$B,0),13)</f>
        <v>1</v>
      </c>
    </row>
    <row r="798" spans="1:3" hidden="1" x14ac:dyDescent="0.25">
      <c r="A798" t="s">
        <v>1659</v>
      </c>
      <c r="B798" t="s">
        <v>50</v>
      </c>
      <c r="C798" t="b">
        <f>INDEX([1]Sheet3!$A$1:$M$1031,MATCH(A798,[1]Sheet3!$B:$B,0),13)</f>
        <v>1</v>
      </c>
    </row>
    <row r="799" spans="1:3" hidden="1" x14ac:dyDescent="0.25">
      <c r="A799" t="s">
        <v>1660</v>
      </c>
      <c r="B799" t="s">
        <v>50</v>
      </c>
      <c r="C799" t="b">
        <f>INDEX([1]Sheet3!$A$1:$M$1031,MATCH(A799,[1]Sheet3!$B:$B,0),13)</f>
        <v>1</v>
      </c>
    </row>
    <row r="800" spans="1:3" hidden="1" x14ac:dyDescent="0.25">
      <c r="A800" t="s">
        <v>1661</v>
      </c>
      <c r="B800" t="s">
        <v>50</v>
      </c>
      <c r="C800" t="b">
        <f>INDEX([1]Sheet3!$A$1:$M$1031,MATCH(A800,[1]Sheet3!$B:$B,0),13)</f>
        <v>1</v>
      </c>
    </row>
    <row r="801" spans="1:3" hidden="1" x14ac:dyDescent="0.25">
      <c r="A801" t="s">
        <v>1662</v>
      </c>
      <c r="B801" t="s">
        <v>50</v>
      </c>
      <c r="C801" t="b">
        <f>INDEX([1]Sheet3!$A$1:$M$1031,MATCH(A801,[1]Sheet3!$B:$B,0),13)</f>
        <v>1</v>
      </c>
    </row>
    <row r="802" spans="1:3" hidden="1" x14ac:dyDescent="0.25">
      <c r="A802" t="s">
        <v>1663</v>
      </c>
      <c r="B802" t="s">
        <v>50</v>
      </c>
      <c r="C802" t="b">
        <f>INDEX([1]Sheet3!$A$1:$M$1031,MATCH(A802,[1]Sheet3!$B:$B,0),13)</f>
        <v>1</v>
      </c>
    </row>
    <row r="803" spans="1:3" hidden="1" x14ac:dyDescent="0.25">
      <c r="A803" t="s">
        <v>1664</v>
      </c>
      <c r="B803" t="s">
        <v>50</v>
      </c>
      <c r="C803" t="b">
        <f>INDEX([1]Sheet3!$A$1:$M$1031,MATCH(A803,[1]Sheet3!$B:$B,0),13)</f>
        <v>1</v>
      </c>
    </row>
    <row r="804" spans="1:3" hidden="1" x14ac:dyDescent="0.25">
      <c r="A804" t="s">
        <v>1665</v>
      </c>
      <c r="B804" t="s">
        <v>50</v>
      </c>
      <c r="C804" t="b">
        <f>INDEX([1]Sheet3!$A$1:$M$1031,MATCH(A804,[1]Sheet3!$B:$B,0),13)</f>
        <v>1</v>
      </c>
    </row>
    <row r="805" spans="1:3" hidden="1" x14ac:dyDescent="0.25">
      <c r="A805" t="s">
        <v>1666</v>
      </c>
      <c r="B805" t="s">
        <v>50</v>
      </c>
      <c r="C805" t="b">
        <f>INDEX([1]Sheet3!$A$1:$M$1031,MATCH(A805,[1]Sheet3!$B:$B,0),13)</f>
        <v>1</v>
      </c>
    </row>
    <row r="806" spans="1:3" hidden="1" x14ac:dyDescent="0.25">
      <c r="A806" t="s">
        <v>1667</v>
      </c>
      <c r="B806" t="s">
        <v>50</v>
      </c>
      <c r="C806" t="b">
        <f>INDEX([1]Sheet3!$A$1:$M$1031,MATCH(A806,[1]Sheet3!$B:$B,0),13)</f>
        <v>1</v>
      </c>
    </row>
    <row r="807" spans="1:3" hidden="1" x14ac:dyDescent="0.25">
      <c r="A807" t="s">
        <v>1668</v>
      </c>
      <c r="B807" t="s">
        <v>50</v>
      </c>
      <c r="C807" t="b">
        <f>INDEX([1]Sheet3!$A$1:$M$1031,MATCH(A807,[1]Sheet3!$B:$B,0),13)</f>
        <v>1</v>
      </c>
    </row>
    <row r="808" spans="1:3" hidden="1" x14ac:dyDescent="0.25">
      <c r="A808" t="s">
        <v>1669</v>
      </c>
      <c r="B808" t="s">
        <v>50</v>
      </c>
      <c r="C808" t="b">
        <f>INDEX([1]Sheet3!$A$1:$M$1031,MATCH(A808,[1]Sheet3!$B:$B,0),13)</f>
        <v>1</v>
      </c>
    </row>
    <row r="809" spans="1:3" hidden="1" x14ac:dyDescent="0.25">
      <c r="A809" t="s">
        <v>2051</v>
      </c>
    </row>
    <row r="810" spans="1:3" hidden="1" x14ac:dyDescent="0.25">
      <c r="A810" t="s">
        <v>2052</v>
      </c>
    </row>
    <row r="811" spans="1:3" hidden="1" x14ac:dyDescent="0.25">
      <c r="A811" t="s">
        <v>914</v>
      </c>
    </row>
    <row r="812" spans="1:3" hidden="1" x14ac:dyDescent="0.25">
      <c r="A812" t="s">
        <v>920</v>
      </c>
    </row>
    <row r="813" spans="1:3" hidden="1" x14ac:dyDescent="0.25">
      <c r="A813" t="s">
        <v>921</v>
      </c>
    </row>
    <row r="814" spans="1:3" hidden="1" x14ac:dyDescent="0.25">
      <c r="A814" t="s">
        <v>939</v>
      </c>
    </row>
    <row r="815" spans="1:3" hidden="1" x14ac:dyDescent="0.25">
      <c r="A815" t="s">
        <v>940</v>
      </c>
    </row>
    <row r="816" spans="1:3" hidden="1" x14ac:dyDescent="0.25">
      <c r="A816" t="s">
        <v>941</v>
      </c>
    </row>
    <row r="817" spans="1:2" hidden="1" x14ac:dyDescent="0.25">
      <c r="A817" t="s">
        <v>942</v>
      </c>
    </row>
    <row r="818" spans="1:2" hidden="1" x14ac:dyDescent="0.25">
      <c r="A818" t="s">
        <v>2053</v>
      </c>
    </row>
    <row r="819" spans="1:2" hidden="1" x14ac:dyDescent="0.25">
      <c r="A819" t="s">
        <v>962</v>
      </c>
    </row>
    <row r="820" spans="1:2" hidden="1" x14ac:dyDescent="0.25">
      <c r="A820" t="s">
        <v>963</v>
      </c>
    </row>
    <row r="821" spans="1:2" hidden="1" x14ac:dyDescent="0.25">
      <c r="A821" t="s">
        <v>972</v>
      </c>
    </row>
    <row r="822" spans="1:2" hidden="1" x14ac:dyDescent="0.25">
      <c r="A822" t="s">
        <v>2054</v>
      </c>
    </row>
    <row r="823" spans="1:2" x14ac:dyDescent="0.25">
      <c r="A823" t="s">
        <v>1006</v>
      </c>
      <c r="B823" t="s">
        <v>50</v>
      </c>
    </row>
    <row r="824" spans="1:2" x14ac:dyDescent="0.25">
      <c r="A824" t="s">
        <v>1007</v>
      </c>
      <c r="B824" t="s">
        <v>50</v>
      </c>
    </row>
    <row r="825" spans="1:2" x14ac:dyDescent="0.25">
      <c r="A825" t="s">
        <v>1008</v>
      </c>
      <c r="B825" t="s">
        <v>50</v>
      </c>
    </row>
    <row r="826" spans="1:2" hidden="1" x14ac:dyDescent="0.25">
      <c r="A826" t="s">
        <v>1019</v>
      </c>
    </row>
    <row r="827" spans="1:2" hidden="1" x14ac:dyDescent="0.25">
      <c r="A827" t="s">
        <v>1061</v>
      </c>
    </row>
    <row r="828" spans="1:2" hidden="1" x14ac:dyDescent="0.25">
      <c r="A828" t="s">
        <v>1073</v>
      </c>
    </row>
    <row r="829" spans="1:2" hidden="1" x14ac:dyDescent="0.25">
      <c r="A829" t="s">
        <v>1077</v>
      </c>
    </row>
    <row r="830" spans="1:2" hidden="1" x14ac:dyDescent="0.25">
      <c r="A830" t="s">
        <v>1084</v>
      </c>
    </row>
    <row r="831" spans="1:2" hidden="1" x14ac:dyDescent="0.25">
      <c r="A831" t="s">
        <v>1125</v>
      </c>
    </row>
    <row r="832" spans="1:2" hidden="1" x14ac:dyDescent="0.25">
      <c r="A832" t="s">
        <v>1126</v>
      </c>
    </row>
    <row r="833" spans="1:2" x14ac:dyDescent="0.25">
      <c r="A833" t="s">
        <v>1345</v>
      </c>
      <c r="B833" t="s">
        <v>50</v>
      </c>
    </row>
    <row r="834" spans="1:2" x14ac:dyDescent="0.25">
      <c r="A834" t="s">
        <v>1346</v>
      </c>
      <c r="B834" t="s">
        <v>50</v>
      </c>
    </row>
    <row r="835" spans="1:2" hidden="1" x14ac:dyDescent="0.25">
      <c r="A835" t="s">
        <v>1365</v>
      </c>
    </row>
    <row r="836" spans="1:2" hidden="1" x14ac:dyDescent="0.25">
      <c r="A836" t="s">
        <v>1411</v>
      </c>
    </row>
    <row r="837" spans="1:2" hidden="1" x14ac:dyDescent="0.25">
      <c r="A837" t="s">
        <v>1412</v>
      </c>
    </row>
    <row r="838" spans="1:2" hidden="1" x14ac:dyDescent="0.25">
      <c r="A838" t="s">
        <v>1416</v>
      </c>
    </row>
    <row r="839" spans="1:2" hidden="1" x14ac:dyDescent="0.25">
      <c r="A839" t="s">
        <v>1417</v>
      </c>
    </row>
    <row r="840" spans="1:2" hidden="1" x14ac:dyDescent="0.25">
      <c r="A840" t="s">
        <v>1417</v>
      </c>
    </row>
    <row r="841" spans="1:2" hidden="1" x14ac:dyDescent="0.25">
      <c r="A841" t="s">
        <v>1424</v>
      </c>
    </row>
    <row r="842" spans="1:2" hidden="1" x14ac:dyDescent="0.25">
      <c r="A842" t="s">
        <v>1432</v>
      </c>
    </row>
    <row r="843" spans="1:2" hidden="1" x14ac:dyDescent="0.25">
      <c r="A843" t="s">
        <v>1433</v>
      </c>
    </row>
    <row r="844" spans="1:2" hidden="1" x14ac:dyDescent="0.25">
      <c r="A844" t="s">
        <v>1480</v>
      </c>
    </row>
    <row r="845" spans="1:2" hidden="1" x14ac:dyDescent="0.25">
      <c r="A845" t="s">
        <v>1490</v>
      </c>
    </row>
    <row r="846" spans="1:2" hidden="1" x14ac:dyDescent="0.25">
      <c r="A846" t="s">
        <v>1567</v>
      </c>
    </row>
    <row r="847" spans="1:2" hidden="1" x14ac:dyDescent="0.25">
      <c r="A847" t="s">
        <v>1568</v>
      </c>
    </row>
    <row r="848" spans="1:2" hidden="1" x14ac:dyDescent="0.25">
      <c r="A848" t="s">
        <v>1575</v>
      </c>
    </row>
    <row r="849" spans="1:1" hidden="1" x14ac:dyDescent="0.25">
      <c r="A849" t="s">
        <v>1586</v>
      </c>
    </row>
    <row r="850" spans="1:1" hidden="1" x14ac:dyDescent="0.25">
      <c r="A850" t="s">
        <v>1850</v>
      </c>
    </row>
    <row r="851" spans="1:1" hidden="1" x14ac:dyDescent="0.25">
      <c r="A851" t="s">
        <v>1851</v>
      </c>
    </row>
    <row r="852" spans="1:1" hidden="1" x14ac:dyDescent="0.25">
      <c r="A852" t="s">
        <v>1852</v>
      </c>
    </row>
    <row r="853" spans="1:1" hidden="1" x14ac:dyDescent="0.25">
      <c r="A853" t="s">
        <v>1853</v>
      </c>
    </row>
    <row r="854" spans="1:1" hidden="1" x14ac:dyDescent="0.25">
      <c r="A854" t="s">
        <v>1854</v>
      </c>
    </row>
    <row r="855" spans="1:1" hidden="1" x14ac:dyDescent="0.25">
      <c r="A855" t="s">
        <v>1855</v>
      </c>
    </row>
    <row r="856" spans="1:1" hidden="1" x14ac:dyDescent="0.25">
      <c r="A856" t="s">
        <v>1856</v>
      </c>
    </row>
    <row r="857" spans="1:1" hidden="1" x14ac:dyDescent="0.25">
      <c r="A857" t="s">
        <v>1857</v>
      </c>
    </row>
    <row r="858" spans="1:1" hidden="1" x14ac:dyDescent="0.25">
      <c r="A858" t="s">
        <v>1858</v>
      </c>
    </row>
    <row r="859" spans="1:1" hidden="1" x14ac:dyDescent="0.25">
      <c r="A859" t="s">
        <v>1859</v>
      </c>
    </row>
    <row r="860" spans="1:1" hidden="1" x14ac:dyDescent="0.25">
      <c r="A860" t="s">
        <v>1860</v>
      </c>
    </row>
    <row r="861" spans="1:1" hidden="1" x14ac:dyDescent="0.25">
      <c r="A861" t="s">
        <v>1861</v>
      </c>
    </row>
    <row r="862" spans="1:1" hidden="1" x14ac:dyDescent="0.25">
      <c r="A862" t="s">
        <v>1862</v>
      </c>
    </row>
    <row r="863" spans="1:1" hidden="1" x14ac:dyDescent="0.25">
      <c r="A863" t="s">
        <v>1863</v>
      </c>
    </row>
    <row r="864" spans="1:1" hidden="1" x14ac:dyDescent="0.25">
      <c r="A864" t="s">
        <v>1864</v>
      </c>
    </row>
    <row r="865" spans="1:1" hidden="1" x14ac:dyDescent="0.25">
      <c r="A865" t="s">
        <v>1865</v>
      </c>
    </row>
    <row r="866" spans="1:1" hidden="1" x14ac:dyDescent="0.25">
      <c r="A866" t="s">
        <v>1866</v>
      </c>
    </row>
    <row r="867" spans="1:1" hidden="1" x14ac:dyDescent="0.25">
      <c r="A867" t="s">
        <v>1867</v>
      </c>
    </row>
    <row r="868" spans="1:1" hidden="1" x14ac:dyDescent="0.25">
      <c r="A868" t="s">
        <v>1868</v>
      </c>
    </row>
    <row r="869" spans="1:1" hidden="1" x14ac:dyDescent="0.25">
      <c r="A869" t="s">
        <v>1869</v>
      </c>
    </row>
    <row r="870" spans="1:1" hidden="1" x14ac:dyDescent="0.25">
      <c r="A870" t="s">
        <v>1870</v>
      </c>
    </row>
    <row r="871" spans="1:1" hidden="1" x14ac:dyDescent="0.25">
      <c r="A871" t="s">
        <v>1871</v>
      </c>
    </row>
    <row r="872" spans="1:1" hidden="1" x14ac:dyDescent="0.25">
      <c r="A872" t="s">
        <v>1872</v>
      </c>
    </row>
    <row r="873" spans="1:1" hidden="1" x14ac:dyDescent="0.25">
      <c r="A873" t="s">
        <v>1873</v>
      </c>
    </row>
    <row r="874" spans="1:1" hidden="1" x14ac:dyDescent="0.25">
      <c r="A874" t="s">
        <v>1874</v>
      </c>
    </row>
    <row r="875" spans="1:1" hidden="1" x14ac:dyDescent="0.25">
      <c r="A875" t="s">
        <v>1875</v>
      </c>
    </row>
    <row r="876" spans="1:1" hidden="1" x14ac:dyDescent="0.25">
      <c r="A876" t="s">
        <v>1876</v>
      </c>
    </row>
    <row r="877" spans="1:1" hidden="1" x14ac:dyDescent="0.25">
      <c r="A877" t="s">
        <v>1877</v>
      </c>
    </row>
    <row r="878" spans="1:1" hidden="1" x14ac:dyDescent="0.25">
      <c r="A878" t="s">
        <v>1878</v>
      </c>
    </row>
    <row r="879" spans="1:1" hidden="1" x14ac:dyDescent="0.25">
      <c r="A879" t="s">
        <v>1879</v>
      </c>
    </row>
    <row r="880" spans="1:1" hidden="1" x14ac:dyDescent="0.25">
      <c r="A880" t="s">
        <v>1880</v>
      </c>
    </row>
    <row r="881" spans="1:1" hidden="1" x14ac:dyDescent="0.25">
      <c r="A881" t="s">
        <v>1881</v>
      </c>
    </row>
    <row r="882" spans="1:1" hidden="1" x14ac:dyDescent="0.25">
      <c r="A882" t="s">
        <v>1882</v>
      </c>
    </row>
    <row r="883" spans="1:1" hidden="1" x14ac:dyDescent="0.25">
      <c r="A883" t="s">
        <v>1883</v>
      </c>
    </row>
    <row r="884" spans="1:1" hidden="1" x14ac:dyDescent="0.25">
      <c r="A884" t="s">
        <v>1884</v>
      </c>
    </row>
    <row r="885" spans="1:1" hidden="1" x14ac:dyDescent="0.25">
      <c r="A885" t="s">
        <v>1885</v>
      </c>
    </row>
    <row r="886" spans="1:1" hidden="1" x14ac:dyDescent="0.25">
      <c r="A886" t="s">
        <v>1886</v>
      </c>
    </row>
    <row r="887" spans="1:1" hidden="1" x14ac:dyDescent="0.25">
      <c r="A887" t="s">
        <v>1887</v>
      </c>
    </row>
    <row r="888" spans="1:1" hidden="1" x14ac:dyDescent="0.25">
      <c r="A888" t="s">
        <v>1888</v>
      </c>
    </row>
    <row r="889" spans="1:1" hidden="1" x14ac:dyDescent="0.25">
      <c r="A889" t="s">
        <v>1889</v>
      </c>
    </row>
    <row r="890" spans="1:1" hidden="1" x14ac:dyDescent="0.25">
      <c r="A890" t="s">
        <v>1889</v>
      </c>
    </row>
    <row r="891" spans="1:1" hidden="1" x14ac:dyDescent="0.25">
      <c r="A891" t="s">
        <v>1890</v>
      </c>
    </row>
    <row r="892" spans="1:1" hidden="1" x14ac:dyDescent="0.25">
      <c r="A892" t="s">
        <v>1891</v>
      </c>
    </row>
    <row r="893" spans="1:1" hidden="1" x14ac:dyDescent="0.25">
      <c r="A893" t="s">
        <v>1892</v>
      </c>
    </row>
    <row r="894" spans="1:1" hidden="1" x14ac:dyDescent="0.25">
      <c r="A894" t="s">
        <v>1893</v>
      </c>
    </row>
    <row r="895" spans="1:1" hidden="1" x14ac:dyDescent="0.25">
      <c r="A895" t="s">
        <v>1894</v>
      </c>
    </row>
    <row r="896" spans="1:1" hidden="1" x14ac:dyDescent="0.25">
      <c r="A896" t="s">
        <v>1895</v>
      </c>
    </row>
    <row r="897" spans="1:1" hidden="1" x14ac:dyDescent="0.25">
      <c r="A897" t="s">
        <v>1896</v>
      </c>
    </row>
    <row r="898" spans="1:1" hidden="1" x14ac:dyDescent="0.25">
      <c r="A898" t="s">
        <v>1897</v>
      </c>
    </row>
    <row r="899" spans="1:1" hidden="1" x14ac:dyDescent="0.25">
      <c r="A899" t="s">
        <v>1898</v>
      </c>
    </row>
    <row r="900" spans="1:1" hidden="1" x14ac:dyDescent="0.25">
      <c r="A900" t="s">
        <v>1899</v>
      </c>
    </row>
    <row r="901" spans="1:1" hidden="1" x14ac:dyDescent="0.25">
      <c r="A901" t="s">
        <v>1900</v>
      </c>
    </row>
    <row r="902" spans="1:1" hidden="1" x14ac:dyDescent="0.25">
      <c r="A902" t="s">
        <v>1901</v>
      </c>
    </row>
    <row r="903" spans="1:1" hidden="1" x14ac:dyDescent="0.25">
      <c r="A903" t="s">
        <v>1902</v>
      </c>
    </row>
    <row r="904" spans="1:1" hidden="1" x14ac:dyDescent="0.25">
      <c r="A904" t="s">
        <v>1903</v>
      </c>
    </row>
    <row r="905" spans="1:1" hidden="1" x14ac:dyDescent="0.25">
      <c r="A905" t="s">
        <v>1904</v>
      </c>
    </row>
    <row r="906" spans="1:1" hidden="1" x14ac:dyDescent="0.25">
      <c r="A906" t="s">
        <v>1905</v>
      </c>
    </row>
    <row r="907" spans="1:1" hidden="1" x14ac:dyDescent="0.25">
      <c r="A907" t="s">
        <v>1906</v>
      </c>
    </row>
    <row r="908" spans="1:1" hidden="1" x14ac:dyDescent="0.25">
      <c r="A908" t="s">
        <v>1907</v>
      </c>
    </row>
    <row r="909" spans="1:1" hidden="1" x14ac:dyDescent="0.25">
      <c r="A909" t="s">
        <v>1908</v>
      </c>
    </row>
    <row r="910" spans="1:1" hidden="1" x14ac:dyDescent="0.25">
      <c r="A910" t="s">
        <v>1909</v>
      </c>
    </row>
    <row r="911" spans="1:1" hidden="1" x14ac:dyDescent="0.25">
      <c r="A911" t="s">
        <v>1910</v>
      </c>
    </row>
    <row r="912" spans="1:1" hidden="1" x14ac:dyDescent="0.25">
      <c r="A912" t="s">
        <v>1911</v>
      </c>
    </row>
    <row r="913" spans="1:2" hidden="1" x14ac:dyDescent="0.25">
      <c r="A913" t="s">
        <v>1912</v>
      </c>
    </row>
    <row r="914" spans="1:2" hidden="1" x14ac:dyDescent="0.25">
      <c r="A914" t="s">
        <v>1913</v>
      </c>
    </row>
    <row r="915" spans="1:2" hidden="1" x14ac:dyDescent="0.25">
      <c r="A915" t="s">
        <v>1914</v>
      </c>
    </row>
    <row r="916" spans="1:2" hidden="1" x14ac:dyDescent="0.25">
      <c r="A916" t="s">
        <v>1915</v>
      </c>
    </row>
    <row r="917" spans="1:2" hidden="1" x14ac:dyDescent="0.25">
      <c r="A917" t="s">
        <v>1915</v>
      </c>
    </row>
    <row r="918" spans="1:2" hidden="1" x14ac:dyDescent="0.25">
      <c r="A918" t="s">
        <v>1916</v>
      </c>
    </row>
    <row r="919" spans="1:2" hidden="1" x14ac:dyDescent="0.25">
      <c r="A919" t="s">
        <v>1916</v>
      </c>
    </row>
    <row r="920" spans="1:2" hidden="1" x14ac:dyDescent="0.25">
      <c r="A920" t="s">
        <v>1917</v>
      </c>
    </row>
    <row r="921" spans="1:2" hidden="1" x14ac:dyDescent="0.25">
      <c r="A921" t="s">
        <v>1917</v>
      </c>
    </row>
    <row r="922" spans="1:2" hidden="1" x14ac:dyDescent="0.25">
      <c r="A922" t="s">
        <v>1918</v>
      </c>
    </row>
    <row r="923" spans="1:2" hidden="1" x14ac:dyDescent="0.25">
      <c r="A923" t="s">
        <v>1919</v>
      </c>
    </row>
    <row r="924" spans="1:2" x14ac:dyDescent="0.25">
      <c r="A924" t="s">
        <v>1920</v>
      </c>
      <c r="B924" t="s">
        <v>50</v>
      </c>
    </row>
    <row r="925" spans="1:2" x14ac:dyDescent="0.25">
      <c r="A925" t="s">
        <v>1921</v>
      </c>
      <c r="B925" t="s">
        <v>50</v>
      </c>
    </row>
    <row r="926" spans="1:2" x14ac:dyDescent="0.25">
      <c r="A926" t="s">
        <v>1922</v>
      </c>
      <c r="B926" t="s">
        <v>50</v>
      </c>
    </row>
    <row r="927" spans="1:2" x14ac:dyDescent="0.25">
      <c r="A927" t="s">
        <v>1923</v>
      </c>
      <c r="B927" t="s">
        <v>50</v>
      </c>
    </row>
    <row r="928" spans="1:2" hidden="1" x14ac:dyDescent="0.25">
      <c r="A928" t="s">
        <v>1924</v>
      </c>
    </row>
    <row r="929" spans="1:2" hidden="1" x14ac:dyDescent="0.25">
      <c r="A929" t="s">
        <v>1925</v>
      </c>
    </row>
    <row r="930" spans="1:2" hidden="1" x14ac:dyDescent="0.25">
      <c r="A930" t="s">
        <v>1926</v>
      </c>
    </row>
    <row r="931" spans="1:2" hidden="1" x14ac:dyDescent="0.25">
      <c r="A931" t="s">
        <v>1927</v>
      </c>
    </row>
    <row r="932" spans="1:2" x14ac:dyDescent="0.25">
      <c r="A932" t="s">
        <v>1928</v>
      </c>
      <c r="B932" t="s">
        <v>50</v>
      </c>
    </row>
    <row r="933" spans="1:2" x14ac:dyDescent="0.25">
      <c r="A933" t="s">
        <v>1928</v>
      </c>
      <c r="B933" t="s">
        <v>50</v>
      </c>
    </row>
    <row r="934" spans="1:2" x14ac:dyDescent="0.25">
      <c r="A934" t="s">
        <v>1929</v>
      </c>
      <c r="B934" t="s">
        <v>50</v>
      </c>
    </row>
    <row r="935" spans="1:2" x14ac:dyDescent="0.25">
      <c r="A935" t="s">
        <v>1929</v>
      </c>
      <c r="B935" t="s">
        <v>50</v>
      </c>
    </row>
    <row r="936" spans="1:2" hidden="1" x14ac:dyDescent="0.25">
      <c r="A936" t="s">
        <v>1930</v>
      </c>
    </row>
    <row r="937" spans="1:2" hidden="1" x14ac:dyDescent="0.25">
      <c r="A937" t="s">
        <v>1930</v>
      </c>
    </row>
    <row r="938" spans="1:2" x14ac:dyDescent="0.25">
      <c r="A938" t="s">
        <v>1931</v>
      </c>
      <c r="B938" t="s">
        <v>50</v>
      </c>
    </row>
    <row r="939" spans="1:2" x14ac:dyDescent="0.25">
      <c r="A939" t="s">
        <v>1932</v>
      </c>
      <c r="B939" t="s">
        <v>50</v>
      </c>
    </row>
    <row r="940" spans="1:2" x14ac:dyDescent="0.25">
      <c r="A940" t="s">
        <v>1932</v>
      </c>
      <c r="B940" t="s">
        <v>50</v>
      </c>
    </row>
    <row r="941" spans="1:2" x14ac:dyDescent="0.25">
      <c r="A941" t="s">
        <v>1933</v>
      </c>
      <c r="B941" t="s">
        <v>50</v>
      </c>
    </row>
    <row r="942" spans="1:2" hidden="1" x14ac:dyDescent="0.25">
      <c r="A942" t="s">
        <v>1934</v>
      </c>
    </row>
    <row r="943" spans="1:2" hidden="1" x14ac:dyDescent="0.25">
      <c r="A943" t="s">
        <v>1935</v>
      </c>
    </row>
    <row r="944" spans="1:2" x14ac:dyDescent="0.25">
      <c r="A944" t="s">
        <v>1936</v>
      </c>
      <c r="B944" t="s">
        <v>50</v>
      </c>
    </row>
    <row r="945" spans="1:2" x14ac:dyDescent="0.25">
      <c r="A945" t="s">
        <v>1937</v>
      </c>
      <c r="B945" t="s">
        <v>50</v>
      </c>
    </row>
    <row r="946" spans="1:2" x14ac:dyDescent="0.25">
      <c r="A946" t="s">
        <v>1938</v>
      </c>
      <c r="B946" t="s">
        <v>50</v>
      </c>
    </row>
    <row r="947" spans="1:2" x14ac:dyDescent="0.25">
      <c r="A947" t="s">
        <v>1938</v>
      </c>
      <c r="B947" t="s">
        <v>50</v>
      </c>
    </row>
    <row r="948" spans="1:2" x14ac:dyDescent="0.25">
      <c r="A948" t="s">
        <v>1938</v>
      </c>
      <c r="B948" t="s">
        <v>50</v>
      </c>
    </row>
    <row r="949" spans="1:2" hidden="1" x14ac:dyDescent="0.25">
      <c r="A949" t="s">
        <v>1939</v>
      </c>
    </row>
    <row r="950" spans="1:2" hidden="1" x14ac:dyDescent="0.25">
      <c r="A950" t="s">
        <v>1940</v>
      </c>
    </row>
    <row r="951" spans="1:2" hidden="1" x14ac:dyDescent="0.25">
      <c r="A951" t="s">
        <v>1941</v>
      </c>
    </row>
    <row r="952" spans="1:2" hidden="1" x14ac:dyDescent="0.25">
      <c r="A952" t="s">
        <v>1942</v>
      </c>
    </row>
    <row r="953" spans="1:2" hidden="1" x14ac:dyDescent="0.25">
      <c r="A953" t="s">
        <v>1942</v>
      </c>
    </row>
    <row r="954" spans="1:2" hidden="1" x14ac:dyDescent="0.25">
      <c r="A954" t="s">
        <v>1943</v>
      </c>
    </row>
    <row r="955" spans="1:2" hidden="1" x14ac:dyDescent="0.25">
      <c r="A955" t="s">
        <v>1944</v>
      </c>
    </row>
    <row r="956" spans="1:2" x14ac:dyDescent="0.25">
      <c r="A956" t="s">
        <v>1945</v>
      </c>
      <c r="B956" t="s">
        <v>50</v>
      </c>
    </row>
    <row r="957" spans="1:2" x14ac:dyDescent="0.25">
      <c r="A957" t="s">
        <v>1945</v>
      </c>
      <c r="B957" t="s">
        <v>50</v>
      </c>
    </row>
    <row r="958" spans="1:2" hidden="1" x14ac:dyDescent="0.25">
      <c r="A958" t="s">
        <v>990</v>
      </c>
    </row>
    <row r="959" spans="1:2" hidden="1" x14ac:dyDescent="0.25">
      <c r="A959" t="s">
        <v>990</v>
      </c>
    </row>
    <row r="960" spans="1:2" hidden="1" x14ac:dyDescent="0.25">
      <c r="A960" t="s">
        <v>990</v>
      </c>
    </row>
    <row r="961" spans="1:1" hidden="1" x14ac:dyDescent="0.25">
      <c r="A961" t="s">
        <v>1056</v>
      </c>
    </row>
    <row r="962" spans="1:1" hidden="1" x14ac:dyDescent="0.25">
      <c r="A962" t="s">
        <v>1946</v>
      </c>
    </row>
    <row r="963" spans="1:1" hidden="1" x14ac:dyDescent="0.25">
      <c r="A963" t="s">
        <v>1947</v>
      </c>
    </row>
    <row r="964" spans="1:1" hidden="1" x14ac:dyDescent="0.25">
      <c r="A964" t="s">
        <v>1948</v>
      </c>
    </row>
    <row r="965" spans="1:1" hidden="1" x14ac:dyDescent="0.25">
      <c r="A965" t="s">
        <v>1949</v>
      </c>
    </row>
    <row r="966" spans="1:1" hidden="1" x14ac:dyDescent="0.25">
      <c r="A966" t="s">
        <v>1950</v>
      </c>
    </row>
    <row r="967" spans="1:1" hidden="1" x14ac:dyDescent="0.25">
      <c r="A967" t="s">
        <v>1951</v>
      </c>
    </row>
    <row r="968" spans="1:1" hidden="1" x14ac:dyDescent="0.25">
      <c r="A968" t="s">
        <v>1952</v>
      </c>
    </row>
    <row r="969" spans="1:1" hidden="1" x14ac:dyDescent="0.25">
      <c r="A969" t="s">
        <v>1953</v>
      </c>
    </row>
    <row r="970" spans="1:1" hidden="1" x14ac:dyDescent="0.25">
      <c r="A970" t="s">
        <v>1954</v>
      </c>
    </row>
    <row r="971" spans="1:1" hidden="1" x14ac:dyDescent="0.25">
      <c r="A971" t="s">
        <v>1955</v>
      </c>
    </row>
    <row r="972" spans="1:1" hidden="1" x14ac:dyDescent="0.25">
      <c r="A972" t="s">
        <v>1956</v>
      </c>
    </row>
    <row r="973" spans="1:1" hidden="1" x14ac:dyDescent="0.25">
      <c r="A973" t="s">
        <v>1956</v>
      </c>
    </row>
    <row r="974" spans="1:1" hidden="1" x14ac:dyDescent="0.25">
      <c r="A974" t="s">
        <v>1957</v>
      </c>
    </row>
    <row r="975" spans="1:1" hidden="1" x14ac:dyDescent="0.25">
      <c r="A975" t="s">
        <v>1958</v>
      </c>
    </row>
    <row r="976" spans="1:1" hidden="1" x14ac:dyDescent="0.25">
      <c r="A976" t="s">
        <v>1959</v>
      </c>
    </row>
    <row r="977" spans="1:1" hidden="1" x14ac:dyDescent="0.25">
      <c r="A977" t="s">
        <v>1960</v>
      </c>
    </row>
    <row r="978" spans="1:1" hidden="1" x14ac:dyDescent="0.25">
      <c r="A978" t="s">
        <v>1961</v>
      </c>
    </row>
    <row r="979" spans="1:1" hidden="1" x14ac:dyDescent="0.25">
      <c r="A979" t="s">
        <v>1962</v>
      </c>
    </row>
    <row r="980" spans="1:1" hidden="1" x14ac:dyDescent="0.25">
      <c r="A980" t="s">
        <v>1963</v>
      </c>
    </row>
    <row r="981" spans="1:1" hidden="1" x14ac:dyDescent="0.25">
      <c r="A981" t="s">
        <v>1964</v>
      </c>
    </row>
    <row r="982" spans="1:1" hidden="1" x14ac:dyDescent="0.25">
      <c r="A982" t="s">
        <v>1965</v>
      </c>
    </row>
    <row r="983" spans="1:1" hidden="1" x14ac:dyDescent="0.25">
      <c r="A983" t="s">
        <v>1965</v>
      </c>
    </row>
    <row r="984" spans="1:1" hidden="1" x14ac:dyDescent="0.25">
      <c r="A984" t="s">
        <v>1966</v>
      </c>
    </row>
    <row r="985" spans="1:1" hidden="1" x14ac:dyDescent="0.25">
      <c r="A985" t="s">
        <v>1967</v>
      </c>
    </row>
    <row r="986" spans="1:1" hidden="1" x14ac:dyDescent="0.25">
      <c r="A986" t="s">
        <v>1968</v>
      </c>
    </row>
    <row r="987" spans="1:1" hidden="1" x14ac:dyDescent="0.25">
      <c r="A987" t="s">
        <v>1969</v>
      </c>
    </row>
    <row r="988" spans="1:1" hidden="1" x14ac:dyDescent="0.25">
      <c r="A988" t="s">
        <v>1970</v>
      </c>
    </row>
    <row r="989" spans="1:1" hidden="1" x14ac:dyDescent="0.25">
      <c r="A989" t="s">
        <v>1971</v>
      </c>
    </row>
    <row r="990" spans="1:1" hidden="1" x14ac:dyDescent="0.25">
      <c r="A990" t="s">
        <v>1971</v>
      </c>
    </row>
    <row r="991" spans="1:1" hidden="1" x14ac:dyDescent="0.25">
      <c r="A991" t="s">
        <v>1971</v>
      </c>
    </row>
    <row r="992" spans="1:1" hidden="1" x14ac:dyDescent="0.25">
      <c r="A992" t="s">
        <v>1971</v>
      </c>
    </row>
    <row r="993" spans="1:1" hidden="1" x14ac:dyDescent="0.25">
      <c r="A993" t="s">
        <v>1972</v>
      </c>
    </row>
    <row r="994" spans="1:1" hidden="1" x14ac:dyDescent="0.25">
      <c r="A994" t="s">
        <v>1973</v>
      </c>
    </row>
    <row r="995" spans="1:1" hidden="1" x14ac:dyDescent="0.25">
      <c r="A995" t="s">
        <v>1974</v>
      </c>
    </row>
    <row r="996" spans="1:1" hidden="1" x14ac:dyDescent="0.25">
      <c r="A996" t="s">
        <v>1975</v>
      </c>
    </row>
    <row r="997" spans="1:1" hidden="1" x14ac:dyDescent="0.25">
      <c r="A997" t="s">
        <v>1976</v>
      </c>
    </row>
    <row r="998" spans="1:1" hidden="1" x14ac:dyDescent="0.25">
      <c r="A998" t="s">
        <v>1977</v>
      </c>
    </row>
    <row r="999" spans="1:1" hidden="1" x14ac:dyDescent="0.25">
      <c r="A999" t="s">
        <v>1978</v>
      </c>
    </row>
    <row r="1000" spans="1:1" hidden="1" x14ac:dyDescent="0.25">
      <c r="A1000" t="s">
        <v>1979</v>
      </c>
    </row>
    <row r="1001" spans="1:1" hidden="1" x14ac:dyDescent="0.25">
      <c r="A1001" t="s">
        <v>1980</v>
      </c>
    </row>
    <row r="1002" spans="1:1" hidden="1" x14ac:dyDescent="0.25">
      <c r="A1002" t="s">
        <v>1981</v>
      </c>
    </row>
    <row r="1003" spans="1:1" hidden="1" x14ac:dyDescent="0.25">
      <c r="A1003" t="s">
        <v>1982</v>
      </c>
    </row>
    <row r="1004" spans="1:1" hidden="1" x14ac:dyDescent="0.25">
      <c r="A1004" t="s">
        <v>1983</v>
      </c>
    </row>
    <row r="1005" spans="1:1" hidden="1" x14ac:dyDescent="0.25">
      <c r="A1005" t="s">
        <v>1984</v>
      </c>
    </row>
    <row r="1006" spans="1:1" hidden="1" x14ac:dyDescent="0.25">
      <c r="A1006" t="s">
        <v>1985</v>
      </c>
    </row>
    <row r="1007" spans="1:1" hidden="1" x14ac:dyDescent="0.25">
      <c r="A1007" t="s">
        <v>1986</v>
      </c>
    </row>
    <row r="1008" spans="1:1" hidden="1" x14ac:dyDescent="0.25">
      <c r="A1008" t="s">
        <v>1987</v>
      </c>
    </row>
    <row r="1009" spans="1:1" hidden="1" x14ac:dyDescent="0.25">
      <c r="A1009" t="s">
        <v>1988</v>
      </c>
    </row>
    <row r="1010" spans="1:1" hidden="1" x14ac:dyDescent="0.25">
      <c r="A1010" t="s">
        <v>1989</v>
      </c>
    </row>
    <row r="1011" spans="1:1" hidden="1" x14ac:dyDescent="0.25">
      <c r="A1011" t="s">
        <v>1990</v>
      </c>
    </row>
    <row r="1012" spans="1:1" hidden="1" x14ac:dyDescent="0.25">
      <c r="A1012" t="s">
        <v>1991</v>
      </c>
    </row>
    <row r="1013" spans="1:1" hidden="1" x14ac:dyDescent="0.25">
      <c r="A1013" t="s">
        <v>1992</v>
      </c>
    </row>
    <row r="1014" spans="1:1" hidden="1" x14ac:dyDescent="0.25">
      <c r="A1014" t="s">
        <v>1993</v>
      </c>
    </row>
    <row r="1015" spans="1:1" hidden="1" x14ac:dyDescent="0.25">
      <c r="A1015" t="s">
        <v>1994</v>
      </c>
    </row>
    <row r="1016" spans="1:1" hidden="1" x14ac:dyDescent="0.25">
      <c r="A1016" t="s">
        <v>1995</v>
      </c>
    </row>
    <row r="1017" spans="1:1" hidden="1" x14ac:dyDescent="0.25">
      <c r="A1017" t="s">
        <v>1996</v>
      </c>
    </row>
    <row r="1018" spans="1:1" hidden="1" x14ac:dyDescent="0.25">
      <c r="A1018" t="s">
        <v>1997</v>
      </c>
    </row>
    <row r="1019" spans="1:1" hidden="1" x14ac:dyDescent="0.25">
      <c r="A1019" t="s">
        <v>1998</v>
      </c>
    </row>
    <row r="1020" spans="1:1" hidden="1" x14ac:dyDescent="0.25">
      <c r="A1020" t="s">
        <v>1999</v>
      </c>
    </row>
    <row r="1021" spans="1:1" hidden="1" x14ac:dyDescent="0.25">
      <c r="A1021" t="s">
        <v>2000</v>
      </c>
    </row>
    <row r="1022" spans="1:1" hidden="1" x14ac:dyDescent="0.25">
      <c r="A1022" t="s">
        <v>2001</v>
      </c>
    </row>
    <row r="1023" spans="1:1" hidden="1" x14ac:dyDescent="0.25">
      <c r="A1023" t="s">
        <v>2002</v>
      </c>
    </row>
    <row r="1024" spans="1:1" hidden="1" x14ac:dyDescent="0.25">
      <c r="A1024" t="s">
        <v>2003</v>
      </c>
    </row>
    <row r="1025" spans="1:1" hidden="1" x14ac:dyDescent="0.25">
      <c r="A1025" t="s">
        <v>2004</v>
      </c>
    </row>
    <row r="1026" spans="1:1" hidden="1" x14ac:dyDescent="0.25">
      <c r="A1026" t="s">
        <v>2004</v>
      </c>
    </row>
    <row r="1027" spans="1:1" hidden="1" x14ac:dyDescent="0.25">
      <c r="A1027" t="s">
        <v>2005</v>
      </c>
    </row>
    <row r="1028" spans="1:1" hidden="1" x14ac:dyDescent="0.25">
      <c r="A1028" t="s">
        <v>2006</v>
      </c>
    </row>
    <row r="1029" spans="1:1" hidden="1" x14ac:dyDescent="0.25">
      <c r="A1029" t="s">
        <v>2007</v>
      </c>
    </row>
    <row r="1030" spans="1:1" hidden="1" x14ac:dyDescent="0.25">
      <c r="A1030" t="s">
        <v>2008</v>
      </c>
    </row>
    <row r="1031" spans="1:1" hidden="1" x14ac:dyDescent="0.25">
      <c r="A1031" t="s">
        <v>2009</v>
      </c>
    </row>
    <row r="1032" spans="1:1" hidden="1" x14ac:dyDescent="0.25">
      <c r="A1032" t="s">
        <v>2010</v>
      </c>
    </row>
    <row r="1033" spans="1:1" hidden="1" x14ac:dyDescent="0.25">
      <c r="A1033" t="s">
        <v>2011</v>
      </c>
    </row>
    <row r="1034" spans="1:1" hidden="1" x14ac:dyDescent="0.25">
      <c r="A1034" t="s">
        <v>2012</v>
      </c>
    </row>
    <row r="1035" spans="1:1" hidden="1" x14ac:dyDescent="0.25">
      <c r="A1035" t="s">
        <v>2013</v>
      </c>
    </row>
    <row r="1036" spans="1:1" hidden="1" x14ac:dyDescent="0.25">
      <c r="A1036" t="s">
        <v>2014</v>
      </c>
    </row>
    <row r="1037" spans="1:1" hidden="1" x14ac:dyDescent="0.25">
      <c r="A1037" t="s">
        <v>2015</v>
      </c>
    </row>
    <row r="1038" spans="1:1" hidden="1" x14ac:dyDescent="0.25">
      <c r="A1038" t="s">
        <v>2016</v>
      </c>
    </row>
    <row r="1039" spans="1:1" hidden="1" x14ac:dyDescent="0.25">
      <c r="A1039" t="s">
        <v>2017</v>
      </c>
    </row>
    <row r="1040" spans="1:1" hidden="1" x14ac:dyDescent="0.25">
      <c r="A1040" t="s">
        <v>2018</v>
      </c>
    </row>
    <row r="1041" spans="1:2" hidden="1" x14ac:dyDescent="0.25">
      <c r="A1041" t="s">
        <v>2018</v>
      </c>
    </row>
    <row r="1042" spans="1:2" hidden="1" x14ac:dyDescent="0.25">
      <c r="A1042" t="s">
        <v>2018</v>
      </c>
    </row>
    <row r="1043" spans="1:2" hidden="1" x14ac:dyDescent="0.25">
      <c r="A1043" t="s">
        <v>2019</v>
      </c>
    </row>
    <row r="1044" spans="1:2" hidden="1" x14ac:dyDescent="0.25">
      <c r="A1044" t="s">
        <v>2020</v>
      </c>
    </row>
    <row r="1045" spans="1:2" hidden="1" x14ac:dyDescent="0.25">
      <c r="A1045" t="s">
        <v>2021</v>
      </c>
    </row>
    <row r="1046" spans="1:2" hidden="1" x14ac:dyDescent="0.25">
      <c r="A1046" t="s">
        <v>2022</v>
      </c>
    </row>
    <row r="1047" spans="1:2" hidden="1" x14ac:dyDescent="0.25">
      <c r="A1047" t="s">
        <v>2022</v>
      </c>
    </row>
    <row r="1048" spans="1:2" hidden="1" x14ac:dyDescent="0.25">
      <c r="A1048" t="s">
        <v>2023</v>
      </c>
    </row>
    <row r="1049" spans="1:2" hidden="1" x14ac:dyDescent="0.25">
      <c r="A1049" t="s">
        <v>2024</v>
      </c>
    </row>
    <row r="1050" spans="1:2" hidden="1" x14ac:dyDescent="0.25">
      <c r="A1050" t="s">
        <v>2025</v>
      </c>
    </row>
    <row r="1051" spans="1:2" hidden="1" x14ac:dyDescent="0.25">
      <c r="A1051" t="s">
        <v>2026</v>
      </c>
    </row>
    <row r="1052" spans="1:2" x14ac:dyDescent="0.25">
      <c r="A1052" t="s">
        <v>2027</v>
      </c>
      <c r="B1052" t="s">
        <v>50</v>
      </c>
    </row>
    <row r="1053" spans="1:2" x14ac:dyDescent="0.25">
      <c r="A1053" t="s">
        <v>2028</v>
      </c>
      <c r="B1053" t="s">
        <v>50</v>
      </c>
    </row>
    <row r="1054" spans="1:2" x14ac:dyDescent="0.25">
      <c r="A1054" t="s">
        <v>2029</v>
      </c>
      <c r="B1054" t="s">
        <v>50</v>
      </c>
    </row>
    <row r="1055" spans="1:2" hidden="1" x14ac:dyDescent="0.25">
      <c r="A1055" t="s">
        <v>2030</v>
      </c>
    </row>
    <row r="1056" spans="1:2" x14ac:dyDescent="0.25">
      <c r="A1056" t="s">
        <v>2031</v>
      </c>
      <c r="B1056" t="s">
        <v>50</v>
      </c>
    </row>
    <row r="1057" spans="1:2" hidden="1" x14ac:dyDescent="0.25">
      <c r="A1057" t="s">
        <v>2032</v>
      </c>
    </row>
    <row r="1058" spans="1:2" x14ac:dyDescent="0.25">
      <c r="A1058" t="s">
        <v>2033</v>
      </c>
      <c r="B1058" t="s">
        <v>50</v>
      </c>
    </row>
    <row r="1059" spans="1:2" x14ac:dyDescent="0.25">
      <c r="A1059" t="s">
        <v>2034</v>
      </c>
      <c r="B1059" t="s">
        <v>50</v>
      </c>
    </row>
    <row r="1060" spans="1:2" x14ac:dyDescent="0.25">
      <c r="A1060" t="s">
        <v>2035</v>
      </c>
      <c r="B1060" t="s">
        <v>50</v>
      </c>
    </row>
    <row r="1061" spans="1:2" hidden="1" x14ac:dyDescent="0.25">
      <c r="A1061" t="s">
        <v>2036</v>
      </c>
    </row>
    <row r="1062" spans="1:2" hidden="1" x14ac:dyDescent="0.25">
      <c r="A1062" t="s">
        <v>2037</v>
      </c>
    </row>
    <row r="1063" spans="1:2" hidden="1" x14ac:dyDescent="0.25">
      <c r="A1063" t="s">
        <v>2038</v>
      </c>
    </row>
    <row r="1064" spans="1:2" hidden="1" x14ac:dyDescent="0.25">
      <c r="A1064" t="s">
        <v>2039</v>
      </c>
    </row>
    <row r="1065" spans="1:2" hidden="1" x14ac:dyDescent="0.25">
      <c r="A1065" t="s">
        <v>2039</v>
      </c>
    </row>
    <row r="1066" spans="1:2" hidden="1" x14ac:dyDescent="0.25">
      <c r="A1066" t="s">
        <v>2040</v>
      </c>
    </row>
    <row r="1067" spans="1:2" x14ac:dyDescent="0.25">
      <c r="A1067" t="s">
        <v>2041</v>
      </c>
      <c r="B1067" t="s">
        <v>50</v>
      </c>
    </row>
    <row r="1068" spans="1:2" x14ac:dyDescent="0.25">
      <c r="A1068" t="s">
        <v>2042</v>
      </c>
      <c r="B1068" t="s">
        <v>50</v>
      </c>
    </row>
    <row r="1069" spans="1:2" x14ac:dyDescent="0.25">
      <c r="A1069" t="s">
        <v>2043</v>
      </c>
      <c r="B1069" t="s">
        <v>50</v>
      </c>
    </row>
    <row r="1070" spans="1:2" x14ac:dyDescent="0.25">
      <c r="A1070" t="s">
        <v>2044</v>
      </c>
      <c r="B1070" t="s">
        <v>50</v>
      </c>
    </row>
    <row r="1071" spans="1:2" x14ac:dyDescent="0.25">
      <c r="A1071" t="s">
        <v>2045</v>
      </c>
      <c r="B1071" t="s">
        <v>50</v>
      </c>
    </row>
    <row r="1072" spans="1:2" x14ac:dyDescent="0.25">
      <c r="A1072" t="s">
        <v>2046</v>
      </c>
      <c r="B1072" t="s">
        <v>50</v>
      </c>
    </row>
    <row r="1073" spans="1:2" x14ac:dyDescent="0.25">
      <c r="A1073" t="s">
        <v>2047</v>
      </c>
      <c r="B1073" t="s">
        <v>50</v>
      </c>
    </row>
    <row r="1074" spans="1:2" x14ac:dyDescent="0.25">
      <c r="A1074" t="s">
        <v>2048</v>
      </c>
      <c r="B1074" t="s">
        <v>50</v>
      </c>
    </row>
    <row r="1075" spans="1:2" x14ac:dyDescent="0.25">
      <c r="A1075" t="s">
        <v>2049</v>
      </c>
      <c r="B1075" t="s">
        <v>50</v>
      </c>
    </row>
    <row r="1076" spans="1:2" x14ac:dyDescent="0.25">
      <c r="A1076" t="s">
        <v>2050</v>
      </c>
      <c r="B1076" t="s">
        <v>50</v>
      </c>
    </row>
  </sheetData>
  <autoFilter ref="A1:C1076" xr:uid="{00000000-0001-0000-0300-000000000000}">
    <filterColumn colId="1">
      <customFilters>
        <customFilter operator="notEqual" val=" "/>
      </customFilters>
    </filterColumn>
    <filterColumn colId="2">
      <filters blank="1">
        <filter val="0"/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Type PIVOT</vt:lpstr>
      <vt:lpstr>Generations</vt:lpstr>
      <vt:lpstr>Pokemon without 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 R</cp:lastModifiedBy>
  <cp:lastPrinted>2026-05-27T23:48:37Z</cp:lastPrinted>
  <dcterms:created xsi:type="dcterms:W3CDTF">2021-07-17T01:09:11Z</dcterms:created>
  <dcterms:modified xsi:type="dcterms:W3CDTF">2026-06-27T00:59:45Z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2021-10-11T18:38:19Z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dbb158eb-a58c-4010-9dc9-284cb3f4f4c7</vt:lpwstr>
  </property>
  <property fmtid="{D5CDD505-2E9C-101B-9397-08002B2CF9AE}" pid="8" name="MSIP_Label_ea60d57e-af5b-4752-ac57-3e4f28ca11dc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