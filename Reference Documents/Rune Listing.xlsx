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rren\Dropbox\Time Warden Resources\Balancing\"/>
    </mc:Choice>
  </mc:AlternateContent>
  <xr:revisionPtr revIDLastSave="0" documentId="13_ncr:1_{42DE930B-1B7F-4C2B-96A5-CFFBF7AD6392}" xr6:coauthVersionLast="47" xr6:coauthVersionMax="47" xr10:uidLastSave="{00000000-0000-0000-0000-000000000000}"/>
  <bookViews>
    <workbookView xWindow="-120" yWindow="-120" windowWidth="38640" windowHeight="21240" xr2:uid="{4102AF20-7584-4FAC-8304-78C869E7990F}"/>
  </bookViews>
  <sheets>
    <sheet name="Rune Listing" sheetId="1" r:id="rId1"/>
    <sheet name="Formatted" sheetId="5" r:id="rId2"/>
    <sheet name="Rune Options" sheetId="2" r:id="rId3"/>
    <sheet name="Raw Data" sheetId="3" r:id="rId4"/>
  </sheets>
  <definedNames>
    <definedName name="_xlnm._FilterDatabase" localSheetId="1" hidden="1">Formatted!$A$1:$F$331</definedName>
    <definedName name="_xlnm._FilterDatabase" localSheetId="3" hidden="1">'Raw Data'!$A$1:$G$331</definedName>
    <definedName name="_xlnm._FilterDatabase" localSheetId="2" hidden="1">'Rune Options'!$A$1:$D$76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K3" i="1" s="1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D331" i="3"/>
  <c r="D330" i="3"/>
  <c r="D329" i="3"/>
  <c r="D328" i="3"/>
  <c r="D327" i="3"/>
  <c r="D326" i="3"/>
  <c r="D325" i="3"/>
  <c r="G325" i="3" s="1"/>
  <c r="D324" i="3"/>
  <c r="D323" i="3"/>
  <c r="D322" i="3"/>
  <c r="D321" i="3"/>
  <c r="D320" i="3"/>
  <c r="D319" i="3"/>
  <c r="D318" i="3"/>
  <c r="D317" i="3"/>
  <c r="D316" i="3"/>
  <c r="D315" i="3"/>
  <c r="D314" i="3"/>
  <c r="D313" i="3"/>
  <c r="G313" i="3" s="1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G193" i="3" s="1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G169" i="3" s="1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G145" i="3" s="1"/>
  <c r="D144" i="3"/>
  <c r="D143" i="3"/>
  <c r="D142" i="3"/>
  <c r="D141" i="3"/>
  <c r="D140" i="3"/>
  <c r="D139" i="3"/>
  <c r="D138" i="3"/>
  <c r="D137" i="3"/>
  <c r="D136" i="3"/>
  <c r="D135" i="3"/>
  <c r="D134" i="3"/>
  <c r="D133" i="3"/>
  <c r="G133" i="3" s="1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R33" i="2"/>
  <c r="C33" i="2"/>
  <c r="R32" i="2"/>
  <c r="C32" i="2"/>
  <c r="R31" i="2"/>
  <c r="M31" i="2"/>
  <c r="C31" i="2"/>
  <c r="R30" i="2"/>
  <c r="M30" i="2"/>
  <c r="C30" i="2"/>
  <c r="R29" i="2"/>
  <c r="M29" i="2"/>
  <c r="C29" i="2"/>
  <c r="R28" i="2"/>
  <c r="M28" i="2"/>
  <c r="C28" i="2"/>
  <c r="R27" i="2"/>
  <c r="M27" i="2"/>
  <c r="C27" i="2"/>
  <c r="R26" i="2"/>
  <c r="M26" i="2"/>
  <c r="C26" i="2"/>
  <c r="R25" i="2"/>
  <c r="M25" i="2"/>
  <c r="C25" i="2"/>
  <c r="R24" i="2"/>
  <c r="M24" i="2"/>
  <c r="C24" i="2"/>
  <c r="R23" i="2"/>
  <c r="M23" i="2"/>
  <c r="C23" i="2"/>
  <c r="R22" i="2"/>
  <c r="M22" i="2"/>
  <c r="C22" i="2"/>
  <c r="R21" i="2"/>
  <c r="M21" i="2"/>
  <c r="C21" i="2"/>
  <c r="R20" i="2"/>
  <c r="M20" i="2"/>
  <c r="C20" i="2"/>
  <c r="R19" i="2"/>
  <c r="M19" i="2"/>
  <c r="C19" i="2"/>
  <c r="R18" i="2"/>
  <c r="M18" i="2"/>
  <c r="C18" i="2"/>
  <c r="R17" i="2"/>
  <c r="M17" i="2"/>
  <c r="C17" i="2"/>
  <c r="R16" i="2"/>
  <c r="M16" i="2"/>
  <c r="C16" i="2"/>
  <c r="R15" i="2"/>
  <c r="M15" i="2"/>
  <c r="C15" i="2"/>
  <c r="R14" i="2"/>
  <c r="M14" i="2"/>
  <c r="C14" i="2"/>
  <c r="R13" i="2"/>
  <c r="M13" i="2"/>
  <c r="H13" i="2"/>
  <c r="C13" i="2"/>
  <c r="R12" i="2"/>
  <c r="M12" i="2"/>
  <c r="H12" i="2"/>
  <c r="C12" i="2"/>
  <c r="R11" i="2"/>
  <c r="M11" i="2"/>
  <c r="H11" i="2"/>
  <c r="C11" i="2"/>
  <c r="R10" i="2"/>
  <c r="M10" i="2"/>
  <c r="H10" i="2"/>
  <c r="C10" i="2"/>
  <c r="R9" i="2"/>
  <c r="M9" i="2"/>
  <c r="H9" i="2"/>
  <c r="C9" i="2"/>
  <c r="R8" i="2"/>
  <c r="M8" i="2"/>
  <c r="H8" i="2"/>
  <c r="C8" i="2"/>
  <c r="R7" i="2"/>
  <c r="M7" i="2"/>
  <c r="H7" i="2"/>
  <c r="C7" i="2"/>
  <c r="R6" i="2"/>
  <c r="M6" i="2"/>
  <c r="H6" i="2"/>
  <c r="C6" i="2"/>
  <c r="R5" i="2"/>
  <c r="M5" i="2"/>
  <c r="H5" i="2"/>
  <c r="C5" i="2"/>
  <c r="R4" i="2"/>
  <c r="M4" i="2"/>
  <c r="H4" i="2"/>
  <c r="C4" i="2"/>
  <c r="R3" i="2"/>
  <c r="M3" i="2"/>
  <c r="H3" i="2"/>
  <c r="C3" i="2"/>
  <c r="R2" i="2"/>
  <c r="M2" i="2"/>
  <c r="H2" i="2"/>
  <c r="C2" i="2"/>
  <c r="F34" i="1"/>
  <c r="H34" i="1" s="1"/>
  <c r="F33" i="1"/>
  <c r="K33" i="1" s="1"/>
  <c r="F32" i="1"/>
  <c r="H32" i="1" s="1"/>
  <c r="F30" i="1"/>
  <c r="I30" i="1" s="1"/>
  <c r="F31" i="1"/>
  <c r="G31" i="1" s="1"/>
  <c r="F29" i="1"/>
  <c r="K29" i="1" s="1"/>
  <c r="F28" i="1"/>
  <c r="K28" i="1" s="1"/>
  <c r="F27" i="1"/>
  <c r="G27" i="1" s="1"/>
  <c r="F26" i="1"/>
  <c r="K26" i="1" s="1"/>
  <c r="F25" i="1"/>
  <c r="K25" i="1" s="1"/>
  <c r="F24" i="1"/>
  <c r="I24" i="1" s="1"/>
  <c r="F23" i="1"/>
  <c r="J23" i="1" s="1"/>
  <c r="F22" i="1"/>
  <c r="J22" i="1" s="1"/>
  <c r="F21" i="1"/>
  <c r="G21" i="1" s="1"/>
  <c r="F20" i="1"/>
  <c r="K20" i="1" s="1"/>
  <c r="F19" i="1"/>
  <c r="J19" i="1" s="1"/>
  <c r="F18" i="1"/>
  <c r="K18" i="1" s="1"/>
  <c r="F17" i="1"/>
  <c r="K17" i="1" s="1"/>
  <c r="F16" i="1"/>
  <c r="I16" i="1" s="1"/>
  <c r="F15" i="1"/>
  <c r="I15" i="1" s="1"/>
  <c r="F14" i="1"/>
  <c r="K14" i="1" s="1"/>
  <c r="F13" i="1"/>
  <c r="G13" i="1" s="1"/>
  <c r="F12" i="1"/>
  <c r="I12" i="1" s="1"/>
  <c r="F11" i="1"/>
  <c r="J11" i="1" s="1"/>
  <c r="F10" i="1"/>
  <c r="H10" i="1" s="1"/>
  <c r="F9" i="1"/>
  <c r="K9" i="1" s="1"/>
  <c r="F8" i="1"/>
  <c r="K8" i="1" s="1"/>
  <c r="F7" i="1"/>
  <c r="K7" i="1" s="1"/>
  <c r="F6" i="1"/>
  <c r="I6" i="1" s="1"/>
  <c r="F5" i="1"/>
  <c r="I5" i="1" s="1"/>
  <c r="F4" i="1"/>
  <c r="I4" i="1" s="1"/>
  <c r="F2" i="1"/>
  <c r="J2" i="1" s="1"/>
  <c r="K27" i="1"/>
  <c r="J27" i="1"/>
  <c r="H20" i="1"/>
  <c r="K19" i="1"/>
  <c r="J15" i="1"/>
  <c r="H7" i="1"/>
  <c r="G7" i="1"/>
  <c r="J6" i="1"/>
  <c r="B331" i="3"/>
  <c r="B330" i="3"/>
  <c r="B329" i="3"/>
  <c r="B328" i="3"/>
  <c r="B327" i="3"/>
  <c r="B326" i="3"/>
  <c r="B325" i="3"/>
  <c r="B324" i="3"/>
  <c r="B323" i="3"/>
  <c r="G323" i="3" s="1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G301" i="3" s="1"/>
  <c r="B300" i="3"/>
  <c r="B299" i="3"/>
  <c r="B298" i="3"/>
  <c r="B297" i="3"/>
  <c r="B296" i="3"/>
  <c r="B295" i="3"/>
  <c r="B294" i="3"/>
  <c r="B293" i="3"/>
  <c r="B292" i="3"/>
  <c r="B291" i="3"/>
  <c r="B290" i="3"/>
  <c r="B289" i="3"/>
  <c r="G289" i="3" s="1"/>
  <c r="B288" i="3"/>
  <c r="B287" i="3"/>
  <c r="B286" i="3"/>
  <c r="B285" i="3"/>
  <c r="B284" i="3"/>
  <c r="B283" i="3"/>
  <c r="B282" i="3"/>
  <c r="B281" i="3"/>
  <c r="B280" i="3"/>
  <c r="B279" i="3"/>
  <c r="B278" i="3"/>
  <c r="B277" i="3"/>
  <c r="G277" i="3" s="1"/>
  <c r="B276" i="3"/>
  <c r="B275" i="3"/>
  <c r="B274" i="3"/>
  <c r="B273" i="3"/>
  <c r="B272" i="3"/>
  <c r="B271" i="3"/>
  <c r="B270" i="3"/>
  <c r="B269" i="3"/>
  <c r="B268" i="3"/>
  <c r="B267" i="3"/>
  <c r="B266" i="3"/>
  <c r="B265" i="3"/>
  <c r="G265" i="3" s="1"/>
  <c r="B264" i="3"/>
  <c r="B263" i="3"/>
  <c r="B262" i="3"/>
  <c r="B261" i="3"/>
  <c r="B260" i="3"/>
  <c r="B259" i="3"/>
  <c r="B258" i="3"/>
  <c r="B257" i="3"/>
  <c r="B256" i="3"/>
  <c r="B255" i="3"/>
  <c r="B254" i="3"/>
  <c r="B253" i="3"/>
  <c r="G253" i="3" s="1"/>
  <c r="B252" i="3"/>
  <c r="B251" i="3"/>
  <c r="B250" i="3"/>
  <c r="B249" i="3"/>
  <c r="B248" i="3"/>
  <c r="B247" i="3"/>
  <c r="B246" i="3"/>
  <c r="B245" i="3"/>
  <c r="B244" i="3"/>
  <c r="B243" i="3"/>
  <c r="B242" i="3"/>
  <c r="B241" i="3"/>
  <c r="G241" i="3" s="1"/>
  <c r="B240" i="3"/>
  <c r="B239" i="3"/>
  <c r="B238" i="3"/>
  <c r="B237" i="3"/>
  <c r="B236" i="3"/>
  <c r="B235" i="3"/>
  <c r="B234" i="3"/>
  <c r="B233" i="3"/>
  <c r="B232" i="3"/>
  <c r="B231" i="3"/>
  <c r="B230" i="3"/>
  <c r="B229" i="3"/>
  <c r="G229" i="3" s="1"/>
  <c r="B228" i="3"/>
  <c r="B227" i="3"/>
  <c r="B226" i="3"/>
  <c r="B225" i="3"/>
  <c r="B224" i="3"/>
  <c r="B223" i="3"/>
  <c r="B222" i="3"/>
  <c r="B221" i="3"/>
  <c r="B220" i="3"/>
  <c r="B219" i="3"/>
  <c r="B218" i="3"/>
  <c r="G217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G205" i="3" s="1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G49" i="3"/>
  <c r="G8" i="1" l="1"/>
  <c r="J20" i="1"/>
  <c r="H8" i="1"/>
  <c r="H21" i="1"/>
  <c r="I8" i="1"/>
  <c r="I21" i="1"/>
  <c r="J8" i="1"/>
  <c r="I9" i="1"/>
  <c r="I20" i="1"/>
  <c r="J4" i="1"/>
  <c r="J16" i="1"/>
  <c r="M2" i="1"/>
  <c r="O2" i="1" s="1"/>
  <c r="G25" i="3"/>
  <c r="G73" i="3"/>
  <c r="G109" i="3"/>
  <c r="G121" i="3"/>
  <c r="G157" i="3"/>
  <c r="G181" i="3"/>
  <c r="G13" i="3"/>
  <c r="G37" i="3"/>
  <c r="G61" i="3"/>
  <c r="G85" i="3"/>
  <c r="G97" i="3"/>
  <c r="K6" i="1"/>
  <c r="G20" i="1"/>
  <c r="H27" i="1"/>
  <c r="I27" i="1"/>
  <c r="G17" i="1"/>
  <c r="J21" i="1"/>
  <c r="G5" i="1"/>
  <c r="H5" i="1"/>
  <c r="G9" i="1"/>
  <c r="H17" i="1"/>
  <c r="K21" i="1"/>
  <c r="J5" i="1"/>
  <c r="H9" i="1"/>
  <c r="I17" i="1"/>
  <c r="K16" i="1"/>
  <c r="J17" i="1"/>
  <c r="J9" i="1"/>
  <c r="K5" i="1"/>
  <c r="G28" i="1"/>
  <c r="K4" i="1"/>
  <c r="G4" i="1"/>
  <c r="G16" i="1"/>
  <c r="H28" i="1"/>
  <c r="H4" i="1"/>
  <c r="H16" i="1"/>
  <c r="H31" i="1"/>
  <c r="I31" i="1"/>
  <c r="K31" i="1"/>
  <c r="J31" i="1"/>
  <c r="I28" i="1"/>
  <c r="J28" i="1"/>
  <c r="G34" i="1"/>
  <c r="I34" i="1"/>
  <c r="J34" i="1"/>
  <c r="K34" i="1"/>
  <c r="G11" i="3"/>
  <c r="K15" i="1"/>
  <c r="G26" i="1"/>
  <c r="H26" i="1"/>
  <c r="I26" i="1"/>
  <c r="J10" i="1"/>
  <c r="J12" i="1"/>
  <c r="H30" i="1"/>
  <c r="I10" i="1"/>
  <c r="G30" i="1"/>
  <c r="J30" i="1"/>
  <c r="K12" i="1"/>
  <c r="K30" i="1"/>
  <c r="K10" i="1"/>
  <c r="G18" i="1"/>
  <c r="H18" i="1"/>
  <c r="I18" i="1"/>
  <c r="G10" i="1"/>
  <c r="J18" i="1"/>
  <c r="J26" i="1"/>
  <c r="G29" i="1"/>
  <c r="J32" i="1"/>
  <c r="H29" i="1"/>
  <c r="K32" i="1"/>
  <c r="J29" i="1"/>
  <c r="H33" i="1"/>
  <c r="I32" i="1"/>
  <c r="I29" i="1"/>
  <c r="H3" i="1"/>
  <c r="I33" i="1"/>
  <c r="G33" i="1"/>
  <c r="G3" i="1"/>
  <c r="I3" i="1"/>
  <c r="J33" i="1"/>
  <c r="J3" i="1"/>
  <c r="G6" i="1"/>
  <c r="G15" i="1"/>
  <c r="J24" i="1"/>
  <c r="H15" i="1"/>
  <c r="K24" i="1"/>
  <c r="H6" i="1"/>
  <c r="G25" i="1"/>
  <c r="I7" i="1"/>
  <c r="H13" i="1"/>
  <c r="H25" i="1"/>
  <c r="J7" i="1"/>
  <c r="I13" i="1"/>
  <c r="G23" i="1"/>
  <c r="I25" i="1"/>
  <c r="J13" i="1"/>
  <c r="H23" i="1"/>
  <c r="J25" i="1"/>
  <c r="K13" i="1"/>
  <c r="I23" i="1"/>
  <c r="H14" i="1"/>
  <c r="G19" i="1"/>
  <c r="K23" i="1"/>
  <c r="G12" i="1"/>
  <c r="I14" i="1"/>
  <c r="H19" i="1"/>
  <c r="G24" i="1"/>
  <c r="H12" i="1"/>
  <c r="J14" i="1"/>
  <c r="I19" i="1"/>
  <c r="H24" i="1"/>
  <c r="G32" i="1"/>
  <c r="G14" i="1"/>
  <c r="K11" i="1"/>
  <c r="K22" i="1"/>
  <c r="G11" i="1"/>
  <c r="G22" i="1"/>
  <c r="H11" i="1"/>
  <c r="H22" i="1"/>
  <c r="I11" i="1"/>
  <c r="I22" i="1"/>
  <c r="G2" i="1"/>
  <c r="H2" i="1"/>
  <c r="I2" i="1"/>
  <c r="K2" i="1"/>
  <c r="G275" i="3"/>
  <c r="G287" i="3"/>
  <c r="G299" i="3"/>
  <c r="G311" i="3"/>
  <c r="G172" i="3"/>
  <c r="G184" i="3"/>
  <c r="G196" i="3"/>
  <c r="G208" i="3"/>
  <c r="G220" i="3"/>
  <c r="G232" i="3"/>
  <c r="G244" i="3"/>
  <c r="G256" i="3"/>
  <c r="G268" i="3"/>
  <c r="G280" i="3"/>
  <c r="G292" i="3"/>
  <c r="G4" i="3"/>
  <c r="G23" i="3"/>
  <c r="G35" i="3"/>
  <c r="G251" i="3"/>
  <c r="G263" i="3"/>
  <c r="G16" i="3"/>
  <c r="G28" i="3"/>
  <c r="G40" i="3"/>
  <c r="G52" i="3"/>
  <c r="G64" i="3"/>
  <c r="G76" i="3"/>
  <c r="G88" i="3"/>
  <c r="G100" i="3"/>
  <c r="G112" i="3"/>
  <c r="G124" i="3"/>
  <c r="G136" i="3"/>
  <c r="G148" i="3"/>
  <c r="G160" i="3"/>
  <c r="G304" i="3"/>
  <c r="G316" i="3"/>
  <c r="G230" i="3"/>
  <c r="G242" i="3"/>
  <c r="G254" i="3"/>
  <c r="G266" i="3"/>
  <c r="G278" i="3"/>
  <c r="G330" i="3"/>
  <c r="G235" i="3"/>
  <c r="G247" i="3"/>
  <c r="G259" i="3"/>
  <c r="G261" i="3"/>
  <c r="G271" i="3"/>
  <c r="G283" i="3"/>
  <c r="G295" i="3"/>
  <c r="G46" i="3"/>
  <c r="G82" i="3"/>
  <c r="G8" i="3"/>
  <c r="G20" i="3"/>
  <c r="G32" i="3"/>
  <c r="G44" i="3"/>
  <c r="G56" i="3"/>
  <c r="G68" i="3"/>
  <c r="G80" i="3"/>
  <c r="G92" i="3"/>
  <c r="G104" i="3"/>
  <c r="G116" i="3"/>
  <c r="G128" i="3"/>
  <c r="G140" i="3"/>
  <c r="G152" i="3"/>
  <c r="G164" i="3"/>
  <c r="G176" i="3"/>
  <c r="G188" i="3"/>
  <c r="G200" i="3"/>
  <c r="G212" i="3"/>
  <c r="G224" i="3"/>
  <c r="G236" i="3"/>
  <c r="G248" i="3"/>
  <c r="G260" i="3"/>
  <c r="G272" i="3"/>
  <c r="G284" i="3"/>
  <c r="G296" i="3"/>
  <c r="G308" i="3"/>
  <c r="G320" i="3"/>
  <c r="G6" i="3"/>
  <c r="G18" i="3"/>
  <c r="G30" i="3"/>
  <c r="G42" i="3"/>
  <c r="G54" i="3"/>
  <c r="G66" i="3"/>
  <c r="G78" i="3"/>
  <c r="G90" i="3"/>
  <c r="G102" i="3"/>
  <c r="G114" i="3"/>
  <c r="G126" i="3"/>
  <c r="G138" i="3"/>
  <c r="G150" i="3"/>
  <c r="G162" i="3"/>
  <c r="G174" i="3"/>
  <c r="G186" i="3"/>
  <c r="G198" i="3"/>
  <c r="G210" i="3"/>
  <c r="G222" i="3"/>
  <c r="G234" i="3"/>
  <c r="G246" i="3"/>
  <c r="G258" i="3"/>
  <c r="G270" i="3"/>
  <c r="G282" i="3"/>
  <c r="G294" i="3"/>
  <c r="G306" i="3"/>
  <c r="G318" i="3"/>
  <c r="G47" i="3"/>
  <c r="G59" i="3"/>
  <c r="G71" i="3"/>
  <c r="G83" i="3"/>
  <c r="G95" i="3"/>
  <c r="G107" i="3"/>
  <c r="G119" i="3"/>
  <c r="G131" i="3"/>
  <c r="G143" i="3"/>
  <c r="G155" i="3"/>
  <c r="G167" i="3"/>
  <c r="G179" i="3"/>
  <c r="G191" i="3"/>
  <c r="G203" i="3"/>
  <c r="G215" i="3"/>
  <c r="G227" i="3"/>
  <c r="G239" i="3"/>
  <c r="G328" i="3"/>
  <c r="G26" i="3"/>
  <c r="G38" i="3"/>
  <c r="G50" i="3"/>
  <c r="G62" i="3"/>
  <c r="G74" i="3"/>
  <c r="G86" i="3"/>
  <c r="G98" i="3"/>
  <c r="G110" i="3"/>
  <c r="G122" i="3"/>
  <c r="G134" i="3"/>
  <c r="G146" i="3"/>
  <c r="G158" i="3"/>
  <c r="G170" i="3"/>
  <c r="G182" i="3"/>
  <c r="G194" i="3"/>
  <c r="G206" i="3"/>
  <c r="G218" i="3"/>
  <c r="G290" i="3"/>
  <c r="G302" i="3"/>
  <c r="G314" i="3"/>
  <c r="G326" i="3"/>
  <c r="G2" i="3"/>
  <c r="G9" i="3"/>
  <c r="G19" i="3"/>
  <c r="G21" i="3"/>
  <c r="G31" i="3"/>
  <c r="G33" i="3"/>
  <c r="G43" i="3"/>
  <c r="G45" i="3"/>
  <c r="G55" i="3"/>
  <c r="G57" i="3"/>
  <c r="G67" i="3"/>
  <c r="G69" i="3"/>
  <c r="G79" i="3"/>
  <c r="G81" i="3"/>
  <c r="G91" i="3"/>
  <c r="G93" i="3"/>
  <c r="G103" i="3"/>
  <c r="G105" i="3"/>
  <c r="G115" i="3"/>
  <c r="G117" i="3"/>
  <c r="G127" i="3"/>
  <c r="G129" i="3"/>
  <c r="G139" i="3"/>
  <c r="G141" i="3"/>
  <c r="G151" i="3"/>
  <c r="G153" i="3"/>
  <c r="G163" i="3"/>
  <c r="G165" i="3"/>
  <c r="G175" i="3"/>
  <c r="G177" i="3"/>
  <c r="G187" i="3"/>
  <c r="G189" i="3"/>
  <c r="G199" i="3"/>
  <c r="G201" i="3"/>
  <c r="G211" i="3"/>
  <c r="G213" i="3"/>
  <c r="G223" i="3"/>
  <c r="G225" i="3"/>
  <c r="G237" i="3"/>
  <c r="G249" i="3"/>
  <c r="G273" i="3"/>
  <c r="G285" i="3"/>
  <c r="G297" i="3"/>
  <c r="G307" i="3"/>
  <c r="G309" i="3"/>
  <c r="G319" i="3"/>
  <c r="G321" i="3"/>
  <c r="G331" i="3"/>
  <c r="G14" i="3"/>
  <c r="G7" i="3"/>
  <c r="G12" i="3"/>
  <c r="G24" i="3"/>
  <c r="G36" i="3"/>
  <c r="G48" i="3"/>
  <c r="G60" i="3"/>
  <c r="G72" i="3"/>
  <c r="G84" i="3"/>
  <c r="G96" i="3"/>
  <c r="G108" i="3"/>
  <c r="G120" i="3"/>
  <c r="G132" i="3"/>
  <c r="G144" i="3"/>
  <c r="G156" i="3"/>
  <c r="G168" i="3"/>
  <c r="G180" i="3"/>
  <c r="G192" i="3"/>
  <c r="G204" i="3"/>
  <c r="G216" i="3"/>
  <c r="G228" i="3"/>
  <c r="G240" i="3"/>
  <c r="G252" i="3"/>
  <c r="G264" i="3"/>
  <c r="G276" i="3"/>
  <c r="G288" i="3"/>
  <c r="G300" i="3"/>
  <c r="G312" i="3"/>
  <c r="G324" i="3"/>
  <c r="G5" i="3"/>
  <c r="G17" i="3"/>
  <c r="G29" i="3"/>
  <c r="G41" i="3"/>
  <c r="G53" i="3"/>
  <c r="G65" i="3"/>
  <c r="G77" i="3"/>
  <c r="G89" i="3"/>
  <c r="G101" i="3"/>
  <c r="G113" i="3"/>
  <c r="G125" i="3"/>
  <c r="G137" i="3"/>
  <c r="G149" i="3"/>
  <c r="G161" i="3"/>
  <c r="G173" i="3"/>
  <c r="G185" i="3"/>
  <c r="G197" i="3"/>
  <c r="G209" i="3"/>
  <c r="G221" i="3"/>
  <c r="G233" i="3"/>
  <c r="G245" i="3"/>
  <c r="G257" i="3"/>
  <c r="G269" i="3"/>
  <c r="G281" i="3"/>
  <c r="G293" i="3"/>
  <c r="G305" i="3"/>
  <c r="G317" i="3"/>
  <c r="G329" i="3"/>
  <c r="G58" i="3"/>
  <c r="G70" i="3"/>
  <c r="G94" i="3"/>
  <c r="G106" i="3"/>
  <c r="G118" i="3"/>
  <c r="G130" i="3"/>
  <c r="G142" i="3"/>
  <c r="G154" i="3"/>
  <c r="G166" i="3"/>
  <c r="G178" i="3"/>
  <c r="G190" i="3"/>
  <c r="G202" i="3"/>
  <c r="G214" i="3"/>
  <c r="G226" i="3"/>
  <c r="G238" i="3"/>
  <c r="G250" i="3"/>
  <c r="G262" i="3"/>
  <c r="G274" i="3"/>
  <c r="G286" i="3"/>
  <c r="G298" i="3"/>
  <c r="G310" i="3"/>
  <c r="G322" i="3"/>
  <c r="G10" i="3"/>
  <c r="G22" i="3"/>
  <c r="G34" i="3"/>
  <c r="G3" i="3"/>
  <c r="G15" i="3"/>
  <c r="G27" i="3"/>
  <c r="G39" i="3"/>
  <c r="G51" i="3"/>
  <c r="G63" i="3"/>
  <c r="G75" i="3"/>
  <c r="G87" i="3"/>
  <c r="G99" i="3"/>
  <c r="G111" i="3"/>
  <c r="G123" i="3"/>
  <c r="G135" i="3"/>
  <c r="G147" i="3"/>
  <c r="G159" i="3"/>
  <c r="G171" i="3"/>
  <c r="G183" i="3"/>
  <c r="G195" i="3"/>
  <c r="G207" i="3"/>
  <c r="G219" i="3"/>
  <c r="G231" i="3"/>
  <c r="G243" i="3"/>
  <c r="G255" i="3"/>
  <c r="G267" i="3"/>
  <c r="G279" i="3"/>
  <c r="G291" i="3"/>
  <c r="G303" i="3"/>
  <c r="G315" i="3"/>
  <c r="G327" i="3"/>
  <c r="A3" i="1" l="1"/>
  <c r="A4" i="1" l="1"/>
  <c r="M3" i="1"/>
  <c r="O3" i="1" s="1"/>
  <c r="A5" i="1" l="1"/>
  <c r="M4" i="1"/>
  <c r="O4" i="1" s="1"/>
  <c r="A6" i="1" l="1"/>
  <c r="M5" i="1"/>
  <c r="O5" i="1" s="1"/>
  <c r="A7" i="1" l="1"/>
  <c r="M6" i="1"/>
  <c r="O6" i="1" s="1"/>
  <c r="A8" i="1" l="1"/>
  <c r="M7" i="1"/>
  <c r="O7" i="1" s="1"/>
  <c r="A9" i="1" l="1"/>
  <c r="M8" i="1"/>
  <c r="O8" i="1" s="1"/>
  <c r="A10" i="1" l="1"/>
  <c r="M9" i="1"/>
  <c r="O9" i="1" s="1"/>
  <c r="A11" i="1" l="1"/>
  <c r="M10" i="1"/>
  <c r="O10" i="1" s="1"/>
  <c r="A12" i="1" l="1"/>
  <c r="M11" i="1"/>
  <c r="O11" i="1" s="1"/>
  <c r="A13" i="1" l="1"/>
  <c r="M12" i="1"/>
  <c r="O12" i="1" s="1"/>
  <c r="P2" i="1" s="1"/>
  <c r="A14" i="1" l="1"/>
  <c r="M13" i="1"/>
  <c r="O13" i="1" s="1"/>
  <c r="A15" i="1" l="1"/>
  <c r="M14" i="1"/>
  <c r="O14" i="1" s="1"/>
  <c r="A16" i="1" l="1"/>
  <c r="M15" i="1"/>
  <c r="O15" i="1" s="1"/>
  <c r="A17" i="1" l="1"/>
  <c r="M16" i="1"/>
  <c r="O16" i="1" s="1"/>
  <c r="A18" i="1" l="1"/>
  <c r="M17" i="1"/>
  <c r="O17" i="1" s="1"/>
  <c r="A19" i="1" l="1"/>
  <c r="M18" i="1"/>
  <c r="O18" i="1" s="1"/>
  <c r="A20" i="1" l="1"/>
  <c r="M19" i="1"/>
  <c r="O19" i="1" s="1"/>
  <c r="A21" i="1" l="1"/>
  <c r="M20" i="1"/>
  <c r="O20" i="1" s="1"/>
  <c r="A22" i="1" l="1"/>
  <c r="M21" i="1"/>
  <c r="O21" i="1" s="1"/>
  <c r="A23" i="1" l="1"/>
  <c r="M22" i="1"/>
  <c r="O22" i="1" s="1"/>
  <c r="A24" i="1" l="1"/>
  <c r="M23" i="1"/>
  <c r="O23" i="1" s="1"/>
  <c r="P13" i="1" s="1"/>
  <c r="A25" i="1" l="1"/>
  <c r="M24" i="1"/>
  <c r="O24" i="1" s="1"/>
  <c r="A26" i="1" l="1"/>
  <c r="M25" i="1"/>
  <c r="O25" i="1" s="1"/>
  <c r="A27" i="1" l="1"/>
  <c r="M26" i="1"/>
  <c r="O26" i="1" s="1"/>
  <c r="A28" i="1" l="1"/>
  <c r="M27" i="1"/>
  <c r="O27" i="1" s="1"/>
  <c r="A29" i="1" l="1"/>
  <c r="M28" i="1"/>
  <c r="O28" i="1" s="1"/>
  <c r="A30" i="1" l="1"/>
  <c r="M29" i="1"/>
  <c r="O29" i="1" s="1"/>
  <c r="A31" i="1" l="1"/>
  <c r="M30" i="1"/>
  <c r="O30" i="1" s="1"/>
  <c r="A32" i="1" l="1"/>
  <c r="M31" i="1"/>
  <c r="O31" i="1" s="1"/>
  <c r="A33" i="1" l="1"/>
  <c r="M32" i="1"/>
  <c r="O32" i="1" s="1"/>
  <c r="A34" i="1" l="1"/>
  <c r="M34" i="1" s="1"/>
  <c r="O34" i="1" s="1"/>
  <c r="M33" i="1"/>
  <c r="O33" i="1" s="1"/>
  <c r="P24" i="1" s="1"/>
  <c r="Q2" i="1" s="1"/>
</calcChain>
</file>

<file path=xl/sharedStrings.xml><?xml version="1.0" encoding="utf-8"?>
<sst xmlns="http://schemas.openxmlformats.org/spreadsheetml/2006/main" count="3243" uniqueCount="751">
  <si>
    <t>Rune Number</t>
  </si>
  <si>
    <t>Diablo 2 Rune Equivalent</t>
  </si>
  <si>
    <t>Corresponding SS2 Ability</t>
  </si>
  <si>
    <t>El</t>
  </si>
  <si>
    <t>Eld</t>
  </si>
  <si>
    <t>Tir</t>
  </si>
  <si>
    <t>Nef</t>
  </si>
  <si>
    <t>Eth</t>
  </si>
  <si>
    <t>Ith</t>
  </si>
  <si>
    <t>Tal</t>
  </si>
  <si>
    <t>Ral</t>
  </si>
  <si>
    <t>Ort</t>
  </si>
  <si>
    <t>Thul</t>
  </si>
  <si>
    <t>Amn</t>
  </si>
  <si>
    <t>Sol</t>
  </si>
  <si>
    <t>Shael</t>
  </si>
  <si>
    <t>Dol</t>
  </si>
  <si>
    <t>Hel</t>
  </si>
  <si>
    <t>Io</t>
  </si>
  <si>
    <t>Lum</t>
  </si>
  <si>
    <t>Ko</t>
  </si>
  <si>
    <t>Fal</t>
  </si>
  <si>
    <t>Lem</t>
  </si>
  <si>
    <t>Pul</t>
  </si>
  <si>
    <t>Um</t>
  </si>
  <si>
    <t>Mal</t>
  </si>
  <si>
    <t>Ist</t>
  </si>
  <si>
    <t>Gul</t>
  </si>
  <si>
    <t>Vex</t>
  </si>
  <si>
    <t>Ohm</t>
  </si>
  <si>
    <t>Lo</t>
  </si>
  <si>
    <t>Sur</t>
  </si>
  <si>
    <t>Ber</t>
  </si>
  <si>
    <t>Jah</t>
  </si>
  <si>
    <t>Cham</t>
  </si>
  <si>
    <t>Zod</t>
  </si>
  <si>
    <t>Sand Veil</t>
  </si>
  <si>
    <t>Static</t>
  </si>
  <si>
    <t>Dem Sanctioned Choices</t>
  </si>
  <si>
    <t>Damp</t>
  </si>
  <si>
    <t>Oblivious</t>
  </si>
  <si>
    <t>Compound Eyes</t>
  </si>
  <si>
    <t>Limber</t>
  </si>
  <si>
    <t>Insomnia</t>
  </si>
  <si>
    <t>Color Change</t>
  </si>
  <si>
    <t>Shield Dust</t>
  </si>
  <si>
    <t>Own Tempo</t>
  </si>
  <si>
    <t>Suction Cups</t>
  </si>
  <si>
    <t>Synchronize</t>
  </si>
  <si>
    <t>Natural Cure</t>
  </si>
  <si>
    <t>Illuminate</t>
  </si>
  <si>
    <t>Poison Point</t>
  </si>
  <si>
    <t>Magma Armor</t>
  </si>
  <si>
    <t>Water Veil</t>
  </si>
  <si>
    <t>Rain Dish</t>
  </si>
  <si>
    <t>Pressure</t>
  </si>
  <si>
    <t>Early Bird</t>
  </si>
  <si>
    <t>Flame Body</t>
  </si>
  <si>
    <t>Run Away</t>
  </si>
  <si>
    <t>Keen Eye</t>
  </si>
  <si>
    <t>Shell Armor</t>
  </si>
  <si>
    <t>Redundant</t>
  </si>
  <si>
    <t>Cute Charm</t>
  </si>
  <si>
    <t>Plus</t>
  </si>
  <si>
    <t>Minus</t>
  </si>
  <si>
    <t>Shed Skin</t>
  </si>
  <si>
    <t>Vital Spirit</t>
  </si>
  <si>
    <t>Marvel Scale</t>
  </si>
  <si>
    <t>Liquid Ooze</t>
  </si>
  <si>
    <t>Tangled Feet</t>
  </si>
  <si>
    <t>Rivalry</t>
  </si>
  <si>
    <t>Steadfast</t>
  </si>
  <si>
    <t>Snow Cloak</t>
  </si>
  <si>
    <t>Iron Fist</t>
  </si>
  <si>
    <t>Hydration</t>
  </si>
  <si>
    <t>Normalize</t>
  </si>
  <si>
    <t>Sniper</t>
  </si>
  <si>
    <t>Stall</t>
  </si>
  <si>
    <t>Leaf Guard</t>
  </si>
  <si>
    <t>Mold Breaker</t>
  </si>
  <si>
    <t>Aftermath</t>
  </si>
  <si>
    <t>Forewarn</t>
  </si>
  <si>
    <t>Slow Start</t>
  </si>
  <si>
    <t>Comments</t>
  </si>
  <si>
    <t>Bad Ability</t>
  </si>
  <si>
    <t>Telepathy</t>
  </si>
  <si>
    <t>Ice Body</t>
  </si>
  <si>
    <t>Heavy Metal</t>
  </si>
  <si>
    <t>Victory Star</t>
  </si>
  <si>
    <t>Frisk</t>
  </si>
  <si>
    <t>Legendary Signature</t>
  </si>
  <si>
    <t>Tough Claws</t>
  </si>
  <si>
    <t>Reckless</t>
  </si>
  <si>
    <t>Bad Dreams</t>
  </si>
  <si>
    <t>Sheer Force</t>
  </si>
  <si>
    <t>Unnerve</t>
  </si>
  <si>
    <t>Healer</t>
  </si>
  <si>
    <t>Friend Guard</t>
  </si>
  <si>
    <t>Poison Touch</t>
  </si>
  <si>
    <t>This one or Poison Point but not both</t>
  </si>
  <si>
    <t>Big Pecks</t>
  </si>
  <si>
    <t>Analytic</t>
  </si>
  <si>
    <t>Infiltrator</t>
  </si>
  <si>
    <t>Grass Pelt</t>
  </si>
  <si>
    <t>Clay Form</t>
  </si>
  <si>
    <t>Wimp Out</t>
  </si>
  <si>
    <t>Gulp Missile</t>
  </si>
  <si>
    <t>Impenetrable</t>
  </si>
  <si>
    <t>Neuroforce</t>
  </si>
  <si>
    <t>Magnet Pull</t>
  </si>
  <si>
    <t>Skill Link</t>
  </si>
  <si>
    <t>Solar Power</t>
  </si>
  <si>
    <t>Unaware</t>
  </si>
  <si>
    <t>Tinted Lens</t>
  </si>
  <si>
    <t>Filter</t>
  </si>
  <si>
    <t>Solid Rock</t>
  </si>
  <si>
    <t>Mummy</t>
  </si>
  <si>
    <t>Gooey</t>
  </si>
  <si>
    <t>Intuition</t>
  </si>
  <si>
    <t>Tangling Hair</t>
  </si>
  <si>
    <t>Ball Fetch</t>
  </si>
  <si>
    <t>Leeching Fangs</t>
  </si>
  <si>
    <t>Mimicry</t>
  </si>
  <si>
    <t>Ripen</t>
  </si>
  <si>
    <t>Curious Medicine</t>
  </si>
  <si>
    <t>Unbreakable</t>
  </si>
  <si>
    <t>Synthesize</t>
  </si>
  <si>
    <t>Precision</t>
  </si>
  <si>
    <t>Hive Body</t>
  </si>
  <si>
    <t>Doesn't Matter</t>
  </si>
  <si>
    <t>Stench</t>
  </si>
  <si>
    <t>Rough Skin</t>
  </si>
  <si>
    <t>Sticky Hold</t>
  </si>
  <si>
    <t>Forecast</t>
  </si>
  <si>
    <t>Rock Head</t>
  </si>
  <si>
    <t>Gluttony</t>
  </si>
  <si>
    <t>Battle Armor exists and is better</t>
  </si>
  <si>
    <t>Can't hold berries and runes</t>
  </si>
  <si>
    <t>Symbiosis</t>
  </si>
  <si>
    <t>Can't take over an ally's held item.</t>
  </si>
  <si>
    <t>Unburden</t>
  </si>
  <si>
    <t>Can't lose your held item</t>
  </si>
  <si>
    <t>Klutz</t>
  </si>
  <si>
    <t>Can't use items</t>
  </si>
  <si>
    <t>Pickpocket</t>
  </si>
  <si>
    <t>Can't steal</t>
  </si>
  <si>
    <t>Super Luck</t>
  </si>
  <si>
    <t>???</t>
  </si>
  <si>
    <t>Anticipation</t>
  </si>
  <si>
    <t>Multitype</t>
  </si>
  <si>
    <t>Light Metal</t>
  </si>
  <si>
    <t>Harvest</t>
  </si>
  <si>
    <t>Overcoat</t>
  </si>
  <si>
    <t>Long Reach</t>
  </si>
  <si>
    <t>Iron Barbs</t>
  </si>
  <si>
    <t>Zen Mode</t>
  </si>
  <si>
    <t>Form specific</t>
  </si>
  <si>
    <t>Stance Change</t>
  </si>
  <si>
    <t>Shields Down</t>
  </si>
  <si>
    <t>Turboblaze</t>
  </si>
  <si>
    <t>Teravolt</t>
  </si>
  <si>
    <t>Cheek Pouch</t>
  </si>
  <si>
    <t>Magician</t>
  </si>
  <si>
    <t>Schooling</t>
  </si>
  <si>
    <t>Battle Bond</t>
  </si>
  <si>
    <t>Power Construct</t>
  </si>
  <si>
    <t>RKS System</t>
  </si>
  <si>
    <t>Full Metal Body</t>
  </si>
  <si>
    <t>Gorilla Tactics</t>
  </si>
  <si>
    <t>Hunger Switch</t>
  </si>
  <si>
    <t>Pure Heart</t>
  </si>
  <si>
    <t>Leftovers is just better</t>
  </si>
  <si>
    <t>Weight plays are kinda niche</t>
  </si>
  <si>
    <t>Prism Armor</t>
  </si>
  <si>
    <t>Inner Focus</t>
  </si>
  <si>
    <t>Hyper Cutter</t>
  </si>
  <si>
    <t>Completely Fine</t>
  </si>
  <si>
    <t>Fine for the most part</t>
  </si>
  <si>
    <t>Redundant - 
Fine for the most part</t>
  </si>
  <si>
    <t>Redundant - 
Completely Fine</t>
  </si>
  <si>
    <t>Maybe but probably not</t>
  </si>
  <si>
    <t>Redundant - 
Maybe but probably not</t>
  </si>
  <si>
    <t>Punk Rock</t>
  </si>
  <si>
    <t>Cloud Nine</t>
  </si>
  <si>
    <t>Shadow Tag</t>
  </si>
  <si>
    <t>Effect Spore</t>
  </si>
  <si>
    <t>Trace</t>
  </si>
  <si>
    <t>Guts</t>
  </si>
  <si>
    <t>Arena Trap</t>
  </si>
  <si>
    <t>Air Lock</t>
  </si>
  <si>
    <t>Poison Heal</t>
  </si>
  <si>
    <t>Quick Feet</t>
  </si>
  <si>
    <t>Can't hold flame orb or toxic orb so pointless</t>
  </si>
  <si>
    <t>Technician</t>
  </si>
  <si>
    <t>Toxic Boost</t>
  </si>
  <si>
    <t>Flare Boost</t>
  </si>
  <si>
    <t>Regenerator</t>
  </si>
  <si>
    <t>Wonder Skin</t>
  </si>
  <si>
    <t>Moxie</t>
  </si>
  <si>
    <t>Requiem</t>
  </si>
  <si>
    <t>Sand Force</t>
  </si>
  <si>
    <t>Aroma Veil</t>
  </si>
  <si>
    <t>Strong Jaw</t>
  </si>
  <si>
    <t>Attunement</t>
  </si>
  <si>
    <t>Mega Launcher</t>
  </si>
  <si>
    <t>Sharpness</t>
  </si>
  <si>
    <t>Parental Bond</t>
  </si>
  <si>
    <t>Emergency Exit</t>
  </si>
  <si>
    <t>Merciless</t>
  </si>
  <si>
    <t>Battery</t>
  </si>
  <si>
    <t>Power Spot</t>
  </si>
  <si>
    <t>Wandering Spirit</t>
  </si>
  <si>
    <t>White Smoke</t>
  </si>
  <si>
    <t>Clear Body</t>
  </si>
  <si>
    <t>Cannon Fire</t>
  </si>
  <si>
    <t>Icy Veins</t>
  </si>
  <si>
    <t>VLOOKUP Completely Fine</t>
  </si>
  <si>
    <t>VLOOKUP Fine for the most part</t>
  </si>
  <si>
    <t>VLOOKUP Maybe but probably not</t>
  </si>
  <si>
    <t>Situational</t>
  </si>
  <si>
    <t>Tough Claws is better</t>
  </si>
  <si>
    <t>No, Skill Swap shenanigans</t>
  </si>
  <si>
    <t>Battle Armor</t>
  </si>
  <si>
    <t>Demon Eye basically better?</t>
  </si>
  <si>
    <t>Irrelevant</t>
  </si>
  <si>
    <t>Busted, no</t>
  </si>
  <si>
    <t>Pointless</t>
  </si>
  <si>
    <t>Choice Band better</t>
  </si>
  <si>
    <t>Kinda good</t>
  </si>
  <si>
    <t>Kinda OP but no.</t>
  </si>
  <si>
    <t>Special guts, no</t>
  </si>
  <si>
    <t>Kinda niche</t>
  </si>
  <si>
    <t>Mold Breaker Redundant</t>
  </si>
  <si>
    <t>Lucky Dice exists and is quite good</t>
  </si>
  <si>
    <t>Custom Runes?</t>
  </si>
  <si>
    <t>Rocky Helmet better</t>
  </si>
  <si>
    <t>Screen Cleaner</t>
  </si>
  <si>
    <t>LEVITATE</t>
  </si>
  <si>
    <t>INTIMIDATE</t>
  </si>
  <si>
    <t>STATIC</t>
  </si>
  <si>
    <t>MOXIE</t>
  </si>
  <si>
    <t>TELEPATHY</t>
  </si>
  <si>
    <t>FLAMEBODY</t>
  </si>
  <si>
    <t>INFILTRATOR</t>
  </si>
  <si>
    <t>RAINDISH</t>
  </si>
  <si>
    <t>SOLIDROCK</t>
  </si>
  <si>
    <t>RECKLESS</t>
  </si>
  <si>
    <t>WATERABSORB</t>
  </si>
  <si>
    <t>PRANKSTER</t>
  </si>
  <si>
    <t>DRYSKIN</t>
  </si>
  <si>
    <t>OBLIVIOUS</t>
  </si>
  <si>
    <t>SHEERFORCE</t>
  </si>
  <si>
    <t>DEFIANT</t>
  </si>
  <si>
    <t>OVERCOAT</t>
  </si>
  <si>
    <t>SHIELDDUST</t>
  </si>
  <si>
    <t>THICKFAT</t>
  </si>
  <si>
    <t>POISONTOUCH</t>
  </si>
  <si>
    <t>ANALYTIC</t>
  </si>
  <si>
    <t>STRONGJAW</t>
  </si>
  <si>
    <t>ROUGHSKIN</t>
  </si>
  <si>
    <t>SWARM</t>
  </si>
  <si>
    <t>CACOPHONY</t>
  </si>
  <si>
    <t>SPEEDBOOST</t>
  </si>
  <si>
    <t>GLUTTONY</t>
  </si>
  <si>
    <t>MAGICGUARD</t>
  </si>
  <si>
    <t>CURSEDBODY</t>
  </si>
  <si>
    <t>WONDERSKIN</t>
  </si>
  <si>
    <t>LONGREACH</t>
  </si>
  <si>
    <t>DAZZLING</t>
  </si>
  <si>
    <t>STURDY</t>
  </si>
  <si>
    <t>CLOUDNINE</t>
  </si>
  <si>
    <t>COMPOUNDEYES</t>
  </si>
  <si>
    <t>SNOWCLOAK</t>
  </si>
  <si>
    <t>MOLDBREAKER</t>
  </si>
  <si>
    <t>TINTEDLENS</t>
  </si>
  <si>
    <t>FILTER</t>
  </si>
  <si>
    <t>MEGALAUNCHER</t>
  </si>
  <si>
    <t>CLEARBODY</t>
  </si>
  <si>
    <t>KEENEYE</t>
  </si>
  <si>
    <t>ARENATRAP</t>
  </si>
  <si>
    <t>MOTORDRIVE</t>
  </si>
  <si>
    <t>STEADFAST</t>
  </si>
  <si>
    <t>TECHNICIAN</t>
  </si>
  <si>
    <t>STORMDRAIN</t>
  </si>
  <si>
    <t>SNOWWARNING</t>
  </si>
  <si>
    <t>REGENERATOR</t>
  </si>
  <si>
    <t>MAGICBOUNCE</t>
  </si>
  <si>
    <t>IRONBARBS</t>
  </si>
  <si>
    <t>DRIZZLE</t>
  </si>
  <si>
    <t>OWNTEMPO</t>
  </si>
  <si>
    <t>EFFECTSPORE</t>
  </si>
  <si>
    <t>GUTS</t>
  </si>
  <si>
    <t>SANDFORCE</t>
  </si>
  <si>
    <t>GALEWINGS</t>
  </si>
  <si>
    <t>TOUGHCLAWS</t>
  </si>
  <si>
    <t>PUREHEART</t>
  </si>
  <si>
    <t>STARSTRUCK</t>
  </si>
  <si>
    <t>EARTHEATER</t>
  </si>
  <si>
    <t>SERENEGRACE</t>
  </si>
  <si>
    <t>CHLOROPHYLL</t>
  </si>
  <si>
    <t>SHEDSKIN</t>
  </si>
  <si>
    <t>LEAFGUARD</t>
  </si>
  <si>
    <t>SUPERLUCK</t>
  </si>
  <si>
    <t>UNAWARE</t>
  </si>
  <si>
    <t>ICEBODY</t>
  </si>
  <si>
    <t>COMPETITIVE</t>
  </si>
  <si>
    <t>MERCILESS</t>
  </si>
  <si>
    <t>DISHEARTEN</t>
  </si>
  <si>
    <t>SYNTHESIZE</t>
  </si>
  <si>
    <t>SHARPNESS</t>
  </si>
  <si>
    <t>BATTLEARMOR</t>
  </si>
  <si>
    <t>IMMUNITY</t>
  </si>
  <si>
    <t>SWIFTSWIM</t>
  </si>
  <si>
    <t>ROCKHEAD</t>
  </si>
  <si>
    <t>ANGERPOINT</t>
  </si>
  <si>
    <t>SIMPLE</t>
  </si>
  <si>
    <t>ICYVEINS</t>
  </si>
  <si>
    <t>ATTUNEMENT</t>
  </si>
  <si>
    <t>LIMBER</t>
  </si>
  <si>
    <t>LIGHTNINGROD</t>
  </si>
  <si>
    <t>MAGNETPULL</t>
  </si>
  <si>
    <t>SOUNDPROOF</t>
  </si>
  <si>
    <t>HUSTLE</t>
  </si>
  <si>
    <t>BLAZE</t>
  </si>
  <si>
    <t>DROUGHT</t>
  </si>
  <si>
    <t>SNIPER</t>
  </si>
  <si>
    <t>WEAKARMOR</t>
  </si>
  <si>
    <t>FLOWERVEIL</t>
  </si>
  <si>
    <t>PROTEAN</t>
  </si>
  <si>
    <t>BULLETPROOF</t>
  </si>
  <si>
    <t>CORROSION</t>
  </si>
  <si>
    <t>STALWART</t>
  </si>
  <si>
    <t>CHARISMA</t>
  </si>
  <si>
    <t>NOBILITY</t>
  </si>
  <si>
    <t>GENIUS</t>
  </si>
  <si>
    <t>INTUITION</t>
  </si>
  <si>
    <t>ETHEREAL</t>
  </si>
  <si>
    <t>SANDVEIL</t>
  </si>
  <si>
    <t>VOLTABSORB</t>
  </si>
  <si>
    <t>FLASHFIRE</t>
  </si>
  <si>
    <t>INNERFOCUS</t>
  </si>
  <si>
    <t>PRESSURE</t>
  </si>
  <si>
    <t>WHITESMOKE</t>
  </si>
  <si>
    <t>DOWNLOAD</t>
  </si>
  <si>
    <t>POISONHEAL</t>
  </si>
  <si>
    <t>ADAPTABILITY</t>
  </si>
  <si>
    <t>QUICKFEET</t>
  </si>
  <si>
    <t>FRIENDGUARD</t>
  </si>
  <si>
    <t>RATTLED</t>
  </si>
  <si>
    <t>FLUFFY</t>
  </si>
  <si>
    <t>ELECTRICSURGE</t>
  </si>
  <si>
    <t>CONDUCTOR</t>
  </si>
  <si>
    <t>VITALITY</t>
  </si>
  <si>
    <t>FORTIFICATION</t>
  </si>
  <si>
    <t>MAGMAARMOR</t>
  </si>
  <si>
    <t>EARLYBIRD</t>
  </si>
  <si>
    <t>RUNAWAY</t>
  </si>
  <si>
    <t>HYPERCUTTER</t>
  </si>
  <si>
    <t>SHELLARMOR</t>
  </si>
  <si>
    <t>IRONFIST</t>
  </si>
  <si>
    <t>SKILLLINK</t>
  </si>
  <si>
    <t>NOGUARD</t>
  </si>
  <si>
    <t>MOODY</t>
  </si>
  <si>
    <t>BIGPECKS</t>
  </si>
  <si>
    <t>DARKAURA</t>
  </si>
  <si>
    <t>STAKEOUT</t>
  </si>
  <si>
    <t>BERSERK</t>
  </si>
  <si>
    <t>BATTERY</t>
  </si>
  <si>
    <t>GRASSYSURGE</t>
  </si>
  <si>
    <t>LEECHINGFANGS</t>
  </si>
  <si>
    <t>CANNONFIRE</t>
  </si>
  <si>
    <t>SPELLCASTER</t>
  </si>
  <si>
    <t>STENCH</t>
  </si>
  <si>
    <t>NATURALCURE</t>
  </si>
  <si>
    <t>OVERGROW</t>
  </si>
  <si>
    <t>HYDRATION</t>
  </si>
  <si>
    <t>UNNERVE</t>
  </si>
  <si>
    <t>HEALER</t>
  </si>
  <si>
    <t>FURCOAT</t>
  </si>
  <si>
    <t>WATERCOMPACTION</t>
  </si>
  <si>
    <t>STEELWORKER</t>
  </si>
  <si>
    <t>PSYCHICSURGE</t>
  </si>
  <si>
    <t>MISTYSURGE</t>
  </si>
  <si>
    <t>ICESCALES</t>
  </si>
  <si>
    <t>SCREENCLEANER</t>
  </si>
  <si>
    <t>STEAMENGINE</t>
  </si>
  <si>
    <t>DRAGONSMAW</t>
  </si>
  <si>
    <t>REALISM</t>
  </si>
  <si>
    <t>CLAYFORM</t>
  </si>
  <si>
    <t>TOXICDEBRIS</t>
  </si>
  <si>
    <t>SUCTIONCUPS</t>
  </si>
  <si>
    <t>SHADOWTAG</t>
  </si>
  <si>
    <t>POISONPOINT</t>
  </si>
  <si>
    <t>STICKYHOLD</t>
  </si>
  <si>
    <t>MARVELSCALE</t>
  </si>
  <si>
    <t>LIQUIDOOZE</t>
  </si>
  <si>
    <t>UNBURDEN</t>
  </si>
  <si>
    <t>SOLARPOWER</t>
  </si>
  <si>
    <t>SCRAPPY</t>
  </si>
  <si>
    <t>HARVEST</t>
  </si>
  <si>
    <t>REFRIGERATE</t>
  </si>
  <si>
    <t>FAIRYAURA</t>
  </si>
  <si>
    <t>AURABREAK</t>
  </si>
  <si>
    <t>STAMINA</t>
  </si>
  <si>
    <t>TRIAGE</t>
  </si>
  <si>
    <t>GALVANIZE</t>
  </si>
  <si>
    <t>INNARDSOUT</t>
  </si>
  <si>
    <t>FULLMETALBODY</t>
  </si>
  <si>
    <t>SHADOWSHIELD</t>
  </si>
  <si>
    <t>TRANSISTOR</t>
  </si>
  <si>
    <t>VENGEFUL</t>
  </si>
  <si>
    <t>NEBULACLOUD</t>
  </si>
  <si>
    <t>PACKEDSNOW</t>
  </si>
  <si>
    <t>COLORCHANGE</t>
  </si>
  <si>
    <t>TRACE</t>
  </si>
  <si>
    <t>PICKUP</t>
  </si>
  <si>
    <t>TORRENT</t>
  </si>
  <si>
    <t>NORMALIZE</t>
  </si>
  <si>
    <t>TOXICBOOST</t>
  </si>
  <si>
    <t>GRASSPELT</t>
  </si>
  <si>
    <t>GOOEY</t>
  </si>
  <si>
    <t>WIMPOUT</t>
  </si>
  <si>
    <t>EMERGENCYEXIT</t>
  </si>
  <si>
    <t>SLUSHRUSH</t>
  </si>
  <si>
    <t>LIQUIDVOICE</t>
  </si>
  <si>
    <t>SURGESURFER</t>
  </si>
  <si>
    <t>TANGLINGHAIR</t>
  </si>
  <si>
    <t>POWEROFALCHEMY</t>
  </si>
  <si>
    <t>PASTELVEIL</t>
  </si>
  <si>
    <t>WANDERINGSPIRIT</t>
  </si>
  <si>
    <t>BLACKLIGHT</t>
  </si>
  <si>
    <t>IRRADIATE</t>
  </si>
  <si>
    <t>LIGHTAURA</t>
  </si>
  <si>
    <t>IRREDEEMABLE</t>
  </si>
  <si>
    <t>DISARRAY</t>
  </si>
  <si>
    <t>PUNKROCK</t>
  </si>
  <si>
    <t>SYNCHRONIZE</t>
  </si>
  <si>
    <t>WATERVEIL</t>
  </si>
  <si>
    <t>CUTECHARM</t>
  </si>
  <si>
    <t>PLUS</t>
  </si>
  <si>
    <t>MINUS</t>
  </si>
  <si>
    <t>VITALSPIRIT</t>
  </si>
  <si>
    <t>PUREPOWER</t>
  </si>
  <si>
    <t>AFTERMATH</t>
  </si>
  <si>
    <t>MULTISCALE</t>
  </si>
  <si>
    <t>SANDRUSH</t>
  </si>
  <si>
    <t>MUMMY</t>
  </si>
  <si>
    <t>PARENTALBOND</t>
  </si>
  <si>
    <t>COTTONDOWN</t>
  </si>
  <si>
    <t>NEUTRALIZINGGAS</t>
  </si>
  <si>
    <t>CURIOUSMEDICINE</t>
  </si>
  <si>
    <t>UNBREAKABLE</t>
  </si>
  <si>
    <t>TORMENTED</t>
  </si>
  <si>
    <t>ROCKYPAYLOAD</t>
  </si>
  <si>
    <t>INSOMNIA</t>
  </si>
  <si>
    <t>ILLUMINATE</t>
  </si>
  <si>
    <t>SANDSTREAM</t>
  </si>
  <si>
    <t>HEATPROOF</t>
  </si>
  <si>
    <t>BADDREAMS</t>
  </si>
  <si>
    <t>PICKPOCKET</t>
  </si>
  <si>
    <t>CONTRARY</t>
  </si>
  <si>
    <t>HEAVYMETAL</t>
  </si>
  <si>
    <t>LIGHTMETAL</t>
  </si>
  <si>
    <t>SAPSIPPER</t>
  </si>
  <si>
    <t>AROMAVEIL</t>
  </si>
  <si>
    <t>MAGICIAN</t>
  </si>
  <si>
    <t>SYMBIOSIS</t>
  </si>
  <si>
    <t>PIXILATE</t>
  </si>
  <si>
    <t>WATERBUBBLE</t>
  </si>
  <si>
    <t>POWERSPOT</t>
  </si>
  <si>
    <t>UNSEENFIST</t>
  </si>
  <si>
    <t>VIRTUOSO</t>
  </si>
  <si>
    <t>SHARPSHOOTER</t>
  </si>
  <si>
    <t>TERMINATOR</t>
  </si>
  <si>
    <t>ANTIGRAVITY</t>
  </si>
  <si>
    <t>BONECOLLECTOR</t>
  </si>
  <si>
    <t>AIRLOCK</t>
  </si>
  <si>
    <t>TANGLEDFEET</t>
  </si>
  <si>
    <t>ANTICIPATION</t>
  </si>
  <si>
    <t>CHEEKPOUCH</t>
  </si>
  <si>
    <t>AERILATE</t>
  </si>
  <si>
    <t>COMATOSE</t>
  </si>
  <si>
    <t>DANCER</t>
  </si>
  <si>
    <t>RECEIVER</t>
  </si>
  <si>
    <t>PRISMARMOR</t>
  </si>
  <si>
    <t>RIPEN</t>
  </si>
  <si>
    <t>SANDSPIT</t>
  </si>
  <si>
    <t>QUICKDRAW</t>
  </si>
  <si>
    <t>IMPENETRABLE</t>
  </si>
  <si>
    <t>POUNCE</t>
  </si>
  <si>
    <t>LEADERSHIP</t>
  </si>
  <si>
    <t>DARKMATTER</t>
  </si>
  <si>
    <t>ASTRALMAJESTY</t>
  </si>
  <si>
    <t>LIGHTBULB</t>
  </si>
  <si>
    <t>TERRORIZE</t>
  </si>
  <si>
    <t>OPAQUENESS</t>
  </si>
  <si>
    <t>PRECISION</t>
  </si>
  <si>
    <t>ANGERSHELL</t>
  </si>
  <si>
    <t>COSTAR</t>
  </si>
  <si>
    <t>AFFECTION</t>
  </si>
  <si>
    <t>SCORCHSCALE</t>
  </si>
  <si>
    <t>WONDERGUARD</t>
  </si>
  <si>
    <t>IMPOSTER</t>
  </si>
  <si>
    <t>JUSTIFIED</t>
  </si>
  <si>
    <t>ZENMODE</t>
  </si>
  <si>
    <t>DISGUISE</t>
  </si>
  <si>
    <t>MIRRORARMOR</t>
  </si>
  <si>
    <t>STEELYSPIRIT</t>
  </si>
  <si>
    <t>HONEYGATHER</t>
  </si>
  <si>
    <t>MAESTRO</t>
  </si>
  <si>
    <t>WINTERGIFT</t>
  </si>
  <si>
    <t>HIVEMIND</t>
  </si>
  <si>
    <t>HIVEBODY</t>
  </si>
  <si>
    <t>REQUIEM</t>
  </si>
  <si>
    <t>QUEENLYMAJESTY</t>
  </si>
  <si>
    <t>DAMP</t>
  </si>
  <si>
    <t>HUGEPOWER</t>
  </si>
  <si>
    <t>TRUANT</t>
  </si>
  <si>
    <t>FORECAST</t>
  </si>
  <si>
    <t>RIVALRY</t>
  </si>
  <si>
    <t>STALL</t>
  </si>
  <si>
    <t>KLUTZ</t>
  </si>
  <si>
    <t>FOREWARN</t>
  </si>
  <si>
    <t>SLOWSTART</t>
  </si>
  <si>
    <t>FRISK</t>
  </si>
  <si>
    <t>MULTITYPE</t>
  </si>
  <si>
    <t>FLOWERGIFT</t>
  </si>
  <si>
    <t>DEFEATIST</t>
  </si>
  <si>
    <t>FLAREBOOST</t>
  </si>
  <si>
    <t>ILLUSION</t>
  </si>
  <si>
    <t>VICTORYSTAR</t>
  </si>
  <si>
    <t>TURBOBLAZE</t>
  </si>
  <si>
    <t>TERAVOLT</t>
  </si>
  <si>
    <t>SWEETVEIL</t>
  </si>
  <si>
    <t>STANCECHANGE</t>
  </si>
  <si>
    <t>PRIMORDIALSEA</t>
  </si>
  <si>
    <t>DESOLATELAND</t>
  </si>
  <si>
    <t>DELTASTREAM</t>
  </si>
  <si>
    <t>SHIELDSDOWN</t>
  </si>
  <si>
    <t>SCHOOLING</t>
  </si>
  <si>
    <t>BATTLEBOND</t>
  </si>
  <si>
    <t>POWERCONSTRUCT</t>
  </si>
  <si>
    <t>SOULHEART</t>
  </si>
  <si>
    <t>BEASTBOOST</t>
  </si>
  <si>
    <t>RKSSYSTEM</t>
  </si>
  <si>
    <t>NEUROFORCE</t>
  </si>
  <si>
    <t>BALLFETCH</t>
  </si>
  <si>
    <t>DAUNTLESSSHIELD</t>
  </si>
  <si>
    <t>GORILLATACTICS</t>
  </si>
  <si>
    <t>GULPMISSILE</t>
  </si>
  <si>
    <t>HUNGERSWITCH</t>
  </si>
  <si>
    <t>ICEFACE</t>
  </si>
  <si>
    <t>INTREPIDSWORD</t>
  </si>
  <si>
    <t>LIBERO</t>
  </si>
  <si>
    <t>MIMICRY</t>
  </si>
  <si>
    <t>PERISHBODY</t>
  </si>
  <si>
    <t>PROPELLERTAIL</t>
  </si>
  <si>
    <t>CHILLINGNEIGH</t>
  </si>
  <si>
    <t>GRIMNEIGH</t>
  </si>
  <si>
    <t>ASONEICE</t>
  </si>
  <si>
    <t>ASONEGHOST</t>
  </si>
  <si>
    <t>WHITEOUT</t>
  </si>
  <si>
    <t>ARSONIST</t>
  </si>
  <si>
    <t>COMETSTORM</t>
  </si>
  <si>
    <t>MAELSTROM</t>
  </si>
  <si>
    <t>HADRONENGINE</t>
  </si>
  <si>
    <t>TROPICALHIDE</t>
  </si>
  <si>
    <t>Ability Listing</t>
  </si>
  <si>
    <t>Dry Skin</t>
  </si>
  <si>
    <t>Queenly Majesty</t>
  </si>
  <si>
    <t>Drizzle</t>
  </si>
  <si>
    <t>Speed Boost</t>
  </si>
  <si>
    <t>Flash Fire</t>
  </si>
  <si>
    <t>Light Aura</t>
  </si>
  <si>
    <t>Opaqueness</t>
  </si>
  <si>
    <t>Gale Wings</t>
  </si>
  <si>
    <t>Arsonist</t>
  </si>
  <si>
    <t>Electric Surge</t>
  </si>
  <si>
    <t>Contrary</t>
  </si>
  <si>
    <t>Sturdy</t>
  </si>
  <si>
    <t>Huge Power</t>
  </si>
  <si>
    <t>Volt Absorb</t>
  </si>
  <si>
    <t>Water Absorb</t>
  </si>
  <si>
    <t>Immunity</t>
  </si>
  <si>
    <t>Lightning Rod</t>
  </si>
  <si>
    <t>Anger Shell</t>
  </si>
  <si>
    <t>Tropical Hide</t>
  </si>
  <si>
    <t>Hadron Engine</t>
  </si>
  <si>
    <t>Affection</t>
  </si>
  <si>
    <t>Disarray</t>
  </si>
  <si>
    <t>Earth Eater</t>
  </si>
  <si>
    <t>Toxic Debris</t>
  </si>
  <si>
    <t>Costar</t>
  </si>
  <si>
    <t>Scorch Scale</t>
  </si>
  <si>
    <t>Hivemind</t>
  </si>
  <si>
    <t>Rocky Payload</t>
  </si>
  <si>
    <t>Irredeemable</t>
  </si>
  <si>
    <t>Intimidate</t>
  </si>
  <si>
    <t>Anti-Gravity</t>
  </si>
  <si>
    <t>Terrorize</t>
  </si>
  <si>
    <t>Light Bulb</t>
  </si>
  <si>
    <t>Comet Storm</t>
  </si>
  <si>
    <t>Wonder Guard</t>
  </si>
  <si>
    <t>Nebula Cloud</t>
  </si>
  <si>
    <t>Spellcaster</t>
  </si>
  <si>
    <t>Virtuoso</t>
  </si>
  <si>
    <t>Astral Majesty</t>
  </si>
  <si>
    <t>Vengeful</t>
  </si>
  <si>
    <t>Winter Gift</t>
  </si>
  <si>
    <t>Dark Matter</t>
  </si>
  <si>
    <t>Leadership</t>
  </si>
  <si>
    <t>Packed Snow</t>
  </si>
  <si>
    <t>Realism</t>
  </si>
  <si>
    <t>Sharpshooter</t>
  </si>
  <si>
    <t>Ethereal</t>
  </si>
  <si>
    <t>Starstruck</t>
  </si>
  <si>
    <t>Irradiate</t>
  </si>
  <si>
    <t>Maestro</t>
  </si>
  <si>
    <t>Levitate</t>
  </si>
  <si>
    <t>Vitality</t>
  </si>
  <si>
    <t>Whiteout</t>
  </si>
  <si>
    <t>Conductor</t>
  </si>
  <si>
    <t>Tormented</t>
  </si>
  <si>
    <t>Genius</t>
  </si>
  <si>
    <t>Quick Draw</t>
  </si>
  <si>
    <t>Pounce</t>
  </si>
  <si>
    <t>Cacophony</t>
  </si>
  <si>
    <t>Pickup</t>
  </si>
  <si>
    <t>Honey Gather</t>
  </si>
  <si>
    <t>As One</t>
  </si>
  <si>
    <t>Chilling Neigh</t>
  </si>
  <si>
    <t>Grim Neigh</t>
  </si>
  <si>
    <t>Dragon's Maw</t>
  </si>
  <si>
    <t>Dishearten</t>
  </si>
  <si>
    <t>Naivety</t>
  </si>
  <si>
    <t>Unseen Fist</t>
  </si>
  <si>
    <t>Maelstrom</t>
  </si>
  <si>
    <t>Black Light</t>
  </si>
  <si>
    <t>Stalwart</t>
  </si>
  <si>
    <t>Steely Spirit</t>
  </si>
  <si>
    <t>Steam Engine</t>
  </si>
  <si>
    <t>Nobility</t>
  </si>
  <si>
    <t>Propeller Tail</t>
  </si>
  <si>
    <t>Serene Grace</t>
  </si>
  <si>
    <t>Perish Body</t>
  </si>
  <si>
    <t>Charisma</t>
  </si>
  <si>
    <t>Bone Collector</t>
  </si>
  <si>
    <t>Intrepid Sword</t>
  </si>
  <si>
    <t>Pastel Veil</t>
  </si>
  <si>
    <t>Mirror Armor</t>
  </si>
  <si>
    <t>Libero</t>
  </si>
  <si>
    <t>Transistor</t>
  </si>
  <si>
    <t>Ice Scales</t>
  </si>
  <si>
    <t>Ice Face</t>
  </si>
  <si>
    <t>Dauntless Shield</t>
  </si>
  <si>
    <t>Terminator</t>
  </si>
  <si>
    <t>Misty Surge</t>
  </si>
  <si>
    <t>Cotton Down</t>
  </si>
  <si>
    <t>Sand Spit</t>
  </si>
  <si>
    <t>Shadow Shield</t>
  </si>
  <si>
    <t>Grassy Surge</t>
  </si>
  <si>
    <t>Psychic Surge</t>
  </si>
  <si>
    <t>Receiver</t>
  </si>
  <si>
    <t>Surge Surfer</t>
  </si>
  <si>
    <t>Neutralizing Gas</t>
  </si>
  <si>
    <t>Dazzling</t>
  </si>
  <si>
    <t>Power of Alchemy</t>
  </si>
  <si>
    <t>Soul Heart</t>
  </si>
  <si>
    <t>Dancer</t>
  </si>
  <si>
    <t>Disguise</t>
  </si>
  <si>
    <t>Fluffy</t>
  </si>
  <si>
    <t>Galvanize</t>
  </si>
  <si>
    <t>Slush Rush</t>
  </si>
  <si>
    <t>Triage</t>
  </si>
  <si>
    <t>Delta Stream</t>
  </si>
  <si>
    <t>Beast Boost</t>
  </si>
  <si>
    <t>Water Bubble</t>
  </si>
  <si>
    <t>Desolate Land</t>
  </si>
  <si>
    <t>Primordial Sea</t>
  </si>
  <si>
    <t>Prankster</t>
  </si>
  <si>
    <t>Fairy Aura</t>
  </si>
  <si>
    <t>Aerilate</t>
  </si>
  <si>
    <t>Competitive</t>
  </si>
  <si>
    <t>Chlorophyll</t>
  </si>
  <si>
    <t>Comatose</t>
  </si>
  <si>
    <t>Bulletproof</t>
  </si>
  <si>
    <t>Fur Coat</t>
  </si>
  <si>
    <t>Defiant</t>
  </si>
  <si>
    <t>Steel Worker</t>
  </si>
  <si>
    <t>Liquid Voice</t>
  </si>
  <si>
    <t>Berserk</t>
  </si>
  <si>
    <t>Protean</t>
  </si>
  <si>
    <t>Snow Warning</t>
  </si>
  <si>
    <t>Scrappy</t>
  </si>
  <si>
    <t>Swift Swim</t>
  </si>
  <si>
    <t>Water Compaction</t>
  </si>
  <si>
    <t>Soundproof</t>
  </si>
  <si>
    <t>Anger Point</t>
  </si>
  <si>
    <t>Aura Break</t>
  </si>
  <si>
    <t>Simple</t>
  </si>
  <si>
    <t>Pixilate</t>
  </si>
  <si>
    <t>Sand Stream</t>
  </si>
  <si>
    <t>Fortification</t>
  </si>
  <si>
    <t>Refrigerate</t>
  </si>
  <si>
    <t>Drought</t>
  </si>
  <si>
    <t>Moody</t>
  </si>
  <si>
    <t>Thick Fat</t>
  </si>
  <si>
    <t>Illusion</t>
  </si>
  <si>
    <t>Innards Out</t>
  </si>
  <si>
    <t>Truant</t>
  </si>
  <si>
    <t>Flower Veil</t>
  </si>
  <si>
    <t>Sand Rush</t>
  </si>
  <si>
    <t>Hustle</t>
  </si>
  <si>
    <t>Multiscale</t>
  </si>
  <si>
    <t>Sweet Veil</t>
  </si>
  <si>
    <t>Torrent</t>
  </si>
  <si>
    <t>Defeatist</t>
  </si>
  <si>
    <t>Weak Armor</t>
  </si>
  <si>
    <t>Flower Gift</t>
  </si>
  <si>
    <t>Blaze</t>
  </si>
  <si>
    <t>Stakeout</t>
  </si>
  <si>
    <t>Overgrow</t>
  </si>
  <si>
    <t>Stamina</t>
  </si>
  <si>
    <t>Swarm</t>
  </si>
  <si>
    <t>Pure Power</t>
  </si>
  <si>
    <t>Magic Bounce</t>
  </si>
  <si>
    <t>Motor Drive</t>
  </si>
  <si>
    <t>Dark Aura</t>
  </si>
  <si>
    <t>Heatproof</t>
  </si>
  <si>
    <t>No Guard</t>
  </si>
  <si>
    <t>Adaptability</t>
  </si>
  <si>
    <t>Download</t>
  </si>
  <si>
    <t>Cursed Body</t>
  </si>
  <si>
    <t>Magic Guard</t>
  </si>
  <si>
    <t>Storm Drain</t>
  </si>
  <si>
    <t>Imposter</t>
  </si>
  <si>
    <t>Justified</t>
  </si>
  <si>
    <t>Corrosion</t>
  </si>
  <si>
    <t>Sap Sipper</t>
  </si>
  <si>
    <t>Rattled</t>
  </si>
  <si>
    <t>S</t>
  </si>
  <si>
    <t>D</t>
  </si>
  <si>
    <t>B</t>
  </si>
  <si>
    <t>A</t>
  </si>
  <si>
    <t>C</t>
  </si>
  <si>
    <t>NAIVETY</t>
  </si>
  <si>
    <t>NO</t>
  </si>
  <si>
    <t>Rune</t>
  </si>
  <si>
    <t/>
  </si>
  <si>
    <t>:</t>
  </si>
  <si>
    <t xml:space="preserve">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</si>
</sst>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3" fillId="0" borderId="0" xfId="0" applyFont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53687</xdr:colOff>
      <xdr:row>4</xdr:row>
      <xdr:rowOff>184440</xdr:rowOff>
    </xdr:from>
    <xdr:to>
      <xdr:col>56</xdr:col>
      <xdr:colOff>559379</xdr:colOff>
      <xdr:row>37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37405C-929F-4A8E-9F4E-7575D92340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6296" b="10093"/>
        <a:stretch/>
      </xdr:blipFill>
      <xdr:spPr bwMode="auto">
        <a:xfrm>
          <a:off x="32940914" y="1327440"/>
          <a:ext cx="18083646" cy="448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519545</xdr:colOff>
      <xdr:row>30</xdr:row>
      <xdr:rowOff>155864</xdr:rowOff>
    </xdr:from>
    <xdr:to>
      <xdr:col>56</xdr:col>
      <xdr:colOff>529936</xdr:colOff>
      <xdr:row>67</xdr:row>
      <xdr:rowOff>34636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4A681F-CE19-4213-8CF4-E66238F40E8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0438"/>
        <a:stretch/>
      </xdr:blipFill>
      <xdr:spPr bwMode="auto">
        <a:xfrm>
          <a:off x="32800636" y="6251864"/>
          <a:ext cx="18194482" cy="40697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A9DE-5DE1-4911-A3F6-C53E9466CE78}">
  <dimension ref="A1:Q34"/>
  <sheetViews>
    <sheetView tabSelected="1" zoomScale="70" zoomScaleNormal="70" workbookViewId="0"/>
  </sheetViews>
  <sheetFormatPr defaultRowHeight="15" x14ac:dyDescent="0.25"/>
  <cols>
    <col min="1" max="1" width="18" customWidth="1"/>
    <col min="2" max="2" width="25.42578125" customWidth="1"/>
    <col min="3" max="3" width="31.7109375" customWidth="1"/>
    <col min="4" max="4" width="5" customWidth="1"/>
    <col min="5" max="5" width="15.85546875" customWidth="1"/>
    <col min="6" max="6" width="29.28515625" bestFit="1" customWidth="1"/>
    <col min="7" max="11" width="9.85546875" customWidth="1"/>
    <col min="12" max="12" width="7.140625" customWidth="1"/>
    <col min="13" max="14" width="20.5703125" customWidth="1"/>
    <col min="15" max="15" width="47.7109375" customWidth="1"/>
    <col min="16" max="16" width="43.5703125" customWidth="1"/>
    <col min="17" max="17" width="20.5703125" customWidth="1"/>
    <col min="18" max="18" width="16.42578125" bestFit="1" customWidth="1"/>
    <col min="20" max="20" width="47.7109375" customWidth="1"/>
  </cols>
  <sheetData>
    <row r="1" spans="1:17" x14ac:dyDescent="0.25">
      <c r="A1" s="4" t="s">
        <v>0</v>
      </c>
      <c r="B1" s="4" t="s">
        <v>1</v>
      </c>
      <c r="C1" s="4" t="s">
        <v>2</v>
      </c>
      <c r="F1" s="6" t="s">
        <v>747</v>
      </c>
      <c r="G1" s="6" t="s">
        <v>740</v>
      </c>
      <c r="H1" s="6" t="s">
        <v>743</v>
      </c>
      <c r="I1" s="6" t="s">
        <v>742</v>
      </c>
      <c r="J1" s="6" t="s">
        <v>744</v>
      </c>
      <c r="K1" s="6" t="s">
        <v>741</v>
      </c>
    </row>
    <row r="2" spans="1:17" x14ac:dyDescent="0.25">
      <c r="A2">
        <v>1</v>
      </c>
      <c r="B2" t="s">
        <v>3</v>
      </c>
      <c r="C2" t="s">
        <v>68</v>
      </c>
      <c r="F2" t="str">
        <f>UPPER(SUBSTITUTE(C2," ",""))</f>
        <v>LIQUIDOOZE</v>
      </c>
      <c r="G2" t="str">
        <f>INDEX(Formatted!$A$2:$F$331, MATCH($F2, Formatted!$A$2:$A$331, 0), 2)</f>
        <v/>
      </c>
      <c r="H2" t="str">
        <f>INDEX(Formatted!$A$2:$F$331, MATCH($F2, Formatted!$A$2:$A$331, 0), 3)</f>
        <v/>
      </c>
      <c r="I2" t="str">
        <f>INDEX(Formatted!$A$2:$F$331, MATCH($F2, Formatted!$A$2:$A$331, 0), 4)</f>
        <v/>
      </c>
      <c r="J2" t="str">
        <f>INDEX(Formatted!$A$2:$F$331, MATCH($F2, Formatted!$A$2:$A$331, 0), 5)</f>
        <v>C</v>
      </c>
      <c r="K2" t="str">
        <f>INDEX(Formatted!$A$2:$F$331, MATCH($F2, Formatted!$A$2:$A$331, 0), 6)</f>
        <v/>
      </c>
      <c r="L2" t="s">
        <v>749</v>
      </c>
      <c r="M2" t="str">
        <f>"RUNE"&amp;TEXT(A2,"0#")&amp;"_"&amp;TEXT(UPPER(F2),"general")</f>
        <v>RUNE01_LIQUIDOOZE</v>
      </c>
      <c r="N2" t="s">
        <v>750</v>
      </c>
      <c r="O2" t="str">
        <f>L2&amp;M2&amp;N2</f>
        <v xml:space="preserve">:RUNE01_LIQUIDOOZE, </v>
      </c>
      <c r="P2" t="str">
        <f>O2&amp;O3&amp;O4&amp;O5&amp;O6&amp;O7&amp;O8&amp;O9&amp;O10&amp;O11&amp;O12</f>
        <v xml:space="preserve">:RUNE01_LIQUIDOOZE, :RUNE02_AFTERMATH, :RUNE03_SANDVEIL, :RUNE04_SNOWCLOAK, :RUNE05_VITALSPIRIT, :RUNE06_SYNCHRONIZE, :RUNE07_UNNERVE, :RUNE08_POISONPOINT, :RUNE09_NATURALCURE, :RUNE10_HEALER, :RUNE11_ICEBODY, </v>
      </c>
      <c r="Q2" t="str">
        <f>P2&amp;P13&amp;P24</f>
        <v xml:space="preserve">:RUNE01_LIQUIDOOZE, :RUNE02_AFTERMATH, :RUNE03_SANDVEIL, :RUNE04_SNOWCLOAK, :RUNE05_VITALSPIRIT, :RUNE06_SYNCHRONIZE, :RUNE07_UNNERVE, :RUNE08_POISONPOINT, :RUNE09_NATURALCURE, :RUNE10_HEALER, :RUNE11_ICEBODY, :RUNE12_CLAYFORM, :RUNE13_SYNTHESIZE, :RUNE14_RAINDISH, :RUNE15_BATTLEARMOR, :RUNE16_FLAMEBODY, :RUNE17_MOLDBREAKER, :RUNE18_SHIELDDUST, :RUNE19_INFILTRATOR, :RUNE20_ANALYTIC, :RUNE21_STATIC, :RUNE22_COMPOUNDEYES, :RUNE23_TOUGHCLAWS, :RUNE24_RIVALRY, :RUNE25_SNIPER, :RUNE26_IMPENETRABLE, :RUNE27_TELEPATHY, :RUNE28_GOOEY, :RUNE29_INNERFOCUS, :RUNE30_PRISMARMOR, :RUNE31_ARENATRAP, :RUNE32_CLEARBODY, :RUNE33_PASTELVEIL, </v>
      </c>
    </row>
    <row r="3" spans="1:17" x14ac:dyDescent="0.25">
      <c r="A3">
        <f t="shared" ref="A3:A34" si="0">A2+1</f>
        <v>2</v>
      </c>
      <c r="B3" t="s">
        <v>4</v>
      </c>
      <c r="C3" t="s">
        <v>80</v>
      </c>
      <c r="F3" t="str">
        <f>UPPER(SUBSTITUTE(C3," ",""))</f>
        <v>AFTERMATH</v>
      </c>
      <c r="G3" t="str">
        <f>INDEX(Formatted!$A$2:$F$331, MATCH($F3, Formatted!$A$2:$A$331, 0), 2)</f>
        <v/>
      </c>
      <c r="H3" t="str">
        <f>INDEX(Formatted!$A$2:$F$331, MATCH($F3, Formatted!$A$2:$A$331, 0), 3)</f>
        <v/>
      </c>
      <c r="I3" t="str">
        <f>INDEX(Formatted!$A$2:$F$331, MATCH($F3, Formatted!$A$2:$A$331, 0), 4)</f>
        <v/>
      </c>
      <c r="J3" t="str">
        <f>INDEX(Formatted!$A$2:$F$331, MATCH($F3, Formatted!$A$2:$A$331, 0), 5)</f>
        <v>C</v>
      </c>
      <c r="K3" t="str">
        <f>INDEX(Formatted!$A$2:$F$331, MATCH($F3, Formatted!$A$2:$A$331, 0), 6)</f>
        <v/>
      </c>
      <c r="L3" t="s">
        <v>749</v>
      </c>
      <c r="M3" t="str">
        <f t="shared" ref="M3:M34" si="1">"RUNE"&amp;TEXT(A3,"0#")&amp;"_"&amp;TEXT(UPPER(F3),"general")</f>
        <v>RUNE02_AFTERMATH</v>
      </c>
      <c r="N3" t="s">
        <v>750</v>
      </c>
      <c r="O3" t="str">
        <f t="shared" ref="O3:O34" si="2">L3&amp;M3&amp;N3</f>
        <v xml:space="preserve">:RUNE02_AFTERMATH, </v>
      </c>
    </row>
    <row r="4" spans="1:17" x14ac:dyDescent="0.25">
      <c r="A4">
        <f t="shared" si="0"/>
        <v>3</v>
      </c>
      <c r="B4" t="s">
        <v>5</v>
      </c>
      <c r="C4" t="s">
        <v>36</v>
      </c>
      <c r="F4" t="str">
        <f t="shared" ref="F4:F29" si="3">UPPER(SUBSTITUTE(C4," ",""))</f>
        <v>SANDVEIL</v>
      </c>
      <c r="G4" t="str">
        <f>INDEX(Formatted!$A$2:$F$331, MATCH($F4, Formatted!$A$2:$A$331, 0), 2)</f>
        <v/>
      </c>
      <c r="H4" t="str">
        <f>INDEX(Formatted!$A$2:$F$331, MATCH($F4, Formatted!$A$2:$A$331, 0), 3)</f>
        <v/>
      </c>
      <c r="I4" t="str">
        <f>INDEX(Formatted!$A$2:$F$331, MATCH($F4, Formatted!$A$2:$A$331, 0), 4)</f>
        <v/>
      </c>
      <c r="J4" t="str">
        <f>INDEX(Formatted!$A$2:$F$331, MATCH($F4, Formatted!$A$2:$A$331, 0), 5)</f>
        <v>C</v>
      </c>
      <c r="K4" t="str">
        <f>INDEX(Formatted!$A$2:$F$331, MATCH($F4, Formatted!$A$2:$A$331, 0), 6)</f>
        <v/>
      </c>
      <c r="L4" t="s">
        <v>749</v>
      </c>
      <c r="M4" t="str">
        <f t="shared" si="1"/>
        <v>RUNE03_SANDVEIL</v>
      </c>
      <c r="N4" t="s">
        <v>750</v>
      </c>
      <c r="O4" t="str">
        <f t="shared" si="2"/>
        <v xml:space="preserve">:RUNE03_SANDVEIL, </v>
      </c>
    </row>
    <row r="5" spans="1:17" x14ac:dyDescent="0.25">
      <c r="A5">
        <f t="shared" si="0"/>
        <v>4</v>
      </c>
      <c r="B5" t="s">
        <v>6</v>
      </c>
      <c r="C5" t="s">
        <v>72</v>
      </c>
      <c r="F5" t="str">
        <f t="shared" si="3"/>
        <v>SNOWCLOAK</v>
      </c>
      <c r="G5" t="str">
        <f>INDEX(Formatted!$A$2:$F$331, MATCH($F5, Formatted!$A$2:$A$331, 0), 2)</f>
        <v/>
      </c>
      <c r="H5" t="str">
        <f>INDEX(Formatted!$A$2:$F$331, MATCH($F5, Formatted!$A$2:$A$331, 0), 3)</f>
        <v/>
      </c>
      <c r="I5" t="str">
        <f>INDEX(Formatted!$A$2:$F$331, MATCH($F5, Formatted!$A$2:$A$331, 0), 4)</f>
        <v/>
      </c>
      <c r="J5" t="str">
        <f>INDEX(Formatted!$A$2:$F$331, MATCH($F5, Formatted!$A$2:$A$331, 0), 5)</f>
        <v>C</v>
      </c>
      <c r="K5" t="str">
        <f>INDEX(Formatted!$A$2:$F$331, MATCH($F5, Formatted!$A$2:$A$331, 0), 6)</f>
        <v/>
      </c>
      <c r="L5" t="s">
        <v>749</v>
      </c>
      <c r="M5" t="str">
        <f t="shared" si="1"/>
        <v>RUNE04_SNOWCLOAK</v>
      </c>
      <c r="N5" t="s">
        <v>750</v>
      </c>
      <c r="O5" t="str">
        <f t="shared" si="2"/>
        <v xml:space="preserve">:RUNE04_SNOWCLOAK, </v>
      </c>
    </row>
    <row r="6" spans="1:17" x14ac:dyDescent="0.25">
      <c r="A6">
        <f t="shared" si="0"/>
        <v>5</v>
      </c>
      <c r="B6" t="s">
        <v>7</v>
      </c>
      <c r="C6" t="s">
        <v>66</v>
      </c>
      <c r="F6" t="str">
        <f t="shared" si="3"/>
        <v>VITALSPIRIT</v>
      </c>
      <c r="G6" t="str">
        <f>INDEX(Formatted!$A$2:$F$331, MATCH($F6, Formatted!$A$2:$A$331, 0), 2)</f>
        <v/>
      </c>
      <c r="H6" t="str">
        <f>INDEX(Formatted!$A$2:$F$331, MATCH($F6, Formatted!$A$2:$A$331, 0), 3)</f>
        <v/>
      </c>
      <c r="I6" t="str">
        <f>INDEX(Formatted!$A$2:$F$331, MATCH($F6, Formatted!$A$2:$A$331, 0), 4)</f>
        <v/>
      </c>
      <c r="J6" t="str">
        <f>INDEX(Formatted!$A$2:$F$331, MATCH($F6, Formatted!$A$2:$A$331, 0), 5)</f>
        <v>C</v>
      </c>
      <c r="K6" t="str">
        <f>INDEX(Formatted!$A$2:$F$331, MATCH($F6, Formatted!$A$2:$A$331, 0), 6)</f>
        <v/>
      </c>
      <c r="L6" t="s">
        <v>749</v>
      </c>
      <c r="M6" t="str">
        <f t="shared" si="1"/>
        <v>RUNE05_VITALSPIRIT</v>
      </c>
      <c r="N6" t="s">
        <v>750</v>
      </c>
      <c r="O6" t="str">
        <f t="shared" si="2"/>
        <v xml:space="preserve">:RUNE05_VITALSPIRIT, </v>
      </c>
    </row>
    <row r="7" spans="1:17" x14ac:dyDescent="0.25">
      <c r="A7">
        <f t="shared" si="0"/>
        <v>6</v>
      </c>
      <c r="B7" t="s">
        <v>8</v>
      </c>
      <c r="C7" t="s">
        <v>48</v>
      </c>
      <c r="F7" t="str">
        <f t="shared" si="3"/>
        <v>SYNCHRONIZE</v>
      </c>
      <c r="G7" t="str">
        <f>INDEX(Formatted!$A$2:$F$331, MATCH($F7, Formatted!$A$2:$A$331, 0), 2)</f>
        <v/>
      </c>
      <c r="H7" t="str">
        <f>INDEX(Formatted!$A$2:$F$331, MATCH($F7, Formatted!$A$2:$A$331, 0), 3)</f>
        <v/>
      </c>
      <c r="I7" t="str">
        <f>INDEX(Formatted!$A$2:$F$331, MATCH($F7, Formatted!$A$2:$A$331, 0), 4)</f>
        <v/>
      </c>
      <c r="J7" t="str">
        <f>INDEX(Formatted!$A$2:$F$331, MATCH($F7, Formatted!$A$2:$A$331, 0), 5)</f>
        <v>C</v>
      </c>
      <c r="K7" t="str">
        <f>INDEX(Formatted!$A$2:$F$331, MATCH($F7, Formatted!$A$2:$A$331, 0), 6)</f>
        <v/>
      </c>
      <c r="L7" t="s">
        <v>749</v>
      </c>
      <c r="M7" t="str">
        <f t="shared" si="1"/>
        <v>RUNE06_SYNCHRONIZE</v>
      </c>
      <c r="N7" t="s">
        <v>750</v>
      </c>
      <c r="O7" t="str">
        <f t="shared" si="2"/>
        <v xml:space="preserve">:RUNE06_SYNCHRONIZE, </v>
      </c>
    </row>
    <row r="8" spans="1:17" x14ac:dyDescent="0.25">
      <c r="A8">
        <f t="shared" si="0"/>
        <v>7</v>
      </c>
      <c r="B8" t="s">
        <v>9</v>
      </c>
      <c r="C8" t="s">
        <v>95</v>
      </c>
      <c r="F8" t="str">
        <f t="shared" si="3"/>
        <v>UNNERVE</v>
      </c>
      <c r="G8" t="str">
        <f>INDEX(Formatted!$A$2:$F$331, MATCH($F8, Formatted!$A$2:$A$331, 0), 2)</f>
        <v/>
      </c>
      <c r="H8" t="str">
        <f>INDEX(Formatted!$A$2:$F$331, MATCH($F8, Formatted!$A$2:$A$331, 0), 3)</f>
        <v/>
      </c>
      <c r="I8" t="str">
        <f>INDEX(Formatted!$A$2:$F$331, MATCH($F8, Formatted!$A$2:$A$331, 0), 4)</f>
        <v/>
      </c>
      <c r="J8" t="str">
        <f>INDEX(Formatted!$A$2:$F$331, MATCH($F8, Formatted!$A$2:$A$331, 0), 5)</f>
        <v>C</v>
      </c>
      <c r="K8" t="str">
        <f>INDEX(Formatted!$A$2:$F$331, MATCH($F8, Formatted!$A$2:$A$331, 0), 6)</f>
        <v/>
      </c>
      <c r="L8" t="s">
        <v>749</v>
      </c>
      <c r="M8" t="str">
        <f t="shared" si="1"/>
        <v>RUNE07_UNNERVE</v>
      </c>
      <c r="N8" t="s">
        <v>750</v>
      </c>
      <c r="O8" t="str">
        <f t="shared" si="2"/>
        <v xml:space="preserve">:RUNE07_UNNERVE, </v>
      </c>
    </row>
    <row r="9" spans="1:17" x14ac:dyDescent="0.25">
      <c r="A9">
        <f t="shared" si="0"/>
        <v>8</v>
      </c>
      <c r="B9" t="s">
        <v>10</v>
      </c>
      <c r="C9" t="s">
        <v>51</v>
      </c>
      <c r="F9" t="str">
        <f t="shared" si="3"/>
        <v>POISONPOINT</v>
      </c>
      <c r="G9" t="str">
        <f>INDEX(Formatted!$A$2:$F$331, MATCH($F9, Formatted!$A$2:$A$331, 0), 2)</f>
        <v/>
      </c>
      <c r="H9" t="str">
        <f>INDEX(Formatted!$A$2:$F$331, MATCH($F9, Formatted!$A$2:$A$331, 0), 3)</f>
        <v/>
      </c>
      <c r="I9" t="str">
        <f>INDEX(Formatted!$A$2:$F$331, MATCH($F9, Formatted!$A$2:$A$331, 0), 4)</f>
        <v/>
      </c>
      <c r="J9" t="str">
        <f>INDEX(Formatted!$A$2:$F$331, MATCH($F9, Formatted!$A$2:$A$331, 0), 5)</f>
        <v>C</v>
      </c>
      <c r="K9" t="str">
        <f>INDEX(Formatted!$A$2:$F$331, MATCH($F9, Formatted!$A$2:$A$331, 0), 6)</f>
        <v/>
      </c>
      <c r="L9" t="s">
        <v>749</v>
      </c>
      <c r="M9" t="str">
        <f t="shared" si="1"/>
        <v>RUNE08_POISONPOINT</v>
      </c>
      <c r="N9" t="s">
        <v>750</v>
      </c>
      <c r="O9" t="str">
        <f t="shared" si="2"/>
        <v xml:space="preserve">:RUNE08_POISONPOINT, </v>
      </c>
    </row>
    <row r="10" spans="1:17" x14ac:dyDescent="0.25">
      <c r="A10">
        <f t="shared" si="0"/>
        <v>9</v>
      </c>
      <c r="B10" t="s">
        <v>11</v>
      </c>
      <c r="C10" t="s">
        <v>49</v>
      </c>
      <c r="F10" t="str">
        <f t="shared" si="3"/>
        <v>NATURALCURE</v>
      </c>
      <c r="G10" t="str">
        <f>INDEX(Formatted!$A$2:$F$331, MATCH($F10, Formatted!$A$2:$A$331, 0), 2)</f>
        <v/>
      </c>
      <c r="H10" t="str">
        <f>INDEX(Formatted!$A$2:$F$331, MATCH($F10, Formatted!$A$2:$A$331, 0), 3)</f>
        <v/>
      </c>
      <c r="I10" t="str">
        <f>INDEX(Formatted!$A$2:$F$331, MATCH($F10, Formatted!$A$2:$A$331, 0), 4)</f>
        <v/>
      </c>
      <c r="J10" t="str">
        <f>INDEX(Formatted!$A$2:$F$331, MATCH($F10, Formatted!$A$2:$A$331, 0), 5)</f>
        <v>C</v>
      </c>
      <c r="K10" t="str">
        <f>INDEX(Formatted!$A$2:$F$331, MATCH($F10, Formatted!$A$2:$A$331, 0), 6)</f>
        <v/>
      </c>
      <c r="L10" t="s">
        <v>749</v>
      </c>
      <c r="M10" t="str">
        <f t="shared" si="1"/>
        <v>RUNE09_NATURALCURE</v>
      </c>
      <c r="N10" t="s">
        <v>750</v>
      </c>
      <c r="O10" t="str">
        <f t="shared" si="2"/>
        <v xml:space="preserve">:RUNE09_NATURALCURE, </v>
      </c>
    </row>
    <row r="11" spans="1:17" x14ac:dyDescent="0.25">
      <c r="A11">
        <f t="shared" si="0"/>
        <v>10</v>
      </c>
      <c r="B11" t="s">
        <v>12</v>
      </c>
      <c r="C11" t="s">
        <v>96</v>
      </c>
      <c r="F11" t="str">
        <f t="shared" si="3"/>
        <v>HEALER</v>
      </c>
      <c r="G11" t="str">
        <f>INDEX(Formatted!$A$2:$F$331, MATCH($F11, Formatted!$A$2:$A$331, 0), 2)</f>
        <v/>
      </c>
      <c r="H11" t="str">
        <f>INDEX(Formatted!$A$2:$F$331, MATCH($F11, Formatted!$A$2:$A$331, 0), 3)</f>
        <v/>
      </c>
      <c r="I11" t="str">
        <f>INDEX(Formatted!$A$2:$F$331, MATCH($F11, Formatted!$A$2:$A$331, 0), 4)</f>
        <v/>
      </c>
      <c r="J11" t="str">
        <f>INDEX(Formatted!$A$2:$F$331, MATCH($F11, Formatted!$A$2:$A$331, 0), 5)</f>
        <v>C</v>
      </c>
      <c r="K11" t="str">
        <f>INDEX(Formatted!$A$2:$F$331, MATCH($F11, Formatted!$A$2:$A$331, 0), 6)</f>
        <v/>
      </c>
      <c r="L11" t="s">
        <v>749</v>
      </c>
      <c r="M11" t="str">
        <f t="shared" si="1"/>
        <v>RUNE10_HEALER</v>
      </c>
      <c r="N11" t="s">
        <v>750</v>
      </c>
      <c r="O11" t="str">
        <f t="shared" si="2"/>
        <v xml:space="preserve">:RUNE10_HEALER, </v>
      </c>
    </row>
    <row r="12" spans="1:17" x14ac:dyDescent="0.25">
      <c r="A12">
        <f t="shared" si="0"/>
        <v>11</v>
      </c>
      <c r="B12" t="s">
        <v>13</v>
      </c>
      <c r="C12" t="s">
        <v>86</v>
      </c>
      <c r="F12" t="str">
        <f t="shared" si="3"/>
        <v>ICEBODY</v>
      </c>
      <c r="G12" t="str">
        <f>INDEX(Formatted!$A$2:$F$331, MATCH($F12, Formatted!$A$2:$A$331, 0), 2)</f>
        <v/>
      </c>
      <c r="H12" t="str">
        <f>INDEX(Formatted!$A$2:$F$331, MATCH($F12, Formatted!$A$2:$A$331, 0), 3)</f>
        <v/>
      </c>
      <c r="I12" t="str">
        <f>INDEX(Formatted!$A$2:$F$331, MATCH($F12, Formatted!$A$2:$A$331, 0), 4)</f>
        <v/>
      </c>
      <c r="J12" t="str">
        <f>INDEX(Formatted!$A$2:$F$331, MATCH($F12, Formatted!$A$2:$A$331, 0), 5)</f>
        <v>C</v>
      </c>
      <c r="K12" t="str">
        <f>INDEX(Formatted!$A$2:$F$331, MATCH($F12, Formatted!$A$2:$A$331, 0), 6)</f>
        <v/>
      </c>
      <c r="L12" t="s">
        <v>749</v>
      </c>
      <c r="M12" t="str">
        <f t="shared" si="1"/>
        <v>RUNE11_ICEBODY</v>
      </c>
      <c r="N12" t="s">
        <v>750</v>
      </c>
      <c r="O12" t="str">
        <f t="shared" si="2"/>
        <v xml:space="preserve">:RUNE11_ICEBODY, </v>
      </c>
    </row>
    <row r="13" spans="1:17" x14ac:dyDescent="0.25">
      <c r="A13">
        <f t="shared" si="0"/>
        <v>12</v>
      </c>
      <c r="B13" t="s">
        <v>14</v>
      </c>
      <c r="C13" t="s">
        <v>104</v>
      </c>
      <c r="F13" t="str">
        <f t="shared" si="3"/>
        <v>CLAYFORM</v>
      </c>
      <c r="G13" t="str">
        <f>INDEX(Formatted!$A$2:$F$331, MATCH($F13, Formatted!$A$2:$A$331, 0), 2)</f>
        <v/>
      </c>
      <c r="H13" t="str">
        <f>INDEX(Formatted!$A$2:$F$331, MATCH($F13, Formatted!$A$2:$A$331, 0), 3)</f>
        <v/>
      </c>
      <c r="I13" t="str">
        <f>INDEX(Formatted!$A$2:$F$331, MATCH($F13, Formatted!$A$2:$A$331, 0), 4)</f>
        <v/>
      </c>
      <c r="J13" t="str">
        <f>INDEX(Formatted!$A$2:$F$331, MATCH($F13, Formatted!$A$2:$A$331, 0), 5)</f>
        <v>C</v>
      </c>
      <c r="K13" t="str">
        <f>INDEX(Formatted!$A$2:$F$331, MATCH($F13, Formatted!$A$2:$A$331, 0), 6)</f>
        <v/>
      </c>
      <c r="L13" t="s">
        <v>749</v>
      </c>
      <c r="M13" t="str">
        <f t="shared" si="1"/>
        <v>RUNE12_CLAYFORM</v>
      </c>
      <c r="N13" t="s">
        <v>750</v>
      </c>
      <c r="O13" t="str">
        <f t="shared" si="2"/>
        <v xml:space="preserve">:RUNE12_CLAYFORM, </v>
      </c>
      <c r="P13" t="str">
        <f>O13&amp;O14&amp;O15&amp;O16&amp;O17&amp;O18&amp;O19&amp;O20&amp;O21&amp;O22&amp;O23</f>
        <v xml:space="preserve">:RUNE12_CLAYFORM, :RUNE13_SYNTHESIZE, :RUNE14_RAINDISH, :RUNE15_BATTLEARMOR, :RUNE16_FLAMEBODY, :RUNE17_MOLDBREAKER, :RUNE18_SHIELDDUST, :RUNE19_INFILTRATOR, :RUNE20_ANALYTIC, :RUNE21_STATIC, :RUNE22_COMPOUNDEYES, </v>
      </c>
    </row>
    <row r="14" spans="1:17" x14ac:dyDescent="0.25">
      <c r="A14">
        <f t="shared" si="0"/>
        <v>13</v>
      </c>
      <c r="B14" t="s">
        <v>15</v>
      </c>
      <c r="C14" t="s">
        <v>126</v>
      </c>
      <c r="F14" t="str">
        <f t="shared" si="3"/>
        <v>SYNTHESIZE</v>
      </c>
      <c r="G14" t="str">
        <f>INDEX(Formatted!$A$2:$F$331, MATCH($F14, Formatted!$A$2:$A$331, 0), 2)</f>
        <v/>
      </c>
      <c r="H14" t="str">
        <f>INDEX(Formatted!$A$2:$F$331, MATCH($F14, Formatted!$A$2:$A$331, 0), 3)</f>
        <v/>
      </c>
      <c r="I14" t="str">
        <f>INDEX(Formatted!$A$2:$F$331, MATCH($F14, Formatted!$A$2:$A$331, 0), 4)</f>
        <v/>
      </c>
      <c r="J14" t="str">
        <f>INDEX(Formatted!$A$2:$F$331, MATCH($F14, Formatted!$A$2:$A$331, 0), 5)</f>
        <v>C</v>
      </c>
      <c r="K14" t="str">
        <f>INDEX(Formatted!$A$2:$F$331, MATCH($F14, Formatted!$A$2:$A$331, 0), 6)</f>
        <v/>
      </c>
      <c r="L14" t="s">
        <v>749</v>
      </c>
      <c r="M14" t="str">
        <f t="shared" si="1"/>
        <v>RUNE13_SYNTHESIZE</v>
      </c>
      <c r="N14" t="s">
        <v>750</v>
      </c>
      <c r="O14" t="str">
        <f t="shared" si="2"/>
        <v xml:space="preserve">:RUNE13_SYNTHESIZE, </v>
      </c>
    </row>
    <row r="15" spans="1:17" x14ac:dyDescent="0.25">
      <c r="A15">
        <f t="shared" si="0"/>
        <v>14</v>
      </c>
      <c r="B15" t="s">
        <v>16</v>
      </c>
      <c r="C15" t="s">
        <v>54</v>
      </c>
      <c r="F15" t="str">
        <f t="shared" si="3"/>
        <v>RAINDISH</v>
      </c>
      <c r="G15" t="str">
        <f>INDEX(Formatted!$A$2:$F$331, MATCH($F15, Formatted!$A$2:$A$331, 0), 2)</f>
        <v/>
      </c>
      <c r="H15" t="str">
        <f>INDEX(Formatted!$A$2:$F$331, MATCH($F15, Formatted!$A$2:$A$331, 0), 3)</f>
        <v/>
      </c>
      <c r="I15" t="str">
        <f>INDEX(Formatted!$A$2:$F$331, MATCH($F15, Formatted!$A$2:$A$331, 0), 4)</f>
        <v/>
      </c>
      <c r="J15" t="str">
        <f>INDEX(Formatted!$A$2:$F$331, MATCH($F15, Formatted!$A$2:$A$331, 0), 5)</f>
        <v>C</v>
      </c>
      <c r="K15" t="str">
        <f>INDEX(Formatted!$A$2:$F$331, MATCH($F15, Formatted!$A$2:$A$331, 0), 6)</f>
        <v/>
      </c>
      <c r="L15" t="s">
        <v>749</v>
      </c>
      <c r="M15" t="str">
        <f t="shared" si="1"/>
        <v>RUNE14_RAINDISH</v>
      </c>
      <c r="N15" t="s">
        <v>750</v>
      </c>
      <c r="O15" t="str">
        <f t="shared" si="2"/>
        <v xml:space="preserve">:RUNE14_RAINDISH, </v>
      </c>
    </row>
    <row r="16" spans="1:17" x14ac:dyDescent="0.25">
      <c r="A16">
        <f t="shared" si="0"/>
        <v>15</v>
      </c>
      <c r="B16" t="s">
        <v>17</v>
      </c>
      <c r="C16" t="s">
        <v>222</v>
      </c>
      <c r="F16" t="str">
        <f t="shared" si="3"/>
        <v>BATTLEARMOR</v>
      </c>
      <c r="G16" t="str">
        <f>INDEX(Formatted!$A$2:$F$331, MATCH($F16, Formatted!$A$2:$A$331, 0), 2)</f>
        <v/>
      </c>
      <c r="H16" t="str">
        <f>INDEX(Formatted!$A$2:$F$331, MATCH($F16, Formatted!$A$2:$A$331, 0), 3)</f>
        <v/>
      </c>
      <c r="I16" t="str">
        <f>INDEX(Formatted!$A$2:$F$331, MATCH($F16, Formatted!$A$2:$A$331, 0), 4)</f>
        <v/>
      </c>
      <c r="J16" t="str">
        <f>INDEX(Formatted!$A$2:$F$331, MATCH($F16, Formatted!$A$2:$A$331, 0), 5)</f>
        <v>C</v>
      </c>
      <c r="K16" t="str">
        <f>INDEX(Formatted!$A$2:$F$331, MATCH($F16, Formatted!$A$2:$A$331, 0), 6)</f>
        <v/>
      </c>
      <c r="L16" t="s">
        <v>749</v>
      </c>
      <c r="M16" t="str">
        <f t="shared" si="1"/>
        <v>RUNE15_BATTLEARMOR</v>
      </c>
      <c r="N16" t="s">
        <v>750</v>
      </c>
      <c r="O16" t="str">
        <f t="shared" si="2"/>
        <v xml:space="preserve">:RUNE15_BATTLEARMOR, </v>
      </c>
    </row>
    <row r="17" spans="1:16" x14ac:dyDescent="0.25">
      <c r="A17">
        <f t="shared" si="0"/>
        <v>16</v>
      </c>
      <c r="B17" t="s">
        <v>18</v>
      </c>
      <c r="C17" t="s">
        <v>57</v>
      </c>
      <c r="F17" t="str">
        <f t="shared" si="3"/>
        <v>FLAMEBODY</v>
      </c>
      <c r="G17" t="str">
        <f>INDEX(Formatted!$A$2:$F$331, MATCH($F17, Formatted!$A$2:$A$331, 0), 2)</f>
        <v/>
      </c>
      <c r="H17" t="str">
        <f>INDEX(Formatted!$A$2:$F$331, MATCH($F17, Formatted!$A$2:$A$331, 0), 3)</f>
        <v/>
      </c>
      <c r="I17" t="str">
        <f>INDEX(Formatted!$A$2:$F$331, MATCH($F17, Formatted!$A$2:$A$331, 0), 4)</f>
        <v/>
      </c>
      <c r="J17" t="str">
        <f>INDEX(Formatted!$A$2:$F$331, MATCH($F17, Formatted!$A$2:$A$331, 0), 5)</f>
        <v>C</v>
      </c>
      <c r="K17" t="str">
        <f>INDEX(Formatted!$A$2:$F$331, MATCH($F17, Formatted!$A$2:$A$331, 0), 6)</f>
        <v/>
      </c>
      <c r="L17" t="s">
        <v>749</v>
      </c>
      <c r="M17" t="str">
        <f t="shared" si="1"/>
        <v>RUNE16_FLAMEBODY</v>
      </c>
      <c r="N17" t="s">
        <v>750</v>
      </c>
      <c r="O17" t="str">
        <f t="shared" si="2"/>
        <v xml:space="preserve">:RUNE16_FLAMEBODY, </v>
      </c>
    </row>
    <row r="18" spans="1:16" x14ac:dyDescent="0.25">
      <c r="A18">
        <f t="shared" si="0"/>
        <v>17</v>
      </c>
      <c r="B18" t="s">
        <v>19</v>
      </c>
      <c r="C18" t="s">
        <v>79</v>
      </c>
      <c r="F18" t="str">
        <f t="shared" si="3"/>
        <v>MOLDBREAKER</v>
      </c>
      <c r="G18" t="str">
        <f>INDEX(Formatted!$A$2:$F$331, MATCH($F18, Formatted!$A$2:$A$331, 0), 2)</f>
        <v/>
      </c>
      <c r="H18" t="str">
        <f>INDEX(Formatted!$A$2:$F$331, MATCH($F18, Formatted!$A$2:$A$331, 0), 3)</f>
        <v/>
      </c>
      <c r="I18" t="str">
        <f>INDEX(Formatted!$A$2:$F$331, MATCH($F18, Formatted!$A$2:$A$331, 0), 4)</f>
        <v/>
      </c>
      <c r="J18" t="str">
        <f>INDEX(Formatted!$A$2:$F$331, MATCH($F18, Formatted!$A$2:$A$331, 0), 5)</f>
        <v>C</v>
      </c>
      <c r="K18" t="str">
        <f>INDEX(Formatted!$A$2:$F$331, MATCH($F18, Formatted!$A$2:$A$331, 0), 6)</f>
        <v/>
      </c>
      <c r="L18" t="s">
        <v>749</v>
      </c>
      <c r="M18" t="str">
        <f t="shared" si="1"/>
        <v>RUNE17_MOLDBREAKER</v>
      </c>
      <c r="N18" t="s">
        <v>750</v>
      </c>
      <c r="O18" t="str">
        <f t="shared" si="2"/>
        <v xml:space="preserve">:RUNE17_MOLDBREAKER, </v>
      </c>
    </row>
    <row r="19" spans="1:16" x14ac:dyDescent="0.25">
      <c r="A19">
        <f t="shared" si="0"/>
        <v>18</v>
      </c>
      <c r="B19" t="s">
        <v>20</v>
      </c>
      <c r="C19" t="s">
        <v>45</v>
      </c>
      <c r="F19" t="str">
        <f t="shared" si="3"/>
        <v>SHIELDDUST</v>
      </c>
      <c r="G19" t="str">
        <f>INDEX(Formatted!$A$2:$F$331, MATCH($F19, Formatted!$A$2:$A$331, 0), 2)</f>
        <v/>
      </c>
      <c r="H19" t="str">
        <f>INDEX(Formatted!$A$2:$F$331, MATCH($F19, Formatted!$A$2:$A$331, 0), 3)</f>
        <v/>
      </c>
      <c r="I19" t="str">
        <f>INDEX(Formatted!$A$2:$F$331, MATCH($F19, Formatted!$A$2:$A$331, 0), 4)</f>
        <v/>
      </c>
      <c r="J19" t="str">
        <f>INDEX(Formatted!$A$2:$F$331, MATCH($F19, Formatted!$A$2:$A$331, 0), 5)</f>
        <v>C</v>
      </c>
      <c r="K19" t="str">
        <f>INDEX(Formatted!$A$2:$F$331, MATCH($F19, Formatted!$A$2:$A$331, 0), 6)</f>
        <v/>
      </c>
      <c r="L19" t="s">
        <v>749</v>
      </c>
      <c r="M19" t="str">
        <f t="shared" si="1"/>
        <v>RUNE18_SHIELDDUST</v>
      </c>
      <c r="N19" t="s">
        <v>750</v>
      </c>
      <c r="O19" t="str">
        <f t="shared" si="2"/>
        <v xml:space="preserve">:RUNE18_SHIELDDUST, </v>
      </c>
    </row>
    <row r="20" spans="1:16" x14ac:dyDescent="0.25">
      <c r="A20">
        <f t="shared" si="0"/>
        <v>19</v>
      </c>
      <c r="B20" t="s">
        <v>21</v>
      </c>
      <c r="C20" t="s">
        <v>102</v>
      </c>
      <c r="F20" t="str">
        <f t="shared" si="3"/>
        <v>INFILTRATOR</v>
      </c>
      <c r="G20" t="str">
        <f>INDEX(Formatted!$A$2:$F$331, MATCH($F20, Formatted!$A$2:$A$331, 0), 2)</f>
        <v/>
      </c>
      <c r="H20" t="str">
        <f>INDEX(Formatted!$A$2:$F$331, MATCH($F20, Formatted!$A$2:$A$331, 0), 3)</f>
        <v/>
      </c>
      <c r="I20" t="str">
        <f>INDEX(Formatted!$A$2:$F$331, MATCH($F20, Formatted!$A$2:$A$331, 0), 4)</f>
        <v/>
      </c>
      <c r="J20" t="str">
        <f>INDEX(Formatted!$A$2:$F$331, MATCH($F20, Formatted!$A$2:$A$331, 0), 5)</f>
        <v>C</v>
      </c>
      <c r="K20" t="str">
        <f>INDEX(Formatted!$A$2:$F$331, MATCH($F20, Formatted!$A$2:$A$331, 0), 6)</f>
        <v/>
      </c>
      <c r="L20" t="s">
        <v>749</v>
      </c>
      <c r="M20" t="str">
        <f t="shared" si="1"/>
        <v>RUNE19_INFILTRATOR</v>
      </c>
      <c r="N20" t="s">
        <v>750</v>
      </c>
      <c r="O20" t="str">
        <f t="shared" si="2"/>
        <v xml:space="preserve">:RUNE19_INFILTRATOR, </v>
      </c>
    </row>
    <row r="21" spans="1:16" x14ac:dyDescent="0.25">
      <c r="A21">
        <f t="shared" si="0"/>
        <v>20</v>
      </c>
      <c r="B21" t="s">
        <v>22</v>
      </c>
      <c r="C21" t="s">
        <v>101</v>
      </c>
      <c r="F21" t="str">
        <f t="shared" si="3"/>
        <v>ANALYTIC</v>
      </c>
      <c r="G21" t="str">
        <f>INDEX(Formatted!$A$2:$F$331, MATCH($F21, Formatted!$A$2:$A$331, 0), 2)</f>
        <v/>
      </c>
      <c r="H21" t="str">
        <f>INDEX(Formatted!$A$2:$F$331, MATCH($F21, Formatted!$A$2:$A$331, 0), 3)</f>
        <v/>
      </c>
      <c r="I21" t="str">
        <f>INDEX(Formatted!$A$2:$F$331, MATCH($F21, Formatted!$A$2:$A$331, 0), 4)</f>
        <v/>
      </c>
      <c r="J21" t="str">
        <f>INDEX(Formatted!$A$2:$F$331, MATCH($F21, Formatted!$A$2:$A$331, 0), 5)</f>
        <v>C</v>
      </c>
      <c r="K21" t="str">
        <f>INDEX(Formatted!$A$2:$F$331, MATCH($F21, Formatted!$A$2:$A$331, 0), 6)</f>
        <v/>
      </c>
      <c r="L21" t="s">
        <v>749</v>
      </c>
      <c r="M21" t="str">
        <f t="shared" si="1"/>
        <v>RUNE20_ANALYTIC</v>
      </c>
      <c r="N21" t="s">
        <v>750</v>
      </c>
      <c r="O21" t="str">
        <f t="shared" si="2"/>
        <v xml:space="preserve">:RUNE20_ANALYTIC, </v>
      </c>
    </row>
    <row r="22" spans="1:16" x14ac:dyDescent="0.25">
      <c r="A22">
        <f t="shared" si="0"/>
        <v>21</v>
      </c>
      <c r="B22" t="s">
        <v>23</v>
      </c>
      <c r="C22" t="s">
        <v>37</v>
      </c>
      <c r="F22" t="str">
        <f t="shared" si="3"/>
        <v>STATIC</v>
      </c>
      <c r="G22" t="str">
        <f>INDEX(Formatted!$A$2:$F$331, MATCH($F22, Formatted!$A$2:$A$331, 0), 2)</f>
        <v/>
      </c>
      <c r="H22" t="str">
        <f>INDEX(Formatted!$A$2:$F$331, MATCH($F22, Formatted!$A$2:$A$331, 0), 3)</f>
        <v/>
      </c>
      <c r="I22" t="str">
        <f>INDEX(Formatted!$A$2:$F$331, MATCH($F22, Formatted!$A$2:$A$331, 0), 4)</f>
        <v/>
      </c>
      <c r="J22" t="str">
        <f>INDEX(Formatted!$A$2:$F$331, MATCH($F22, Formatted!$A$2:$A$331, 0), 5)</f>
        <v>C</v>
      </c>
      <c r="K22" t="str">
        <f>INDEX(Formatted!$A$2:$F$331, MATCH($F22, Formatted!$A$2:$A$331, 0), 6)</f>
        <v/>
      </c>
      <c r="L22" t="s">
        <v>749</v>
      </c>
      <c r="M22" t="str">
        <f t="shared" si="1"/>
        <v>RUNE21_STATIC</v>
      </c>
      <c r="N22" t="s">
        <v>750</v>
      </c>
      <c r="O22" t="str">
        <f t="shared" si="2"/>
        <v xml:space="preserve">:RUNE21_STATIC, </v>
      </c>
    </row>
    <row r="23" spans="1:16" x14ac:dyDescent="0.25">
      <c r="A23">
        <f t="shared" si="0"/>
        <v>22</v>
      </c>
      <c r="B23" t="s">
        <v>24</v>
      </c>
      <c r="C23" t="s">
        <v>41</v>
      </c>
      <c r="F23" t="str">
        <f t="shared" si="3"/>
        <v>COMPOUNDEYES</v>
      </c>
      <c r="G23" t="str">
        <f>INDEX(Formatted!$A$2:$F$331, MATCH($F23, Formatted!$A$2:$A$331, 0), 2)</f>
        <v/>
      </c>
      <c r="H23" t="str">
        <f>INDEX(Formatted!$A$2:$F$331, MATCH($F23, Formatted!$A$2:$A$331, 0), 3)</f>
        <v/>
      </c>
      <c r="I23" t="str">
        <f>INDEX(Formatted!$A$2:$F$331, MATCH($F23, Formatted!$A$2:$A$331, 0), 4)</f>
        <v/>
      </c>
      <c r="J23" t="str">
        <f>INDEX(Formatted!$A$2:$F$331, MATCH($F23, Formatted!$A$2:$A$331, 0), 5)</f>
        <v>C</v>
      </c>
      <c r="K23" t="str">
        <f>INDEX(Formatted!$A$2:$F$331, MATCH($F23, Formatted!$A$2:$A$331, 0), 6)</f>
        <v/>
      </c>
      <c r="L23" t="s">
        <v>749</v>
      </c>
      <c r="M23" t="str">
        <f t="shared" si="1"/>
        <v>RUNE22_COMPOUNDEYES</v>
      </c>
      <c r="N23" t="s">
        <v>750</v>
      </c>
      <c r="O23" t="str">
        <f t="shared" si="2"/>
        <v xml:space="preserve">:RUNE22_COMPOUNDEYES, </v>
      </c>
    </row>
    <row r="24" spans="1:16" x14ac:dyDescent="0.25">
      <c r="A24">
        <f t="shared" si="0"/>
        <v>23</v>
      </c>
      <c r="B24" t="s">
        <v>25</v>
      </c>
      <c r="C24" t="s">
        <v>91</v>
      </c>
      <c r="F24" t="str">
        <f t="shared" si="3"/>
        <v>TOUGHCLAWS</v>
      </c>
      <c r="G24" t="str">
        <f>INDEX(Formatted!$A$2:$F$331, MATCH($F24, Formatted!$A$2:$A$331, 0), 2)</f>
        <v/>
      </c>
      <c r="H24" t="str">
        <f>INDEX(Formatted!$A$2:$F$331, MATCH($F24, Formatted!$A$2:$A$331, 0), 3)</f>
        <v/>
      </c>
      <c r="I24" t="str">
        <f>INDEX(Formatted!$A$2:$F$331, MATCH($F24, Formatted!$A$2:$A$331, 0), 4)</f>
        <v/>
      </c>
      <c r="J24" t="str">
        <f>INDEX(Formatted!$A$2:$F$331, MATCH($F24, Formatted!$A$2:$A$331, 0), 5)</f>
        <v>C</v>
      </c>
      <c r="K24" t="str">
        <f>INDEX(Formatted!$A$2:$F$331, MATCH($F24, Formatted!$A$2:$A$331, 0), 6)</f>
        <v/>
      </c>
      <c r="L24" t="s">
        <v>749</v>
      </c>
      <c r="M24" t="str">
        <f t="shared" si="1"/>
        <v>RUNE23_TOUGHCLAWS</v>
      </c>
      <c r="N24" t="s">
        <v>750</v>
      </c>
      <c r="O24" t="str">
        <f t="shared" si="2"/>
        <v xml:space="preserve">:RUNE23_TOUGHCLAWS, </v>
      </c>
      <c r="P24" t="str">
        <f>O24&amp;O25&amp;O26&amp;O27&amp;O28&amp;O29&amp;O30&amp;O31&amp;O32&amp;O33&amp;O34</f>
        <v xml:space="preserve">:RUNE23_TOUGHCLAWS, :RUNE24_RIVALRY, :RUNE25_SNIPER, :RUNE26_IMPENETRABLE, :RUNE27_TELEPATHY, :RUNE28_GOOEY, :RUNE29_INNERFOCUS, :RUNE30_PRISMARMOR, :RUNE31_ARENATRAP, :RUNE32_CLEARBODY, :RUNE33_PASTELVEIL, </v>
      </c>
    </row>
    <row r="25" spans="1:16" x14ac:dyDescent="0.25">
      <c r="A25">
        <f t="shared" si="0"/>
        <v>24</v>
      </c>
      <c r="B25" t="s">
        <v>26</v>
      </c>
      <c r="C25" t="s">
        <v>70</v>
      </c>
      <c r="F25" t="str">
        <f t="shared" si="3"/>
        <v>RIVALRY</v>
      </c>
      <c r="G25" t="str">
        <f>INDEX(Formatted!$A$2:$F$331, MATCH($F25, Formatted!$A$2:$A$331, 0), 2)</f>
        <v/>
      </c>
      <c r="H25" t="str">
        <f>INDEX(Formatted!$A$2:$F$331, MATCH($F25, Formatted!$A$2:$A$331, 0), 3)</f>
        <v/>
      </c>
      <c r="I25" t="str">
        <f>INDEX(Formatted!$A$2:$F$331, MATCH($F25, Formatted!$A$2:$A$331, 0), 4)</f>
        <v/>
      </c>
      <c r="J25" t="str">
        <f>INDEX(Formatted!$A$2:$F$331, MATCH($F25, Formatted!$A$2:$A$331, 0), 5)</f>
        <v>C</v>
      </c>
      <c r="K25" t="str">
        <f>INDEX(Formatted!$A$2:$F$331, MATCH($F25, Formatted!$A$2:$A$331, 0), 6)</f>
        <v/>
      </c>
      <c r="L25" t="s">
        <v>749</v>
      </c>
      <c r="M25" t="str">
        <f t="shared" si="1"/>
        <v>RUNE24_RIVALRY</v>
      </c>
      <c r="N25" t="s">
        <v>750</v>
      </c>
      <c r="O25" t="str">
        <f t="shared" si="2"/>
        <v xml:space="preserve">:RUNE24_RIVALRY, </v>
      </c>
    </row>
    <row r="26" spans="1:16" x14ac:dyDescent="0.25">
      <c r="A26">
        <f t="shared" si="0"/>
        <v>25</v>
      </c>
      <c r="B26" t="s">
        <v>27</v>
      </c>
      <c r="C26" t="s">
        <v>76</v>
      </c>
      <c r="F26" t="str">
        <f t="shared" si="3"/>
        <v>SNIPER</v>
      </c>
      <c r="G26" t="str">
        <f>INDEX(Formatted!$A$2:$F$331, MATCH($F26, Formatted!$A$2:$A$331, 0), 2)</f>
        <v/>
      </c>
      <c r="H26" t="str">
        <f>INDEX(Formatted!$A$2:$F$331, MATCH($F26, Formatted!$A$2:$A$331, 0), 3)</f>
        <v/>
      </c>
      <c r="I26" t="str">
        <f>INDEX(Formatted!$A$2:$F$331, MATCH($F26, Formatted!$A$2:$A$331, 0), 4)</f>
        <v/>
      </c>
      <c r="J26" t="str">
        <f>INDEX(Formatted!$A$2:$F$331, MATCH($F26, Formatted!$A$2:$A$331, 0), 5)</f>
        <v>C</v>
      </c>
      <c r="K26" t="str">
        <f>INDEX(Formatted!$A$2:$F$331, MATCH($F26, Formatted!$A$2:$A$331, 0), 6)</f>
        <v/>
      </c>
      <c r="L26" t="s">
        <v>749</v>
      </c>
      <c r="M26" t="str">
        <f t="shared" si="1"/>
        <v>RUNE25_SNIPER</v>
      </c>
      <c r="N26" t="s">
        <v>750</v>
      </c>
      <c r="O26" t="str">
        <f t="shared" si="2"/>
        <v xml:space="preserve">:RUNE25_SNIPER, </v>
      </c>
    </row>
    <row r="27" spans="1:16" x14ac:dyDescent="0.25">
      <c r="A27">
        <f t="shared" si="0"/>
        <v>26</v>
      </c>
      <c r="B27" t="s">
        <v>28</v>
      </c>
      <c r="C27" t="s">
        <v>107</v>
      </c>
      <c r="F27" t="str">
        <f t="shared" si="3"/>
        <v>IMPENETRABLE</v>
      </c>
      <c r="G27" t="str">
        <f>INDEX(Formatted!$A$2:$F$331, MATCH($F27, Formatted!$A$2:$A$331, 0), 2)</f>
        <v/>
      </c>
      <c r="H27" t="str">
        <f>INDEX(Formatted!$A$2:$F$331, MATCH($F27, Formatted!$A$2:$A$331, 0), 3)</f>
        <v/>
      </c>
      <c r="I27" t="str">
        <f>INDEX(Formatted!$A$2:$F$331, MATCH($F27, Formatted!$A$2:$A$331, 0), 4)</f>
        <v/>
      </c>
      <c r="J27" t="str">
        <f>INDEX(Formatted!$A$2:$F$331, MATCH($F27, Formatted!$A$2:$A$331, 0), 5)</f>
        <v>C</v>
      </c>
      <c r="K27" t="str">
        <f>INDEX(Formatted!$A$2:$F$331, MATCH($F27, Formatted!$A$2:$A$331, 0), 6)</f>
        <v/>
      </c>
      <c r="L27" t="s">
        <v>749</v>
      </c>
      <c r="M27" t="str">
        <f t="shared" si="1"/>
        <v>RUNE26_IMPENETRABLE</v>
      </c>
      <c r="N27" t="s">
        <v>750</v>
      </c>
      <c r="O27" t="str">
        <f t="shared" si="2"/>
        <v xml:space="preserve">:RUNE26_IMPENETRABLE, </v>
      </c>
    </row>
    <row r="28" spans="1:16" x14ac:dyDescent="0.25">
      <c r="A28">
        <f t="shared" si="0"/>
        <v>27</v>
      </c>
      <c r="B28" t="s">
        <v>29</v>
      </c>
      <c r="C28" t="s">
        <v>85</v>
      </c>
      <c r="F28" t="str">
        <f t="shared" si="3"/>
        <v>TELEPATHY</v>
      </c>
      <c r="G28" t="str">
        <f>INDEX(Formatted!$A$2:$F$331, MATCH($F28, Formatted!$A$2:$A$331, 0), 2)</f>
        <v/>
      </c>
      <c r="H28" t="str">
        <f>INDEX(Formatted!$A$2:$F$331, MATCH($F28, Formatted!$A$2:$A$331, 0), 3)</f>
        <v/>
      </c>
      <c r="I28" t="str">
        <f>INDEX(Formatted!$A$2:$F$331, MATCH($F28, Formatted!$A$2:$A$331, 0), 4)</f>
        <v/>
      </c>
      <c r="J28" t="str">
        <f>INDEX(Formatted!$A$2:$F$331, MATCH($F28, Formatted!$A$2:$A$331, 0), 5)</f>
        <v>C</v>
      </c>
      <c r="K28" t="str">
        <f>INDEX(Formatted!$A$2:$F$331, MATCH($F28, Formatted!$A$2:$A$331, 0), 6)</f>
        <v/>
      </c>
      <c r="L28" t="s">
        <v>749</v>
      </c>
      <c r="M28" t="str">
        <f t="shared" si="1"/>
        <v>RUNE27_TELEPATHY</v>
      </c>
      <c r="N28" t="s">
        <v>750</v>
      </c>
      <c r="O28" t="str">
        <f t="shared" si="2"/>
        <v xml:space="preserve">:RUNE27_TELEPATHY, </v>
      </c>
    </row>
    <row r="29" spans="1:16" x14ac:dyDescent="0.25">
      <c r="A29">
        <f t="shared" si="0"/>
        <v>28</v>
      </c>
      <c r="B29" t="s">
        <v>30</v>
      </c>
      <c r="C29" t="s">
        <v>117</v>
      </c>
      <c r="F29" t="str">
        <f t="shared" si="3"/>
        <v>GOOEY</v>
      </c>
      <c r="G29" t="str">
        <f>INDEX(Formatted!$A$2:$F$331, MATCH($F29, Formatted!$A$2:$A$331, 0), 2)</f>
        <v/>
      </c>
      <c r="H29" t="str">
        <f>INDEX(Formatted!$A$2:$F$331, MATCH($F29, Formatted!$A$2:$A$331, 0), 3)</f>
        <v/>
      </c>
      <c r="I29" t="str">
        <f>INDEX(Formatted!$A$2:$F$331, MATCH($F29, Formatted!$A$2:$A$331, 0), 4)</f>
        <v>B</v>
      </c>
      <c r="J29" t="str">
        <f>INDEX(Formatted!$A$2:$F$331, MATCH($F29, Formatted!$A$2:$A$331, 0), 5)</f>
        <v/>
      </c>
      <c r="K29" t="str">
        <f>INDEX(Formatted!$A$2:$F$331, MATCH($F29, Formatted!$A$2:$A$331, 0), 6)</f>
        <v/>
      </c>
      <c r="L29" t="s">
        <v>749</v>
      </c>
      <c r="M29" t="str">
        <f t="shared" si="1"/>
        <v>RUNE28_GOOEY</v>
      </c>
      <c r="N29" t="s">
        <v>750</v>
      </c>
      <c r="O29" t="str">
        <f t="shared" si="2"/>
        <v xml:space="preserve">:RUNE28_GOOEY, </v>
      </c>
    </row>
    <row r="30" spans="1:16" x14ac:dyDescent="0.25">
      <c r="A30">
        <f t="shared" si="0"/>
        <v>29</v>
      </c>
      <c r="B30" t="s">
        <v>31</v>
      </c>
      <c r="C30" t="s">
        <v>174</v>
      </c>
      <c r="F30" t="str">
        <f t="shared" ref="F30:F34" si="4">UPPER(SUBSTITUTE(C30," ",""))</f>
        <v>INNERFOCUS</v>
      </c>
      <c r="G30" t="str">
        <f>INDEX(Formatted!$A$2:$F$331, MATCH($F30, Formatted!$A$2:$A$331, 0), 2)</f>
        <v/>
      </c>
      <c r="H30" t="str">
        <f>INDEX(Formatted!$A$2:$F$331, MATCH($F30, Formatted!$A$2:$A$331, 0), 3)</f>
        <v/>
      </c>
      <c r="I30" t="str">
        <f>INDEX(Formatted!$A$2:$F$331, MATCH($F30, Formatted!$A$2:$A$331, 0), 4)</f>
        <v>B</v>
      </c>
      <c r="J30" t="str">
        <f>INDEX(Formatted!$A$2:$F$331, MATCH($F30, Formatted!$A$2:$A$331, 0), 5)</f>
        <v/>
      </c>
      <c r="K30" t="str">
        <f>INDEX(Formatted!$A$2:$F$331, MATCH($F30, Formatted!$A$2:$A$331, 0), 6)</f>
        <v/>
      </c>
      <c r="L30" t="s">
        <v>749</v>
      </c>
      <c r="M30" t="str">
        <f t="shared" si="1"/>
        <v>RUNE29_INNERFOCUS</v>
      </c>
      <c r="N30" t="s">
        <v>750</v>
      </c>
      <c r="O30" t="str">
        <f t="shared" si="2"/>
        <v xml:space="preserve">:RUNE29_INNERFOCUS, </v>
      </c>
    </row>
    <row r="31" spans="1:16" x14ac:dyDescent="0.25">
      <c r="A31">
        <f t="shared" si="0"/>
        <v>30</v>
      </c>
      <c r="B31" t="s">
        <v>32</v>
      </c>
      <c r="C31" t="s">
        <v>173</v>
      </c>
      <c r="F31" t="str">
        <f t="shared" si="4"/>
        <v>PRISMARMOR</v>
      </c>
      <c r="G31" t="str">
        <f>INDEX(Formatted!$A$2:$F$331, MATCH($F31, Formatted!$A$2:$A$331, 0), 2)</f>
        <v/>
      </c>
      <c r="H31" t="str">
        <f>INDEX(Formatted!$A$2:$F$331, MATCH($F31, Formatted!$A$2:$A$331, 0), 3)</f>
        <v/>
      </c>
      <c r="I31" t="str">
        <f>INDEX(Formatted!$A$2:$F$331, MATCH($F31, Formatted!$A$2:$A$331, 0), 4)</f>
        <v>B</v>
      </c>
      <c r="J31" t="str">
        <f>INDEX(Formatted!$A$2:$F$331, MATCH($F31, Formatted!$A$2:$A$331, 0), 5)</f>
        <v/>
      </c>
      <c r="K31" t="str">
        <f>INDEX(Formatted!$A$2:$F$331, MATCH($F31, Formatted!$A$2:$A$331, 0), 6)</f>
        <v/>
      </c>
      <c r="L31" t="s">
        <v>749</v>
      </c>
      <c r="M31" t="str">
        <f t="shared" si="1"/>
        <v>RUNE30_PRISMARMOR</v>
      </c>
      <c r="N31" t="s">
        <v>750</v>
      </c>
      <c r="O31" t="str">
        <f t="shared" si="2"/>
        <v xml:space="preserve">:RUNE30_PRISMARMOR, </v>
      </c>
    </row>
    <row r="32" spans="1:16" x14ac:dyDescent="0.25">
      <c r="A32">
        <f t="shared" si="0"/>
        <v>31</v>
      </c>
      <c r="B32" t="s">
        <v>33</v>
      </c>
      <c r="C32" t="s">
        <v>188</v>
      </c>
      <c r="F32" t="str">
        <f t="shared" si="4"/>
        <v>ARENATRAP</v>
      </c>
      <c r="G32" t="str">
        <f>INDEX(Formatted!$A$2:$F$331, MATCH($F32, Formatted!$A$2:$A$331, 0), 2)</f>
        <v/>
      </c>
      <c r="H32" t="str">
        <f>INDEX(Formatted!$A$2:$F$331, MATCH($F32, Formatted!$A$2:$A$331, 0), 3)</f>
        <v>A</v>
      </c>
      <c r="I32" t="str">
        <f>INDEX(Formatted!$A$2:$F$331, MATCH($F32, Formatted!$A$2:$A$331, 0), 4)</f>
        <v/>
      </c>
      <c r="J32" t="str">
        <f>INDEX(Formatted!$A$2:$F$331, MATCH($F32, Formatted!$A$2:$A$331, 0), 5)</f>
        <v/>
      </c>
      <c r="K32" t="str">
        <f>INDEX(Formatted!$A$2:$F$331, MATCH($F32, Formatted!$A$2:$A$331, 0), 6)</f>
        <v/>
      </c>
      <c r="L32" t="s">
        <v>749</v>
      </c>
      <c r="M32" t="str">
        <f t="shared" si="1"/>
        <v>RUNE31_ARENATRAP</v>
      </c>
      <c r="N32" t="s">
        <v>750</v>
      </c>
      <c r="O32" t="str">
        <f t="shared" si="2"/>
        <v xml:space="preserve">:RUNE31_ARENATRAP, </v>
      </c>
    </row>
    <row r="33" spans="1:15" x14ac:dyDescent="0.25">
      <c r="A33">
        <f t="shared" si="0"/>
        <v>32</v>
      </c>
      <c r="B33" t="s">
        <v>34</v>
      </c>
      <c r="C33" t="s">
        <v>213</v>
      </c>
      <c r="F33" t="str">
        <f t="shared" si="4"/>
        <v>CLEARBODY</v>
      </c>
      <c r="G33" t="str">
        <f>INDEX(Formatted!$A$2:$F$331, MATCH($F33, Formatted!$A$2:$A$331, 0), 2)</f>
        <v/>
      </c>
      <c r="H33" t="str">
        <f>INDEX(Formatted!$A$2:$F$331, MATCH($F33, Formatted!$A$2:$A$331, 0), 3)</f>
        <v>A</v>
      </c>
      <c r="I33" t="str">
        <f>INDEX(Formatted!$A$2:$F$331, MATCH($F33, Formatted!$A$2:$A$331, 0), 4)</f>
        <v/>
      </c>
      <c r="J33" t="str">
        <f>INDEX(Formatted!$A$2:$F$331, MATCH($F33, Formatted!$A$2:$A$331, 0), 5)</f>
        <v/>
      </c>
      <c r="K33" t="str">
        <f>INDEX(Formatted!$A$2:$F$331, MATCH($F33, Formatted!$A$2:$A$331, 0), 6)</f>
        <v/>
      </c>
      <c r="L33" t="s">
        <v>749</v>
      </c>
      <c r="M33" t="str">
        <f t="shared" si="1"/>
        <v>RUNE32_CLEARBODY</v>
      </c>
      <c r="N33" t="s">
        <v>750</v>
      </c>
      <c r="O33" t="str">
        <f t="shared" si="2"/>
        <v xml:space="preserve">:RUNE32_CLEARBODY, </v>
      </c>
    </row>
    <row r="34" spans="1:15" x14ac:dyDescent="0.25">
      <c r="A34">
        <f t="shared" si="0"/>
        <v>33</v>
      </c>
      <c r="B34" t="s">
        <v>35</v>
      </c>
      <c r="C34" t="s">
        <v>648</v>
      </c>
      <c r="F34" t="str">
        <f t="shared" si="4"/>
        <v>PASTELVEIL</v>
      </c>
      <c r="G34" t="str">
        <f>INDEX(Formatted!$A$2:$F$331, MATCH($F34, Formatted!$A$2:$A$331, 0), 2)</f>
        <v>S</v>
      </c>
      <c r="H34" t="str">
        <f>INDEX(Formatted!$A$2:$F$331, MATCH($F34, Formatted!$A$2:$A$331, 0), 3)</f>
        <v/>
      </c>
      <c r="I34" t="str">
        <f>INDEX(Formatted!$A$2:$F$331, MATCH($F34, Formatted!$A$2:$A$331, 0), 4)</f>
        <v/>
      </c>
      <c r="J34" t="str">
        <f>INDEX(Formatted!$A$2:$F$331, MATCH($F34, Formatted!$A$2:$A$331, 0), 5)</f>
        <v/>
      </c>
      <c r="K34" t="str">
        <f>INDEX(Formatted!$A$2:$F$331, MATCH($F34, Formatted!$A$2:$A$331, 0), 6)</f>
        <v/>
      </c>
      <c r="L34" t="s">
        <v>749</v>
      </c>
      <c r="M34" t="str">
        <f t="shared" si="1"/>
        <v>RUNE33_PASTELVEIL</v>
      </c>
      <c r="N34" t="s">
        <v>750</v>
      </c>
      <c r="O34" t="str">
        <f t="shared" si="2"/>
        <v xml:space="preserve">:RUNE33_PASTELVEIL,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527B-73E5-4B9B-AF8C-E54F4D789F85}">
  <dimension ref="A1:F331"/>
  <sheetViews>
    <sheetView workbookViewId="0">
      <selection activeCell="A7" sqref="A7"/>
    </sheetView>
  </sheetViews>
  <sheetFormatPr defaultRowHeight="15" x14ac:dyDescent="0.25"/>
  <cols>
    <col min="1" max="1" width="19.85546875" bestFit="1" customWidth="1"/>
  </cols>
  <sheetData>
    <row r="1" spans="1:6" ht="60" x14ac:dyDescent="0.25">
      <c r="A1" s="5" t="s">
        <v>567</v>
      </c>
      <c r="B1" s="3" t="s">
        <v>746</v>
      </c>
      <c r="C1" s="3" t="s">
        <v>180</v>
      </c>
      <c r="D1" s="3" t="s">
        <v>177</v>
      </c>
      <c r="E1" s="3" t="s">
        <v>176</v>
      </c>
      <c r="F1" s="3" t="s">
        <v>129</v>
      </c>
    </row>
    <row r="2" spans="1:6" x14ac:dyDescent="0.25">
      <c r="A2" t="s">
        <v>237</v>
      </c>
      <c r="B2" t="s">
        <v>740</v>
      </c>
      <c r="C2" t="s">
        <v>748</v>
      </c>
      <c r="D2" t="s">
        <v>748</v>
      </c>
      <c r="E2" t="s">
        <v>748</v>
      </c>
      <c r="F2" t="s">
        <v>748</v>
      </c>
    </row>
    <row r="3" spans="1:6" x14ac:dyDescent="0.25">
      <c r="A3" t="s">
        <v>238</v>
      </c>
      <c r="B3" t="s">
        <v>740</v>
      </c>
      <c r="C3" t="s">
        <v>748</v>
      </c>
      <c r="D3" t="s">
        <v>748</v>
      </c>
      <c r="E3" t="s">
        <v>748</v>
      </c>
      <c r="F3" t="s">
        <v>748</v>
      </c>
    </row>
    <row r="4" spans="1:6" x14ac:dyDescent="0.25">
      <c r="A4" t="s">
        <v>239</v>
      </c>
      <c r="B4" t="s">
        <v>748</v>
      </c>
      <c r="C4" t="s">
        <v>748</v>
      </c>
      <c r="D4" t="s">
        <v>748</v>
      </c>
      <c r="E4" t="s">
        <v>744</v>
      </c>
      <c r="F4" t="s">
        <v>748</v>
      </c>
    </row>
    <row r="5" spans="1:6" x14ac:dyDescent="0.25">
      <c r="A5" t="s">
        <v>240</v>
      </c>
      <c r="B5" t="s">
        <v>748</v>
      </c>
      <c r="C5" t="s">
        <v>743</v>
      </c>
      <c r="D5" t="s">
        <v>748</v>
      </c>
      <c r="E5" t="s">
        <v>748</v>
      </c>
      <c r="F5" t="s">
        <v>748</v>
      </c>
    </row>
    <row r="6" spans="1:6" x14ac:dyDescent="0.25">
      <c r="A6" t="s">
        <v>241</v>
      </c>
      <c r="B6" t="s">
        <v>748</v>
      </c>
      <c r="C6" t="s">
        <v>748</v>
      </c>
      <c r="D6" t="s">
        <v>748</v>
      </c>
      <c r="E6" t="s">
        <v>744</v>
      </c>
      <c r="F6" t="s">
        <v>748</v>
      </c>
    </row>
    <row r="7" spans="1:6" x14ac:dyDescent="0.25">
      <c r="A7" t="s">
        <v>242</v>
      </c>
      <c r="B7" t="s">
        <v>748</v>
      </c>
      <c r="C7" t="s">
        <v>748</v>
      </c>
      <c r="D7" t="s">
        <v>748</v>
      </c>
      <c r="E7" t="s">
        <v>744</v>
      </c>
      <c r="F7" t="s">
        <v>748</v>
      </c>
    </row>
    <row r="8" spans="1:6" x14ac:dyDescent="0.25">
      <c r="A8" t="s">
        <v>243</v>
      </c>
      <c r="B8" t="s">
        <v>748</v>
      </c>
      <c r="C8" t="s">
        <v>748</v>
      </c>
      <c r="D8" t="s">
        <v>748</v>
      </c>
      <c r="E8" t="s">
        <v>744</v>
      </c>
      <c r="F8" t="s">
        <v>748</v>
      </c>
    </row>
    <row r="9" spans="1:6" x14ac:dyDescent="0.25">
      <c r="A9" t="s">
        <v>244</v>
      </c>
      <c r="B9" t="s">
        <v>748</v>
      </c>
      <c r="C9" t="s">
        <v>748</v>
      </c>
      <c r="D9" t="s">
        <v>748</v>
      </c>
      <c r="E9" t="s">
        <v>744</v>
      </c>
      <c r="F9" t="s">
        <v>748</v>
      </c>
    </row>
    <row r="10" spans="1:6" x14ac:dyDescent="0.25">
      <c r="A10" t="s">
        <v>245</v>
      </c>
      <c r="B10" t="s">
        <v>748</v>
      </c>
      <c r="C10" t="s">
        <v>743</v>
      </c>
      <c r="D10" t="s">
        <v>748</v>
      </c>
      <c r="E10" t="s">
        <v>748</v>
      </c>
      <c r="F10" t="s">
        <v>748</v>
      </c>
    </row>
    <row r="11" spans="1:6" x14ac:dyDescent="0.25">
      <c r="A11" t="s">
        <v>246</v>
      </c>
      <c r="B11" t="s">
        <v>748</v>
      </c>
      <c r="C11" t="s">
        <v>748</v>
      </c>
      <c r="D11" t="s">
        <v>748</v>
      </c>
      <c r="E11" t="s">
        <v>744</v>
      </c>
      <c r="F11" t="s">
        <v>748</v>
      </c>
    </row>
    <row r="12" spans="1:6" x14ac:dyDescent="0.25">
      <c r="A12" t="s">
        <v>247</v>
      </c>
      <c r="B12" t="s">
        <v>740</v>
      </c>
      <c r="C12" t="s">
        <v>748</v>
      </c>
      <c r="D12" t="s">
        <v>748</v>
      </c>
      <c r="E12" t="s">
        <v>748</v>
      </c>
      <c r="F12" t="s">
        <v>748</v>
      </c>
    </row>
    <row r="13" spans="1:6" x14ac:dyDescent="0.25">
      <c r="A13" t="s">
        <v>248</v>
      </c>
      <c r="B13" t="s">
        <v>740</v>
      </c>
      <c r="C13" t="s">
        <v>748</v>
      </c>
      <c r="D13" t="s">
        <v>748</v>
      </c>
      <c r="E13" t="s">
        <v>748</v>
      </c>
      <c r="F13" t="s">
        <v>748</v>
      </c>
    </row>
    <row r="14" spans="1:6" x14ac:dyDescent="0.25">
      <c r="A14" t="s">
        <v>249</v>
      </c>
      <c r="B14" t="s">
        <v>740</v>
      </c>
      <c r="C14" t="s">
        <v>748</v>
      </c>
      <c r="D14" t="s">
        <v>748</v>
      </c>
      <c r="E14" t="s">
        <v>748</v>
      </c>
      <c r="F14" t="s">
        <v>748</v>
      </c>
    </row>
    <row r="15" spans="1:6" x14ac:dyDescent="0.25">
      <c r="A15" t="s">
        <v>250</v>
      </c>
      <c r="B15" t="s">
        <v>748</v>
      </c>
      <c r="C15" t="s">
        <v>748</v>
      </c>
      <c r="D15" t="s">
        <v>748</v>
      </c>
      <c r="E15" t="s">
        <v>744</v>
      </c>
      <c r="F15" t="s">
        <v>748</v>
      </c>
    </row>
    <row r="16" spans="1:6" x14ac:dyDescent="0.25">
      <c r="A16" t="s">
        <v>251</v>
      </c>
      <c r="B16" t="s">
        <v>748</v>
      </c>
      <c r="C16" t="s">
        <v>748</v>
      </c>
      <c r="D16" t="s">
        <v>748</v>
      </c>
      <c r="E16" t="s">
        <v>744</v>
      </c>
      <c r="F16" t="s">
        <v>748</v>
      </c>
    </row>
    <row r="17" spans="1:6" x14ac:dyDescent="0.25">
      <c r="A17" t="s">
        <v>252</v>
      </c>
      <c r="B17" t="s">
        <v>740</v>
      </c>
      <c r="C17" t="s">
        <v>748</v>
      </c>
      <c r="D17" t="s">
        <v>748</v>
      </c>
      <c r="E17" t="s">
        <v>748</v>
      </c>
      <c r="F17" t="s">
        <v>748</v>
      </c>
    </row>
    <row r="18" spans="1:6" x14ac:dyDescent="0.25">
      <c r="A18" t="s">
        <v>253</v>
      </c>
      <c r="B18" t="s">
        <v>748</v>
      </c>
      <c r="C18" t="s">
        <v>748</v>
      </c>
      <c r="D18" t="s">
        <v>748</v>
      </c>
      <c r="E18" t="s">
        <v>748</v>
      </c>
      <c r="F18" t="s">
        <v>741</v>
      </c>
    </row>
    <row r="19" spans="1:6" x14ac:dyDescent="0.25">
      <c r="A19" t="s">
        <v>254</v>
      </c>
      <c r="B19" t="s">
        <v>748</v>
      </c>
      <c r="C19" t="s">
        <v>748</v>
      </c>
      <c r="D19" t="s">
        <v>748</v>
      </c>
      <c r="E19" t="s">
        <v>744</v>
      </c>
      <c r="F19" t="s">
        <v>748</v>
      </c>
    </row>
    <row r="20" spans="1:6" x14ac:dyDescent="0.25">
      <c r="A20" t="s">
        <v>255</v>
      </c>
      <c r="B20" t="s">
        <v>740</v>
      </c>
      <c r="C20" t="s">
        <v>748</v>
      </c>
      <c r="D20" t="s">
        <v>748</v>
      </c>
      <c r="E20" t="s">
        <v>748</v>
      </c>
      <c r="F20" t="s">
        <v>748</v>
      </c>
    </row>
    <row r="21" spans="1:6" x14ac:dyDescent="0.25">
      <c r="A21" t="s">
        <v>256</v>
      </c>
      <c r="B21" t="s">
        <v>748</v>
      </c>
      <c r="C21" t="s">
        <v>748</v>
      </c>
      <c r="D21" t="s">
        <v>748</v>
      </c>
      <c r="E21" t="s">
        <v>744</v>
      </c>
      <c r="F21" t="s">
        <v>748</v>
      </c>
    </row>
    <row r="22" spans="1:6" x14ac:dyDescent="0.25">
      <c r="A22" t="s">
        <v>257</v>
      </c>
      <c r="B22" t="s">
        <v>748</v>
      </c>
      <c r="C22" t="s">
        <v>748</v>
      </c>
      <c r="D22" t="s">
        <v>748</v>
      </c>
      <c r="E22" t="s">
        <v>744</v>
      </c>
      <c r="F22" t="s">
        <v>748</v>
      </c>
    </row>
    <row r="23" spans="1:6" x14ac:dyDescent="0.25">
      <c r="A23" t="s">
        <v>258</v>
      </c>
      <c r="B23" t="s">
        <v>748</v>
      </c>
      <c r="C23" t="s">
        <v>743</v>
      </c>
      <c r="D23" t="s">
        <v>748</v>
      </c>
      <c r="E23" t="s">
        <v>748</v>
      </c>
      <c r="F23" t="s">
        <v>748</v>
      </c>
    </row>
    <row r="24" spans="1:6" x14ac:dyDescent="0.25">
      <c r="A24" t="s">
        <v>259</v>
      </c>
      <c r="B24" t="s">
        <v>748</v>
      </c>
      <c r="C24" t="s">
        <v>748</v>
      </c>
      <c r="D24" t="s">
        <v>748</v>
      </c>
      <c r="E24" t="s">
        <v>748</v>
      </c>
      <c r="F24" t="s">
        <v>741</v>
      </c>
    </row>
    <row r="25" spans="1:6" x14ac:dyDescent="0.25">
      <c r="A25" t="s">
        <v>260</v>
      </c>
      <c r="B25" t="s">
        <v>740</v>
      </c>
      <c r="C25" t="s">
        <v>748</v>
      </c>
      <c r="D25" t="s">
        <v>748</v>
      </c>
      <c r="E25" t="s">
        <v>748</v>
      </c>
      <c r="F25" t="s">
        <v>748</v>
      </c>
    </row>
    <row r="26" spans="1:6" x14ac:dyDescent="0.25">
      <c r="A26" t="s">
        <v>261</v>
      </c>
      <c r="B26" t="s">
        <v>740</v>
      </c>
      <c r="C26" t="s">
        <v>748</v>
      </c>
      <c r="D26" t="s">
        <v>748</v>
      </c>
      <c r="E26" t="s">
        <v>748</v>
      </c>
      <c r="F26" t="s">
        <v>748</v>
      </c>
    </row>
    <row r="27" spans="1:6" x14ac:dyDescent="0.25">
      <c r="A27" t="s">
        <v>262</v>
      </c>
      <c r="B27" t="s">
        <v>740</v>
      </c>
      <c r="C27" t="s">
        <v>748</v>
      </c>
      <c r="D27" t="s">
        <v>748</v>
      </c>
      <c r="E27" t="s">
        <v>748</v>
      </c>
      <c r="F27" t="s">
        <v>748</v>
      </c>
    </row>
    <row r="28" spans="1:6" x14ac:dyDescent="0.25">
      <c r="A28" t="s">
        <v>263</v>
      </c>
      <c r="B28" t="s">
        <v>748</v>
      </c>
      <c r="C28" t="s">
        <v>748</v>
      </c>
      <c r="D28" t="s">
        <v>748</v>
      </c>
      <c r="E28" t="s">
        <v>748</v>
      </c>
      <c r="F28" t="s">
        <v>741</v>
      </c>
    </row>
    <row r="29" spans="1:6" x14ac:dyDescent="0.25">
      <c r="A29" t="s">
        <v>264</v>
      </c>
      <c r="B29" t="s">
        <v>740</v>
      </c>
      <c r="C29" t="s">
        <v>748</v>
      </c>
      <c r="D29" t="s">
        <v>748</v>
      </c>
      <c r="E29" t="s">
        <v>748</v>
      </c>
      <c r="F29" t="s">
        <v>748</v>
      </c>
    </row>
    <row r="30" spans="1:6" x14ac:dyDescent="0.25">
      <c r="A30" t="s">
        <v>265</v>
      </c>
      <c r="B30" t="s">
        <v>740</v>
      </c>
      <c r="C30" t="s">
        <v>748</v>
      </c>
      <c r="D30" t="s">
        <v>748</v>
      </c>
      <c r="E30" t="s">
        <v>748</v>
      </c>
      <c r="F30" t="s">
        <v>748</v>
      </c>
    </row>
    <row r="31" spans="1:6" x14ac:dyDescent="0.25">
      <c r="A31" t="s">
        <v>266</v>
      </c>
      <c r="B31" t="s">
        <v>748</v>
      </c>
      <c r="C31" t="s">
        <v>743</v>
      </c>
      <c r="D31" t="s">
        <v>748</v>
      </c>
      <c r="E31" t="s">
        <v>748</v>
      </c>
      <c r="F31" t="s">
        <v>748</v>
      </c>
    </row>
    <row r="32" spans="1:6" x14ac:dyDescent="0.25">
      <c r="A32" t="s">
        <v>267</v>
      </c>
      <c r="B32" t="s">
        <v>748</v>
      </c>
      <c r="C32" t="s">
        <v>748</v>
      </c>
      <c r="D32" t="s">
        <v>748</v>
      </c>
      <c r="E32" t="s">
        <v>748</v>
      </c>
      <c r="F32" t="s">
        <v>741</v>
      </c>
    </row>
    <row r="33" spans="1:6" x14ac:dyDescent="0.25">
      <c r="A33" t="s">
        <v>268</v>
      </c>
      <c r="B33" t="s">
        <v>740</v>
      </c>
      <c r="C33" t="s">
        <v>748</v>
      </c>
      <c r="D33" t="s">
        <v>748</v>
      </c>
      <c r="E33" t="s">
        <v>748</v>
      </c>
      <c r="F33" t="s">
        <v>748</v>
      </c>
    </row>
    <row r="34" spans="1:6" x14ac:dyDescent="0.25">
      <c r="A34" t="s">
        <v>269</v>
      </c>
      <c r="B34" t="s">
        <v>740</v>
      </c>
      <c r="C34" t="s">
        <v>748</v>
      </c>
      <c r="D34" t="s">
        <v>748</v>
      </c>
      <c r="E34" t="s">
        <v>748</v>
      </c>
      <c r="F34" t="s">
        <v>748</v>
      </c>
    </row>
    <row r="35" spans="1:6" x14ac:dyDescent="0.25">
      <c r="A35" t="s">
        <v>270</v>
      </c>
      <c r="B35" t="s">
        <v>748</v>
      </c>
      <c r="C35" t="s">
        <v>743</v>
      </c>
      <c r="D35" t="s">
        <v>748</v>
      </c>
      <c r="E35" t="s">
        <v>748</v>
      </c>
      <c r="F35" t="s">
        <v>748</v>
      </c>
    </row>
    <row r="36" spans="1:6" x14ac:dyDescent="0.25">
      <c r="A36" t="s">
        <v>271</v>
      </c>
      <c r="B36" t="s">
        <v>748</v>
      </c>
      <c r="C36" t="s">
        <v>748</v>
      </c>
      <c r="D36" t="s">
        <v>748</v>
      </c>
      <c r="E36" t="s">
        <v>744</v>
      </c>
      <c r="F36" t="s">
        <v>748</v>
      </c>
    </row>
    <row r="37" spans="1:6" x14ac:dyDescent="0.25">
      <c r="A37" t="s">
        <v>272</v>
      </c>
      <c r="B37" t="s">
        <v>748</v>
      </c>
      <c r="C37" t="s">
        <v>748</v>
      </c>
      <c r="D37" t="s">
        <v>748</v>
      </c>
      <c r="E37" t="s">
        <v>744</v>
      </c>
      <c r="F37" t="s">
        <v>748</v>
      </c>
    </row>
    <row r="38" spans="1:6" x14ac:dyDescent="0.25">
      <c r="A38" t="s">
        <v>273</v>
      </c>
      <c r="B38" t="s">
        <v>748</v>
      </c>
      <c r="C38" t="s">
        <v>748</v>
      </c>
      <c r="D38" t="s">
        <v>748</v>
      </c>
      <c r="E38" t="s">
        <v>744</v>
      </c>
      <c r="F38" t="s">
        <v>748</v>
      </c>
    </row>
    <row r="39" spans="1:6" x14ac:dyDescent="0.25">
      <c r="A39" t="s">
        <v>274</v>
      </c>
      <c r="B39" t="s">
        <v>748</v>
      </c>
      <c r="C39" t="s">
        <v>748</v>
      </c>
      <c r="D39" t="s">
        <v>742</v>
      </c>
      <c r="E39" t="s">
        <v>748</v>
      </c>
      <c r="F39" t="s">
        <v>748</v>
      </c>
    </row>
    <row r="40" spans="1:6" x14ac:dyDescent="0.25">
      <c r="A40" t="s">
        <v>275</v>
      </c>
      <c r="B40" t="s">
        <v>748</v>
      </c>
      <c r="C40" t="s">
        <v>748</v>
      </c>
      <c r="D40" t="s">
        <v>742</v>
      </c>
      <c r="E40" t="s">
        <v>748</v>
      </c>
      <c r="F40" t="s">
        <v>748</v>
      </c>
    </row>
    <row r="41" spans="1:6" x14ac:dyDescent="0.25">
      <c r="A41" t="s">
        <v>276</v>
      </c>
      <c r="B41" t="s">
        <v>748</v>
      </c>
      <c r="C41" t="s">
        <v>743</v>
      </c>
      <c r="D41" t="s">
        <v>748</v>
      </c>
      <c r="E41" t="s">
        <v>748</v>
      </c>
      <c r="F41" t="s">
        <v>748</v>
      </c>
    </row>
    <row r="42" spans="1:6" x14ac:dyDescent="0.25">
      <c r="A42" t="s">
        <v>277</v>
      </c>
      <c r="B42" t="s">
        <v>748</v>
      </c>
      <c r="C42" t="s">
        <v>743</v>
      </c>
      <c r="D42" t="s">
        <v>748</v>
      </c>
      <c r="E42" t="s">
        <v>748</v>
      </c>
      <c r="F42" t="s">
        <v>748</v>
      </c>
    </row>
    <row r="43" spans="1:6" x14ac:dyDescent="0.25">
      <c r="A43" t="s">
        <v>278</v>
      </c>
      <c r="B43" t="s">
        <v>748</v>
      </c>
      <c r="C43" t="s">
        <v>748</v>
      </c>
      <c r="D43" t="s">
        <v>748</v>
      </c>
      <c r="E43" t="s">
        <v>744</v>
      </c>
      <c r="F43" t="s">
        <v>748</v>
      </c>
    </row>
    <row r="44" spans="1:6" x14ac:dyDescent="0.25">
      <c r="A44" t="s">
        <v>279</v>
      </c>
      <c r="B44" t="s">
        <v>748</v>
      </c>
      <c r="C44" t="s">
        <v>743</v>
      </c>
      <c r="D44" t="s">
        <v>748</v>
      </c>
      <c r="E44" t="s">
        <v>748</v>
      </c>
      <c r="F44" t="s">
        <v>748</v>
      </c>
    </row>
    <row r="45" spans="1:6" x14ac:dyDescent="0.25">
      <c r="A45" t="s">
        <v>280</v>
      </c>
      <c r="B45" t="s">
        <v>740</v>
      </c>
      <c r="C45" t="s">
        <v>748</v>
      </c>
      <c r="D45" t="s">
        <v>748</v>
      </c>
      <c r="E45" t="s">
        <v>748</v>
      </c>
      <c r="F45" t="s">
        <v>748</v>
      </c>
    </row>
    <row r="46" spans="1:6" x14ac:dyDescent="0.25">
      <c r="A46" t="s">
        <v>281</v>
      </c>
      <c r="B46" t="s">
        <v>748</v>
      </c>
      <c r="C46" t="s">
        <v>748</v>
      </c>
      <c r="D46" t="s">
        <v>748</v>
      </c>
      <c r="E46" t="s">
        <v>744</v>
      </c>
      <c r="F46" t="s">
        <v>748</v>
      </c>
    </row>
    <row r="47" spans="1:6" x14ac:dyDescent="0.25">
      <c r="A47" t="s">
        <v>282</v>
      </c>
      <c r="B47" t="s">
        <v>748</v>
      </c>
      <c r="C47" t="s">
        <v>743</v>
      </c>
      <c r="D47" t="s">
        <v>748</v>
      </c>
      <c r="E47" t="s">
        <v>748</v>
      </c>
      <c r="F47" t="s">
        <v>748</v>
      </c>
    </row>
    <row r="48" spans="1:6" x14ac:dyDescent="0.25">
      <c r="A48" t="s">
        <v>283</v>
      </c>
      <c r="B48" t="s">
        <v>740</v>
      </c>
      <c r="C48" t="s">
        <v>748</v>
      </c>
      <c r="D48" t="s">
        <v>748</v>
      </c>
      <c r="E48" t="s">
        <v>748</v>
      </c>
      <c r="F48" t="s">
        <v>748</v>
      </c>
    </row>
    <row r="49" spans="1:6" x14ac:dyDescent="0.25">
      <c r="A49" t="s">
        <v>284</v>
      </c>
      <c r="B49" t="s">
        <v>740</v>
      </c>
      <c r="C49" t="s">
        <v>748</v>
      </c>
      <c r="D49" t="s">
        <v>748</v>
      </c>
      <c r="E49" t="s">
        <v>748</v>
      </c>
      <c r="F49" t="s">
        <v>748</v>
      </c>
    </row>
    <row r="50" spans="1:6" x14ac:dyDescent="0.25">
      <c r="A50" t="s">
        <v>285</v>
      </c>
      <c r="B50" t="s">
        <v>748</v>
      </c>
      <c r="C50" t="s">
        <v>743</v>
      </c>
      <c r="D50" t="s">
        <v>748</v>
      </c>
      <c r="E50" t="s">
        <v>748</v>
      </c>
      <c r="F50" t="s">
        <v>748</v>
      </c>
    </row>
    <row r="51" spans="1:6" x14ac:dyDescent="0.25">
      <c r="A51" t="s">
        <v>286</v>
      </c>
      <c r="B51" t="s">
        <v>740</v>
      </c>
      <c r="C51" t="s">
        <v>748</v>
      </c>
      <c r="D51" t="s">
        <v>748</v>
      </c>
      <c r="E51" t="s">
        <v>748</v>
      </c>
      <c r="F51" t="s">
        <v>748</v>
      </c>
    </row>
    <row r="52" spans="1:6" x14ac:dyDescent="0.25">
      <c r="A52" t="s">
        <v>287</v>
      </c>
      <c r="B52" t="s">
        <v>748</v>
      </c>
      <c r="C52" t="s">
        <v>748</v>
      </c>
      <c r="D52" t="s">
        <v>748</v>
      </c>
      <c r="E52" t="s">
        <v>748</v>
      </c>
      <c r="F52" t="s">
        <v>741</v>
      </c>
    </row>
    <row r="53" spans="1:6" x14ac:dyDescent="0.25">
      <c r="A53" t="s">
        <v>288</v>
      </c>
      <c r="B53" t="s">
        <v>740</v>
      </c>
      <c r="C53" t="s">
        <v>748</v>
      </c>
      <c r="D53" t="s">
        <v>748</v>
      </c>
      <c r="E53" t="s">
        <v>748</v>
      </c>
      <c r="F53" t="s">
        <v>748</v>
      </c>
    </row>
    <row r="54" spans="1:6" x14ac:dyDescent="0.25">
      <c r="A54" t="s">
        <v>289</v>
      </c>
      <c r="B54" t="s">
        <v>748</v>
      </c>
      <c r="C54" t="s">
        <v>748</v>
      </c>
      <c r="D54" t="s">
        <v>748</v>
      </c>
      <c r="E54" t="s">
        <v>744</v>
      </c>
      <c r="F54" t="s">
        <v>748</v>
      </c>
    </row>
    <row r="55" spans="1:6" x14ac:dyDescent="0.25">
      <c r="A55" t="s">
        <v>290</v>
      </c>
      <c r="B55" t="s">
        <v>748</v>
      </c>
      <c r="C55" t="s">
        <v>743</v>
      </c>
      <c r="D55" t="s">
        <v>748</v>
      </c>
      <c r="E55" t="s">
        <v>748</v>
      </c>
      <c r="F55" t="s">
        <v>748</v>
      </c>
    </row>
    <row r="56" spans="1:6" x14ac:dyDescent="0.25">
      <c r="A56" t="s">
        <v>291</v>
      </c>
      <c r="B56" t="s">
        <v>748</v>
      </c>
      <c r="C56" t="s">
        <v>743</v>
      </c>
      <c r="D56" t="s">
        <v>748</v>
      </c>
      <c r="E56" t="s">
        <v>748</v>
      </c>
      <c r="F56" t="s">
        <v>748</v>
      </c>
    </row>
    <row r="57" spans="1:6" x14ac:dyDescent="0.25">
      <c r="A57" t="s">
        <v>292</v>
      </c>
      <c r="B57" t="s">
        <v>748</v>
      </c>
      <c r="C57" t="s">
        <v>743</v>
      </c>
      <c r="D57" t="s">
        <v>748</v>
      </c>
      <c r="E57" t="s">
        <v>748</v>
      </c>
      <c r="F57" t="s">
        <v>748</v>
      </c>
    </row>
    <row r="58" spans="1:6" x14ac:dyDescent="0.25">
      <c r="A58" t="s">
        <v>293</v>
      </c>
      <c r="B58" t="s">
        <v>740</v>
      </c>
      <c r="C58" t="s">
        <v>748</v>
      </c>
      <c r="D58" t="s">
        <v>748</v>
      </c>
      <c r="E58" t="s">
        <v>748</v>
      </c>
      <c r="F58" t="s">
        <v>748</v>
      </c>
    </row>
    <row r="59" spans="1:6" x14ac:dyDescent="0.25">
      <c r="A59" t="s">
        <v>294</v>
      </c>
      <c r="B59" t="s">
        <v>748</v>
      </c>
      <c r="C59" t="s">
        <v>748</v>
      </c>
      <c r="D59" t="s">
        <v>748</v>
      </c>
      <c r="E59" t="s">
        <v>744</v>
      </c>
      <c r="F59" t="s">
        <v>748</v>
      </c>
    </row>
    <row r="60" spans="1:6" x14ac:dyDescent="0.25">
      <c r="A60" t="s">
        <v>295</v>
      </c>
      <c r="B60" t="s">
        <v>748</v>
      </c>
      <c r="C60" t="s">
        <v>748</v>
      </c>
      <c r="D60" t="s">
        <v>748</v>
      </c>
      <c r="E60" t="s">
        <v>748</v>
      </c>
      <c r="F60" t="s">
        <v>741</v>
      </c>
    </row>
    <row r="61" spans="1:6" x14ac:dyDescent="0.25">
      <c r="A61" t="s">
        <v>296</v>
      </c>
      <c r="B61" t="s">
        <v>740</v>
      </c>
      <c r="C61" t="s">
        <v>748</v>
      </c>
      <c r="D61" t="s">
        <v>748</v>
      </c>
      <c r="E61" t="s">
        <v>748</v>
      </c>
      <c r="F61" t="s">
        <v>748</v>
      </c>
    </row>
    <row r="62" spans="1:6" x14ac:dyDescent="0.25">
      <c r="A62" t="s">
        <v>297</v>
      </c>
      <c r="B62" t="s">
        <v>740</v>
      </c>
      <c r="C62" t="s">
        <v>748</v>
      </c>
      <c r="D62" t="s">
        <v>748</v>
      </c>
      <c r="E62" t="s">
        <v>748</v>
      </c>
      <c r="F62" t="s">
        <v>748</v>
      </c>
    </row>
    <row r="63" spans="1:6" x14ac:dyDescent="0.25">
      <c r="A63" t="s">
        <v>298</v>
      </c>
      <c r="B63" t="s">
        <v>740</v>
      </c>
      <c r="C63" t="s">
        <v>748</v>
      </c>
      <c r="D63" t="s">
        <v>748</v>
      </c>
      <c r="E63" t="s">
        <v>748</v>
      </c>
      <c r="F63" t="s">
        <v>748</v>
      </c>
    </row>
    <row r="64" spans="1:6" x14ac:dyDescent="0.25">
      <c r="A64" t="s">
        <v>299</v>
      </c>
      <c r="B64" t="s">
        <v>740</v>
      </c>
      <c r="C64" t="s">
        <v>748</v>
      </c>
      <c r="D64" t="s">
        <v>748</v>
      </c>
      <c r="E64" t="s">
        <v>748</v>
      </c>
      <c r="F64" t="s">
        <v>748</v>
      </c>
    </row>
    <row r="65" spans="1:6" x14ac:dyDescent="0.25">
      <c r="A65" t="s">
        <v>300</v>
      </c>
      <c r="B65" t="s">
        <v>748</v>
      </c>
      <c r="C65" t="s">
        <v>748</v>
      </c>
      <c r="D65" t="s">
        <v>748</v>
      </c>
      <c r="E65" t="s">
        <v>744</v>
      </c>
      <c r="F65" t="s">
        <v>748</v>
      </c>
    </row>
    <row r="66" spans="1:6" x14ac:dyDescent="0.25">
      <c r="A66" t="s">
        <v>301</v>
      </c>
      <c r="B66" t="s">
        <v>748</v>
      </c>
      <c r="C66" t="s">
        <v>748</v>
      </c>
      <c r="D66" t="s">
        <v>748</v>
      </c>
      <c r="E66" t="s">
        <v>744</v>
      </c>
      <c r="F66" t="s">
        <v>748</v>
      </c>
    </row>
    <row r="67" spans="1:6" x14ac:dyDescent="0.25">
      <c r="A67" t="s">
        <v>302</v>
      </c>
      <c r="B67" t="s">
        <v>748</v>
      </c>
      <c r="C67" t="s">
        <v>748</v>
      </c>
      <c r="D67" t="s">
        <v>748</v>
      </c>
      <c r="E67" t="s">
        <v>748</v>
      </c>
      <c r="F67" t="s">
        <v>741</v>
      </c>
    </row>
    <row r="68" spans="1:6" x14ac:dyDescent="0.25">
      <c r="A68" t="s">
        <v>303</v>
      </c>
      <c r="B68" t="s">
        <v>748</v>
      </c>
      <c r="C68" t="s">
        <v>748</v>
      </c>
      <c r="D68" t="s">
        <v>742</v>
      </c>
      <c r="E68" t="s">
        <v>748</v>
      </c>
      <c r="F68" t="s">
        <v>748</v>
      </c>
    </row>
    <row r="69" spans="1:6" x14ac:dyDescent="0.25">
      <c r="A69" t="s">
        <v>304</v>
      </c>
      <c r="B69" t="s">
        <v>748</v>
      </c>
      <c r="C69" t="s">
        <v>748</v>
      </c>
      <c r="D69" t="s">
        <v>748</v>
      </c>
      <c r="E69" t="s">
        <v>744</v>
      </c>
      <c r="F69" t="s">
        <v>748</v>
      </c>
    </row>
    <row r="70" spans="1:6" x14ac:dyDescent="0.25">
      <c r="A70" t="s">
        <v>305</v>
      </c>
      <c r="B70" t="s">
        <v>740</v>
      </c>
      <c r="C70" t="s">
        <v>748</v>
      </c>
      <c r="D70" t="s">
        <v>748</v>
      </c>
      <c r="E70" t="s">
        <v>748</v>
      </c>
      <c r="F70" t="s">
        <v>748</v>
      </c>
    </row>
    <row r="71" spans="1:6" x14ac:dyDescent="0.25">
      <c r="A71" t="s">
        <v>306</v>
      </c>
      <c r="B71" t="s">
        <v>748</v>
      </c>
      <c r="C71" t="s">
        <v>743</v>
      </c>
      <c r="D71" t="s">
        <v>748</v>
      </c>
      <c r="E71" t="s">
        <v>748</v>
      </c>
      <c r="F71" t="s">
        <v>748</v>
      </c>
    </row>
    <row r="72" spans="1:6" x14ac:dyDescent="0.25">
      <c r="A72" t="s">
        <v>307</v>
      </c>
      <c r="B72" t="s">
        <v>740</v>
      </c>
      <c r="C72" t="s">
        <v>748</v>
      </c>
      <c r="D72" t="s">
        <v>748</v>
      </c>
      <c r="E72" t="s">
        <v>748</v>
      </c>
      <c r="F72" t="s">
        <v>748</v>
      </c>
    </row>
    <row r="73" spans="1:6" x14ac:dyDescent="0.25">
      <c r="A73" t="s">
        <v>308</v>
      </c>
      <c r="B73" t="s">
        <v>748</v>
      </c>
      <c r="C73" t="s">
        <v>748</v>
      </c>
      <c r="D73" t="s">
        <v>748</v>
      </c>
      <c r="E73" t="s">
        <v>744</v>
      </c>
      <c r="F73" t="s">
        <v>748</v>
      </c>
    </row>
    <row r="74" spans="1:6" x14ac:dyDescent="0.25">
      <c r="A74" t="s">
        <v>309</v>
      </c>
      <c r="B74" t="s">
        <v>748</v>
      </c>
      <c r="C74" t="s">
        <v>743</v>
      </c>
      <c r="D74" t="s">
        <v>748</v>
      </c>
      <c r="E74" t="s">
        <v>748</v>
      </c>
      <c r="F74" t="s">
        <v>748</v>
      </c>
    </row>
    <row r="75" spans="1:6" x14ac:dyDescent="0.25">
      <c r="A75" t="s">
        <v>310</v>
      </c>
      <c r="B75" t="s">
        <v>748</v>
      </c>
      <c r="C75" t="s">
        <v>748</v>
      </c>
      <c r="D75" t="s">
        <v>748</v>
      </c>
      <c r="E75" t="s">
        <v>744</v>
      </c>
      <c r="F75" t="s">
        <v>748</v>
      </c>
    </row>
    <row r="76" spans="1:6" x14ac:dyDescent="0.25">
      <c r="A76" t="s">
        <v>311</v>
      </c>
      <c r="B76" t="s">
        <v>740</v>
      </c>
      <c r="C76" t="s">
        <v>748</v>
      </c>
      <c r="D76" t="s">
        <v>748</v>
      </c>
      <c r="E76" t="s">
        <v>748</v>
      </c>
      <c r="F76" t="s">
        <v>748</v>
      </c>
    </row>
    <row r="77" spans="1:6" x14ac:dyDescent="0.25">
      <c r="A77" t="s">
        <v>312</v>
      </c>
      <c r="B77" t="s">
        <v>740</v>
      </c>
      <c r="C77" t="s">
        <v>748</v>
      </c>
      <c r="D77" t="s">
        <v>748</v>
      </c>
      <c r="E77" t="s">
        <v>748</v>
      </c>
      <c r="F77" t="s">
        <v>748</v>
      </c>
    </row>
    <row r="78" spans="1:6" x14ac:dyDescent="0.25">
      <c r="A78" t="s">
        <v>313</v>
      </c>
      <c r="B78" t="s">
        <v>748</v>
      </c>
      <c r="C78" t="s">
        <v>748</v>
      </c>
      <c r="D78" t="s">
        <v>748</v>
      </c>
      <c r="E78" t="s">
        <v>748</v>
      </c>
      <c r="F78" t="s">
        <v>741</v>
      </c>
    </row>
    <row r="79" spans="1:6" x14ac:dyDescent="0.25">
      <c r="A79" t="s">
        <v>314</v>
      </c>
      <c r="B79" t="s">
        <v>740</v>
      </c>
      <c r="C79" t="s">
        <v>748</v>
      </c>
      <c r="D79" t="s">
        <v>748</v>
      </c>
      <c r="E79" t="s">
        <v>748</v>
      </c>
      <c r="F79" t="s">
        <v>748</v>
      </c>
    </row>
    <row r="80" spans="1:6" x14ac:dyDescent="0.25">
      <c r="A80" t="s">
        <v>315</v>
      </c>
      <c r="B80" t="s">
        <v>740</v>
      </c>
      <c r="C80" t="s">
        <v>748</v>
      </c>
      <c r="D80" t="s">
        <v>748</v>
      </c>
      <c r="E80" t="s">
        <v>748</v>
      </c>
      <c r="F80" t="s">
        <v>748</v>
      </c>
    </row>
    <row r="81" spans="1:6" x14ac:dyDescent="0.25">
      <c r="A81" t="s">
        <v>316</v>
      </c>
      <c r="B81" t="s">
        <v>748</v>
      </c>
      <c r="C81" t="s">
        <v>743</v>
      </c>
      <c r="D81" t="s">
        <v>748</v>
      </c>
      <c r="E81" t="s">
        <v>748</v>
      </c>
      <c r="F81" t="s">
        <v>748</v>
      </c>
    </row>
    <row r="82" spans="1:6" x14ac:dyDescent="0.25">
      <c r="A82" t="s">
        <v>317</v>
      </c>
      <c r="B82" t="s">
        <v>748</v>
      </c>
      <c r="C82" t="s">
        <v>743</v>
      </c>
      <c r="D82" t="s">
        <v>748</v>
      </c>
      <c r="E82" t="s">
        <v>748</v>
      </c>
      <c r="F82" t="s">
        <v>748</v>
      </c>
    </row>
    <row r="83" spans="1:6" x14ac:dyDescent="0.25">
      <c r="A83" t="s">
        <v>318</v>
      </c>
      <c r="B83" t="s">
        <v>748</v>
      </c>
      <c r="C83" t="s">
        <v>748</v>
      </c>
      <c r="D83" t="s">
        <v>748</v>
      </c>
      <c r="E83" t="s">
        <v>744</v>
      </c>
      <c r="F83" t="s">
        <v>748</v>
      </c>
    </row>
    <row r="84" spans="1:6" x14ac:dyDescent="0.25">
      <c r="A84" t="s">
        <v>319</v>
      </c>
      <c r="B84" t="s">
        <v>740</v>
      </c>
      <c r="C84" t="s">
        <v>748</v>
      </c>
      <c r="D84" t="s">
        <v>748</v>
      </c>
      <c r="E84" t="s">
        <v>748</v>
      </c>
      <c r="F84" t="s">
        <v>748</v>
      </c>
    </row>
    <row r="85" spans="1:6" x14ac:dyDescent="0.25">
      <c r="A85" t="s">
        <v>320</v>
      </c>
      <c r="B85" t="s">
        <v>748</v>
      </c>
      <c r="C85" t="s">
        <v>748</v>
      </c>
      <c r="D85" t="s">
        <v>742</v>
      </c>
      <c r="E85" t="s">
        <v>748</v>
      </c>
      <c r="F85" t="s">
        <v>748</v>
      </c>
    </row>
    <row r="86" spans="1:6" x14ac:dyDescent="0.25">
      <c r="A86" t="s">
        <v>321</v>
      </c>
      <c r="B86" t="s">
        <v>740</v>
      </c>
      <c r="C86" t="s">
        <v>748</v>
      </c>
      <c r="D86" t="s">
        <v>748</v>
      </c>
      <c r="E86" t="s">
        <v>748</v>
      </c>
      <c r="F86" t="s">
        <v>748</v>
      </c>
    </row>
    <row r="87" spans="1:6" x14ac:dyDescent="0.25">
      <c r="A87" t="s">
        <v>322</v>
      </c>
      <c r="B87" t="s">
        <v>740</v>
      </c>
      <c r="C87" t="s">
        <v>748</v>
      </c>
      <c r="D87" t="s">
        <v>748</v>
      </c>
      <c r="E87" t="s">
        <v>748</v>
      </c>
      <c r="F87" t="s">
        <v>748</v>
      </c>
    </row>
    <row r="88" spans="1:6" x14ac:dyDescent="0.25">
      <c r="A88" t="s">
        <v>323</v>
      </c>
      <c r="B88" t="s">
        <v>740</v>
      </c>
      <c r="C88" t="s">
        <v>748</v>
      </c>
      <c r="D88" t="s">
        <v>748</v>
      </c>
      <c r="E88" t="s">
        <v>748</v>
      </c>
      <c r="F88" t="s">
        <v>748</v>
      </c>
    </row>
    <row r="89" spans="1:6" x14ac:dyDescent="0.25">
      <c r="A89" t="s">
        <v>324</v>
      </c>
      <c r="B89" t="s">
        <v>740</v>
      </c>
      <c r="C89" t="s">
        <v>748</v>
      </c>
      <c r="D89" t="s">
        <v>748</v>
      </c>
      <c r="E89" t="s">
        <v>748</v>
      </c>
      <c r="F89" t="s">
        <v>748</v>
      </c>
    </row>
    <row r="90" spans="1:6" x14ac:dyDescent="0.25">
      <c r="A90" t="s">
        <v>325</v>
      </c>
      <c r="B90" t="s">
        <v>748</v>
      </c>
      <c r="C90" t="s">
        <v>748</v>
      </c>
      <c r="D90" t="s">
        <v>748</v>
      </c>
      <c r="E90" t="s">
        <v>744</v>
      </c>
      <c r="F90" t="s">
        <v>748</v>
      </c>
    </row>
    <row r="91" spans="1:6" x14ac:dyDescent="0.25">
      <c r="A91" t="s">
        <v>326</v>
      </c>
      <c r="B91" t="s">
        <v>740</v>
      </c>
      <c r="C91" t="s">
        <v>748</v>
      </c>
      <c r="D91" t="s">
        <v>748</v>
      </c>
      <c r="E91" t="s">
        <v>748</v>
      </c>
      <c r="F91" t="s">
        <v>748</v>
      </c>
    </row>
    <row r="92" spans="1:6" x14ac:dyDescent="0.25">
      <c r="A92" t="s">
        <v>327</v>
      </c>
      <c r="B92" t="s">
        <v>740</v>
      </c>
      <c r="C92" t="s">
        <v>748</v>
      </c>
      <c r="D92" t="s">
        <v>748</v>
      </c>
      <c r="E92" t="s">
        <v>748</v>
      </c>
      <c r="F92" t="s">
        <v>748</v>
      </c>
    </row>
    <row r="93" spans="1:6" x14ac:dyDescent="0.25">
      <c r="A93" t="s">
        <v>328</v>
      </c>
      <c r="B93" t="s">
        <v>740</v>
      </c>
      <c r="C93" t="s">
        <v>748</v>
      </c>
      <c r="D93" t="s">
        <v>748</v>
      </c>
      <c r="E93" t="s">
        <v>748</v>
      </c>
      <c r="F93" t="s">
        <v>748</v>
      </c>
    </row>
    <row r="94" spans="1:6" x14ac:dyDescent="0.25">
      <c r="A94" t="s">
        <v>329</v>
      </c>
      <c r="B94" t="s">
        <v>740</v>
      </c>
      <c r="C94" t="s">
        <v>748</v>
      </c>
      <c r="D94" t="s">
        <v>748</v>
      </c>
      <c r="E94" t="s">
        <v>748</v>
      </c>
      <c r="F94" t="s">
        <v>748</v>
      </c>
    </row>
    <row r="95" spans="1:6" x14ac:dyDescent="0.25">
      <c r="A95" t="s">
        <v>330</v>
      </c>
      <c r="B95" t="s">
        <v>740</v>
      </c>
      <c r="C95" t="s">
        <v>748</v>
      </c>
      <c r="D95" t="s">
        <v>748</v>
      </c>
      <c r="E95" t="s">
        <v>748</v>
      </c>
      <c r="F95" t="s">
        <v>748</v>
      </c>
    </row>
    <row r="96" spans="1:6" x14ac:dyDescent="0.25">
      <c r="A96" t="s">
        <v>331</v>
      </c>
      <c r="B96" t="s">
        <v>740</v>
      </c>
      <c r="C96" t="s">
        <v>748</v>
      </c>
      <c r="D96" t="s">
        <v>748</v>
      </c>
      <c r="E96" t="s">
        <v>748</v>
      </c>
      <c r="F96" t="s">
        <v>748</v>
      </c>
    </row>
    <row r="97" spans="1:6" x14ac:dyDescent="0.25">
      <c r="A97" t="s">
        <v>332</v>
      </c>
      <c r="B97" t="s">
        <v>740</v>
      </c>
      <c r="C97" t="s">
        <v>748</v>
      </c>
      <c r="D97" t="s">
        <v>748</v>
      </c>
      <c r="E97" t="s">
        <v>748</v>
      </c>
      <c r="F97" t="s">
        <v>748</v>
      </c>
    </row>
    <row r="98" spans="1:6" x14ac:dyDescent="0.25">
      <c r="A98" t="s">
        <v>333</v>
      </c>
      <c r="B98" t="s">
        <v>740</v>
      </c>
      <c r="C98" t="s">
        <v>748</v>
      </c>
      <c r="D98" t="s">
        <v>748</v>
      </c>
      <c r="E98" t="s">
        <v>748</v>
      </c>
      <c r="F98" t="s">
        <v>748</v>
      </c>
    </row>
    <row r="99" spans="1:6" x14ac:dyDescent="0.25">
      <c r="A99" t="s">
        <v>334</v>
      </c>
      <c r="B99" t="s">
        <v>740</v>
      </c>
      <c r="C99" t="s">
        <v>748</v>
      </c>
      <c r="D99" t="s">
        <v>748</v>
      </c>
      <c r="E99" t="s">
        <v>748</v>
      </c>
      <c r="F99" t="s">
        <v>748</v>
      </c>
    </row>
    <row r="100" spans="1:6" x14ac:dyDescent="0.25">
      <c r="A100" t="s">
        <v>335</v>
      </c>
      <c r="B100" t="s">
        <v>748</v>
      </c>
      <c r="C100" t="s">
        <v>748</v>
      </c>
      <c r="D100" t="s">
        <v>742</v>
      </c>
      <c r="E100" t="s">
        <v>748</v>
      </c>
      <c r="F100" t="s">
        <v>748</v>
      </c>
    </row>
    <row r="101" spans="1:6" x14ac:dyDescent="0.25">
      <c r="A101" t="s">
        <v>336</v>
      </c>
      <c r="B101" t="s">
        <v>740</v>
      </c>
      <c r="C101" t="s">
        <v>748</v>
      </c>
      <c r="D101" t="s">
        <v>748</v>
      </c>
      <c r="E101" t="s">
        <v>748</v>
      </c>
      <c r="F101" t="s">
        <v>748</v>
      </c>
    </row>
    <row r="102" spans="1:6" x14ac:dyDescent="0.25">
      <c r="A102" t="s">
        <v>337</v>
      </c>
      <c r="B102" t="s">
        <v>748</v>
      </c>
      <c r="C102" t="s">
        <v>748</v>
      </c>
      <c r="D102" t="s">
        <v>748</v>
      </c>
      <c r="E102" t="s">
        <v>744</v>
      </c>
      <c r="F102" t="s">
        <v>748</v>
      </c>
    </row>
    <row r="103" spans="1:6" x14ac:dyDescent="0.25">
      <c r="A103" t="s">
        <v>338</v>
      </c>
      <c r="B103" t="s">
        <v>740</v>
      </c>
      <c r="C103" t="s">
        <v>748</v>
      </c>
      <c r="D103" t="s">
        <v>748</v>
      </c>
      <c r="E103" t="s">
        <v>748</v>
      </c>
      <c r="F103" t="s">
        <v>748</v>
      </c>
    </row>
    <row r="104" spans="1:6" x14ac:dyDescent="0.25">
      <c r="A104" t="s">
        <v>339</v>
      </c>
      <c r="B104" t="s">
        <v>740</v>
      </c>
      <c r="C104" t="s">
        <v>748</v>
      </c>
      <c r="D104" t="s">
        <v>748</v>
      </c>
      <c r="E104" t="s">
        <v>748</v>
      </c>
      <c r="F104" t="s">
        <v>748</v>
      </c>
    </row>
    <row r="105" spans="1:6" x14ac:dyDescent="0.25">
      <c r="A105" t="s">
        <v>340</v>
      </c>
      <c r="B105" t="s">
        <v>748</v>
      </c>
      <c r="C105" t="s">
        <v>748</v>
      </c>
      <c r="D105" t="s">
        <v>742</v>
      </c>
      <c r="E105" t="s">
        <v>748</v>
      </c>
      <c r="F105" t="s">
        <v>748</v>
      </c>
    </row>
    <row r="106" spans="1:6" x14ac:dyDescent="0.25">
      <c r="A106" t="s">
        <v>341</v>
      </c>
      <c r="B106" t="s">
        <v>748</v>
      </c>
      <c r="C106" t="s">
        <v>748</v>
      </c>
      <c r="D106" t="s">
        <v>748</v>
      </c>
      <c r="E106" t="s">
        <v>744</v>
      </c>
      <c r="F106" t="s">
        <v>748</v>
      </c>
    </row>
    <row r="107" spans="1:6" x14ac:dyDescent="0.25">
      <c r="A107" t="s">
        <v>342</v>
      </c>
      <c r="B107" t="s">
        <v>748</v>
      </c>
      <c r="C107" t="s">
        <v>743</v>
      </c>
      <c r="D107" t="s">
        <v>748</v>
      </c>
      <c r="E107" t="s">
        <v>748</v>
      </c>
      <c r="F107" t="s">
        <v>748</v>
      </c>
    </row>
    <row r="108" spans="1:6" x14ac:dyDescent="0.25">
      <c r="A108" t="s">
        <v>343</v>
      </c>
      <c r="B108" t="s">
        <v>740</v>
      </c>
      <c r="C108" t="s">
        <v>748</v>
      </c>
      <c r="D108" t="s">
        <v>748</v>
      </c>
      <c r="E108" t="s">
        <v>748</v>
      </c>
      <c r="F108" t="s">
        <v>748</v>
      </c>
    </row>
    <row r="109" spans="1:6" x14ac:dyDescent="0.25">
      <c r="A109" t="s">
        <v>344</v>
      </c>
      <c r="B109" t="s">
        <v>748</v>
      </c>
      <c r="C109" t="s">
        <v>743</v>
      </c>
      <c r="D109" t="s">
        <v>748</v>
      </c>
      <c r="E109" t="s">
        <v>748</v>
      </c>
      <c r="F109" t="s">
        <v>748</v>
      </c>
    </row>
    <row r="110" spans="1:6" x14ac:dyDescent="0.25">
      <c r="A110" t="s">
        <v>345</v>
      </c>
      <c r="B110" t="s">
        <v>740</v>
      </c>
      <c r="C110" t="s">
        <v>748</v>
      </c>
      <c r="D110" t="s">
        <v>748</v>
      </c>
      <c r="E110" t="s">
        <v>748</v>
      </c>
      <c r="F110" t="s">
        <v>748</v>
      </c>
    </row>
    <row r="111" spans="1:6" x14ac:dyDescent="0.25">
      <c r="A111" t="s">
        <v>346</v>
      </c>
      <c r="B111" t="s">
        <v>748</v>
      </c>
      <c r="C111" t="s">
        <v>743</v>
      </c>
      <c r="D111" t="s">
        <v>748</v>
      </c>
      <c r="E111" t="s">
        <v>748</v>
      </c>
      <c r="F111" t="s">
        <v>748</v>
      </c>
    </row>
    <row r="112" spans="1:6" x14ac:dyDescent="0.25">
      <c r="A112" t="s">
        <v>347</v>
      </c>
      <c r="B112" t="s">
        <v>748</v>
      </c>
      <c r="C112" t="s">
        <v>748</v>
      </c>
      <c r="D112" t="s">
        <v>748</v>
      </c>
      <c r="E112" t="s">
        <v>744</v>
      </c>
      <c r="F112" t="s">
        <v>748</v>
      </c>
    </row>
    <row r="113" spans="1:6" x14ac:dyDescent="0.25">
      <c r="A113" t="s">
        <v>348</v>
      </c>
      <c r="B113" t="s">
        <v>740</v>
      </c>
      <c r="C113" t="s">
        <v>748</v>
      </c>
      <c r="D113" t="s">
        <v>748</v>
      </c>
      <c r="E113" t="s">
        <v>748</v>
      </c>
      <c r="F113" t="s">
        <v>748</v>
      </c>
    </row>
    <row r="114" spans="1:6" x14ac:dyDescent="0.25">
      <c r="A114" t="s">
        <v>349</v>
      </c>
      <c r="B114" t="s">
        <v>740</v>
      </c>
      <c r="C114" t="s">
        <v>748</v>
      </c>
      <c r="D114" t="s">
        <v>748</v>
      </c>
      <c r="E114" t="s">
        <v>748</v>
      </c>
      <c r="F114" t="s">
        <v>748</v>
      </c>
    </row>
    <row r="115" spans="1:6" x14ac:dyDescent="0.25">
      <c r="A115" t="s">
        <v>350</v>
      </c>
      <c r="B115" t="s">
        <v>740</v>
      </c>
      <c r="C115" t="s">
        <v>748</v>
      </c>
      <c r="D115" t="s">
        <v>748</v>
      </c>
      <c r="E115" t="s">
        <v>748</v>
      </c>
      <c r="F115" t="s">
        <v>748</v>
      </c>
    </row>
    <row r="116" spans="1:6" x14ac:dyDescent="0.25">
      <c r="A116" t="s">
        <v>351</v>
      </c>
      <c r="B116" t="s">
        <v>740</v>
      </c>
      <c r="C116" t="s">
        <v>748</v>
      </c>
      <c r="D116" t="s">
        <v>748</v>
      </c>
      <c r="E116" t="s">
        <v>748</v>
      </c>
      <c r="F116" t="s">
        <v>748</v>
      </c>
    </row>
    <row r="117" spans="1:6" x14ac:dyDescent="0.25">
      <c r="A117" t="s">
        <v>352</v>
      </c>
      <c r="B117" t="s">
        <v>740</v>
      </c>
      <c r="C117" t="s">
        <v>748</v>
      </c>
      <c r="D117" t="s">
        <v>748</v>
      </c>
      <c r="E117" t="s">
        <v>748</v>
      </c>
      <c r="F117" t="s">
        <v>748</v>
      </c>
    </row>
    <row r="118" spans="1:6" x14ac:dyDescent="0.25">
      <c r="A118" t="s">
        <v>353</v>
      </c>
      <c r="B118" t="s">
        <v>740</v>
      </c>
      <c r="C118" t="s">
        <v>748</v>
      </c>
      <c r="D118" t="s">
        <v>748</v>
      </c>
      <c r="E118" t="s">
        <v>748</v>
      </c>
      <c r="F118" t="s">
        <v>748</v>
      </c>
    </row>
    <row r="119" spans="1:6" x14ac:dyDescent="0.25">
      <c r="A119" t="s">
        <v>354</v>
      </c>
      <c r="B119" t="s">
        <v>748</v>
      </c>
      <c r="C119" t="s">
        <v>748</v>
      </c>
      <c r="D119" t="s">
        <v>748</v>
      </c>
      <c r="E119" t="s">
        <v>744</v>
      </c>
      <c r="F119" t="s">
        <v>748</v>
      </c>
    </row>
    <row r="120" spans="1:6" x14ac:dyDescent="0.25">
      <c r="A120" t="s">
        <v>355</v>
      </c>
      <c r="B120" t="s">
        <v>748</v>
      </c>
      <c r="C120" t="s">
        <v>748</v>
      </c>
      <c r="D120" t="s">
        <v>748</v>
      </c>
      <c r="E120" t="s">
        <v>744</v>
      </c>
      <c r="F120" t="s">
        <v>748</v>
      </c>
    </row>
    <row r="121" spans="1:6" x14ac:dyDescent="0.25">
      <c r="A121" t="s">
        <v>356</v>
      </c>
      <c r="B121" t="s">
        <v>748</v>
      </c>
      <c r="C121" t="s">
        <v>748</v>
      </c>
      <c r="D121" t="s">
        <v>748</v>
      </c>
      <c r="E121" t="s">
        <v>744</v>
      </c>
      <c r="F121" t="s">
        <v>748</v>
      </c>
    </row>
    <row r="122" spans="1:6" x14ac:dyDescent="0.25">
      <c r="A122" t="s">
        <v>357</v>
      </c>
      <c r="B122" t="s">
        <v>748</v>
      </c>
      <c r="C122" t="s">
        <v>748</v>
      </c>
      <c r="D122" t="s">
        <v>742</v>
      </c>
      <c r="E122" t="s">
        <v>748</v>
      </c>
      <c r="F122" t="s">
        <v>748</v>
      </c>
    </row>
    <row r="123" spans="1:6" x14ac:dyDescent="0.25">
      <c r="A123" t="s">
        <v>358</v>
      </c>
      <c r="B123" t="s">
        <v>748</v>
      </c>
      <c r="C123" t="s">
        <v>748</v>
      </c>
      <c r="D123" t="s">
        <v>748</v>
      </c>
      <c r="E123" t="s">
        <v>744</v>
      </c>
      <c r="F123" t="s">
        <v>748</v>
      </c>
    </row>
    <row r="124" spans="1:6" x14ac:dyDescent="0.25">
      <c r="A124" t="s">
        <v>359</v>
      </c>
      <c r="B124" t="s">
        <v>748</v>
      </c>
      <c r="C124" t="s">
        <v>748</v>
      </c>
      <c r="D124" t="s">
        <v>748</v>
      </c>
      <c r="E124" t="s">
        <v>744</v>
      </c>
      <c r="F124" t="s">
        <v>748</v>
      </c>
    </row>
    <row r="125" spans="1:6" x14ac:dyDescent="0.25">
      <c r="A125" t="s">
        <v>360</v>
      </c>
      <c r="B125" t="s">
        <v>748</v>
      </c>
      <c r="C125" t="s">
        <v>748</v>
      </c>
      <c r="D125" t="s">
        <v>742</v>
      </c>
      <c r="E125" t="s">
        <v>748</v>
      </c>
      <c r="F125" t="s">
        <v>748</v>
      </c>
    </row>
    <row r="126" spans="1:6" x14ac:dyDescent="0.25">
      <c r="A126" t="s">
        <v>361</v>
      </c>
      <c r="B126" t="s">
        <v>740</v>
      </c>
      <c r="C126" t="s">
        <v>748</v>
      </c>
      <c r="D126" t="s">
        <v>748</v>
      </c>
      <c r="E126" t="s">
        <v>748</v>
      </c>
      <c r="F126" t="s">
        <v>748</v>
      </c>
    </row>
    <row r="127" spans="1:6" x14ac:dyDescent="0.25">
      <c r="A127" t="s">
        <v>362</v>
      </c>
      <c r="B127" t="s">
        <v>740</v>
      </c>
      <c r="C127" t="s">
        <v>748</v>
      </c>
      <c r="D127" t="s">
        <v>748</v>
      </c>
      <c r="E127" t="s">
        <v>748</v>
      </c>
      <c r="F127" t="s">
        <v>748</v>
      </c>
    </row>
    <row r="128" spans="1:6" x14ac:dyDescent="0.25">
      <c r="A128" t="s">
        <v>363</v>
      </c>
      <c r="B128" t="s">
        <v>748</v>
      </c>
      <c r="C128" t="s">
        <v>748</v>
      </c>
      <c r="D128" t="s">
        <v>748</v>
      </c>
      <c r="E128" t="s">
        <v>744</v>
      </c>
      <c r="F128" t="s">
        <v>748</v>
      </c>
    </row>
    <row r="129" spans="1:6" x14ac:dyDescent="0.25">
      <c r="A129" t="s">
        <v>364</v>
      </c>
      <c r="B129" t="s">
        <v>740</v>
      </c>
      <c r="C129" t="s">
        <v>748</v>
      </c>
      <c r="D129" t="s">
        <v>748</v>
      </c>
      <c r="E129" t="s">
        <v>748</v>
      </c>
      <c r="F129" t="s">
        <v>748</v>
      </c>
    </row>
    <row r="130" spans="1:6" x14ac:dyDescent="0.25">
      <c r="A130" t="s">
        <v>365</v>
      </c>
      <c r="B130" t="s">
        <v>740</v>
      </c>
      <c r="C130" t="s">
        <v>748</v>
      </c>
      <c r="D130" t="s">
        <v>748</v>
      </c>
      <c r="E130" t="s">
        <v>748</v>
      </c>
      <c r="F130" t="s">
        <v>748</v>
      </c>
    </row>
    <row r="131" spans="1:6" x14ac:dyDescent="0.25">
      <c r="A131" t="s">
        <v>366</v>
      </c>
      <c r="B131" t="s">
        <v>740</v>
      </c>
      <c r="C131" t="s">
        <v>748</v>
      </c>
      <c r="D131" t="s">
        <v>748</v>
      </c>
      <c r="E131" t="s">
        <v>748</v>
      </c>
      <c r="F131" t="s">
        <v>748</v>
      </c>
    </row>
    <row r="132" spans="1:6" x14ac:dyDescent="0.25">
      <c r="A132" t="s">
        <v>367</v>
      </c>
      <c r="B132" t="s">
        <v>748</v>
      </c>
      <c r="C132" t="s">
        <v>743</v>
      </c>
      <c r="D132" t="s">
        <v>748</v>
      </c>
      <c r="E132" t="s">
        <v>748</v>
      </c>
      <c r="F132" t="s">
        <v>748</v>
      </c>
    </row>
    <row r="133" spans="1:6" x14ac:dyDescent="0.25">
      <c r="A133" t="s">
        <v>368</v>
      </c>
      <c r="B133" t="s">
        <v>740</v>
      </c>
      <c r="C133" t="s">
        <v>748</v>
      </c>
      <c r="D133" t="s">
        <v>748</v>
      </c>
      <c r="E133" t="s">
        <v>748</v>
      </c>
      <c r="F133" t="s">
        <v>748</v>
      </c>
    </row>
    <row r="134" spans="1:6" x14ac:dyDescent="0.25">
      <c r="A134" t="s">
        <v>369</v>
      </c>
      <c r="B134" t="s">
        <v>748</v>
      </c>
      <c r="C134" t="s">
        <v>748</v>
      </c>
      <c r="D134" t="s">
        <v>748</v>
      </c>
      <c r="E134" t="s">
        <v>744</v>
      </c>
      <c r="F134" t="s">
        <v>748</v>
      </c>
    </row>
    <row r="135" spans="1:6" x14ac:dyDescent="0.25">
      <c r="A135" t="s">
        <v>370</v>
      </c>
      <c r="B135" t="s">
        <v>748</v>
      </c>
      <c r="C135" t="s">
        <v>743</v>
      </c>
      <c r="D135" t="s">
        <v>748</v>
      </c>
      <c r="E135" t="s">
        <v>748</v>
      </c>
      <c r="F135" t="s">
        <v>748</v>
      </c>
    </row>
    <row r="136" spans="1:6" x14ac:dyDescent="0.25">
      <c r="A136" t="s">
        <v>371</v>
      </c>
      <c r="B136" t="s">
        <v>740</v>
      </c>
      <c r="C136" t="s">
        <v>748</v>
      </c>
      <c r="D136" t="s">
        <v>748</v>
      </c>
      <c r="E136" t="s">
        <v>748</v>
      </c>
      <c r="F136" t="s">
        <v>748</v>
      </c>
    </row>
    <row r="137" spans="1:6" x14ac:dyDescent="0.25">
      <c r="A137" t="s">
        <v>372</v>
      </c>
      <c r="B137" t="s">
        <v>748</v>
      </c>
      <c r="C137" t="s">
        <v>748</v>
      </c>
      <c r="D137" t="s">
        <v>748</v>
      </c>
      <c r="E137" t="s">
        <v>748</v>
      </c>
      <c r="F137" t="s">
        <v>741</v>
      </c>
    </row>
    <row r="138" spans="1:6" x14ac:dyDescent="0.25">
      <c r="A138" t="s">
        <v>373</v>
      </c>
      <c r="B138" t="s">
        <v>748</v>
      </c>
      <c r="C138" t="s">
        <v>748</v>
      </c>
      <c r="D138" t="s">
        <v>748</v>
      </c>
      <c r="E138" t="s">
        <v>744</v>
      </c>
      <c r="F138" t="s">
        <v>748</v>
      </c>
    </row>
    <row r="139" spans="1:6" x14ac:dyDescent="0.25">
      <c r="A139" t="s">
        <v>374</v>
      </c>
      <c r="B139" t="s">
        <v>740</v>
      </c>
      <c r="C139" t="s">
        <v>748</v>
      </c>
      <c r="D139" t="s">
        <v>748</v>
      </c>
      <c r="E139" t="s">
        <v>748</v>
      </c>
      <c r="F139" t="s">
        <v>748</v>
      </c>
    </row>
    <row r="140" spans="1:6" x14ac:dyDescent="0.25">
      <c r="A140" t="s">
        <v>375</v>
      </c>
      <c r="B140" t="s">
        <v>748</v>
      </c>
      <c r="C140" t="s">
        <v>748</v>
      </c>
      <c r="D140" t="s">
        <v>748</v>
      </c>
      <c r="E140" t="s">
        <v>744</v>
      </c>
      <c r="F140" t="s">
        <v>748</v>
      </c>
    </row>
    <row r="141" spans="1:6" x14ac:dyDescent="0.25">
      <c r="A141" t="s">
        <v>376</v>
      </c>
      <c r="B141" t="s">
        <v>748</v>
      </c>
      <c r="C141" t="s">
        <v>748</v>
      </c>
      <c r="D141" t="s">
        <v>748</v>
      </c>
      <c r="E141" t="s">
        <v>744</v>
      </c>
      <c r="F141" t="s">
        <v>748</v>
      </c>
    </row>
    <row r="142" spans="1:6" x14ac:dyDescent="0.25">
      <c r="A142" t="s">
        <v>377</v>
      </c>
      <c r="B142" t="s">
        <v>748</v>
      </c>
      <c r="C142" t="s">
        <v>748</v>
      </c>
      <c r="D142" t="s">
        <v>748</v>
      </c>
      <c r="E142" t="s">
        <v>744</v>
      </c>
      <c r="F142" t="s">
        <v>748</v>
      </c>
    </row>
    <row r="143" spans="1:6" x14ac:dyDescent="0.25">
      <c r="A143" t="s">
        <v>378</v>
      </c>
      <c r="B143" t="s">
        <v>740</v>
      </c>
      <c r="C143" t="s">
        <v>748</v>
      </c>
      <c r="D143" t="s">
        <v>748</v>
      </c>
      <c r="E143" t="s">
        <v>748</v>
      </c>
      <c r="F143" t="s">
        <v>748</v>
      </c>
    </row>
    <row r="144" spans="1:6" x14ac:dyDescent="0.25">
      <c r="A144" t="s">
        <v>379</v>
      </c>
      <c r="B144" t="s">
        <v>740</v>
      </c>
      <c r="C144" t="s">
        <v>748</v>
      </c>
      <c r="D144" t="s">
        <v>748</v>
      </c>
      <c r="E144" t="s">
        <v>748</v>
      </c>
      <c r="F144" t="s">
        <v>748</v>
      </c>
    </row>
    <row r="145" spans="1:6" x14ac:dyDescent="0.25">
      <c r="A145" t="s">
        <v>380</v>
      </c>
      <c r="B145" t="s">
        <v>740</v>
      </c>
      <c r="C145" t="s">
        <v>748</v>
      </c>
      <c r="D145" t="s">
        <v>748</v>
      </c>
      <c r="E145" t="s">
        <v>748</v>
      </c>
      <c r="F145" t="s">
        <v>748</v>
      </c>
    </row>
    <row r="146" spans="1:6" x14ac:dyDescent="0.25">
      <c r="A146" t="s">
        <v>381</v>
      </c>
      <c r="B146" t="s">
        <v>740</v>
      </c>
      <c r="C146" t="s">
        <v>748</v>
      </c>
      <c r="D146" t="s">
        <v>748</v>
      </c>
      <c r="E146" t="s">
        <v>748</v>
      </c>
      <c r="F146" t="s">
        <v>748</v>
      </c>
    </row>
    <row r="147" spans="1:6" x14ac:dyDescent="0.25">
      <c r="A147" t="s">
        <v>382</v>
      </c>
      <c r="B147" t="s">
        <v>740</v>
      </c>
      <c r="C147" t="s">
        <v>748</v>
      </c>
      <c r="D147" t="s">
        <v>748</v>
      </c>
      <c r="E147" t="s">
        <v>748</v>
      </c>
      <c r="F147" t="s">
        <v>748</v>
      </c>
    </row>
    <row r="148" spans="1:6" x14ac:dyDescent="0.25">
      <c r="A148" t="s">
        <v>383</v>
      </c>
      <c r="B148" t="s">
        <v>740</v>
      </c>
      <c r="C148" t="s">
        <v>748</v>
      </c>
      <c r="D148" t="s">
        <v>748</v>
      </c>
      <c r="E148" t="s">
        <v>748</v>
      </c>
      <c r="F148" t="s">
        <v>748</v>
      </c>
    </row>
    <row r="149" spans="1:6" x14ac:dyDescent="0.25">
      <c r="A149" t="s">
        <v>384</v>
      </c>
      <c r="B149" t="s">
        <v>740</v>
      </c>
      <c r="C149" t="s">
        <v>748</v>
      </c>
      <c r="D149" t="s">
        <v>748</v>
      </c>
      <c r="E149" t="s">
        <v>748</v>
      </c>
      <c r="F149" t="s">
        <v>748</v>
      </c>
    </row>
    <row r="150" spans="1:6" x14ac:dyDescent="0.25">
      <c r="A150" t="s">
        <v>385</v>
      </c>
      <c r="B150" t="s">
        <v>740</v>
      </c>
      <c r="C150" t="s">
        <v>748</v>
      </c>
      <c r="D150" t="s">
        <v>748</v>
      </c>
      <c r="E150" t="s">
        <v>748</v>
      </c>
      <c r="F150" t="s">
        <v>748</v>
      </c>
    </row>
    <row r="151" spans="1:6" x14ac:dyDescent="0.25">
      <c r="A151" t="s">
        <v>386</v>
      </c>
      <c r="B151" t="s">
        <v>740</v>
      </c>
      <c r="C151" t="s">
        <v>748</v>
      </c>
      <c r="D151" t="s">
        <v>748</v>
      </c>
      <c r="E151" t="s">
        <v>748</v>
      </c>
      <c r="F151" t="s">
        <v>748</v>
      </c>
    </row>
    <row r="152" spans="1:6" x14ac:dyDescent="0.25">
      <c r="A152" t="s">
        <v>387</v>
      </c>
      <c r="B152" t="s">
        <v>740</v>
      </c>
      <c r="C152" t="s">
        <v>748</v>
      </c>
      <c r="D152" t="s">
        <v>748</v>
      </c>
      <c r="E152" t="s">
        <v>748</v>
      </c>
      <c r="F152" t="s">
        <v>748</v>
      </c>
    </row>
    <row r="153" spans="1:6" x14ac:dyDescent="0.25">
      <c r="A153" t="s">
        <v>388</v>
      </c>
      <c r="B153" t="s">
        <v>748</v>
      </c>
      <c r="C153" t="s">
        <v>748</v>
      </c>
      <c r="D153" t="s">
        <v>748</v>
      </c>
      <c r="E153" t="s">
        <v>744</v>
      </c>
      <c r="F153" t="s">
        <v>748</v>
      </c>
    </row>
    <row r="154" spans="1:6" x14ac:dyDescent="0.25">
      <c r="A154" t="s">
        <v>389</v>
      </c>
      <c r="B154" t="s">
        <v>740</v>
      </c>
      <c r="C154" t="s">
        <v>748</v>
      </c>
      <c r="D154" t="s">
        <v>748</v>
      </c>
      <c r="E154" t="s">
        <v>748</v>
      </c>
      <c r="F154" t="s">
        <v>748</v>
      </c>
    </row>
    <row r="155" spans="1:6" x14ac:dyDescent="0.25">
      <c r="A155" t="s">
        <v>390</v>
      </c>
      <c r="B155" t="s">
        <v>748</v>
      </c>
      <c r="C155" t="s">
        <v>748</v>
      </c>
      <c r="D155" t="s">
        <v>748</v>
      </c>
      <c r="E155" t="s">
        <v>744</v>
      </c>
      <c r="F155" t="s">
        <v>748</v>
      </c>
    </row>
    <row r="156" spans="1:6" x14ac:dyDescent="0.25">
      <c r="A156" t="s">
        <v>391</v>
      </c>
      <c r="B156" t="s">
        <v>748</v>
      </c>
      <c r="C156" t="s">
        <v>743</v>
      </c>
      <c r="D156" t="s">
        <v>748</v>
      </c>
      <c r="E156" t="s">
        <v>748</v>
      </c>
      <c r="F156" t="s">
        <v>748</v>
      </c>
    </row>
    <row r="157" spans="1:6" x14ac:dyDescent="0.25">
      <c r="A157" t="s">
        <v>392</v>
      </c>
      <c r="B157" t="s">
        <v>748</v>
      </c>
      <c r="C157" t="s">
        <v>748</v>
      </c>
      <c r="D157" t="s">
        <v>748</v>
      </c>
      <c r="E157" t="s">
        <v>744</v>
      </c>
      <c r="F157" t="s">
        <v>748</v>
      </c>
    </row>
    <row r="158" spans="1:6" x14ac:dyDescent="0.25">
      <c r="A158" t="s">
        <v>393</v>
      </c>
      <c r="B158" t="s">
        <v>748</v>
      </c>
      <c r="C158" t="s">
        <v>748</v>
      </c>
      <c r="D158" t="s">
        <v>748</v>
      </c>
      <c r="E158" t="s">
        <v>748</v>
      </c>
      <c r="F158" t="s">
        <v>741</v>
      </c>
    </row>
    <row r="159" spans="1:6" x14ac:dyDescent="0.25">
      <c r="A159" t="s">
        <v>394</v>
      </c>
      <c r="B159" t="s">
        <v>748</v>
      </c>
      <c r="C159" t="s">
        <v>748</v>
      </c>
      <c r="D159" t="s">
        <v>748</v>
      </c>
      <c r="E159" t="s">
        <v>744</v>
      </c>
      <c r="F159" t="s">
        <v>748</v>
      </c>
    </row>
    <row r="160" spans="1:6" x14ac:dyDescent="0.25">
      <c r="A160" t="s">
        <v>395</v>
      </c>
      <c r="B160" t="s">
        <v>748</v>
      </c>
      <c r="C160" t="s">
        <v>748</v>
      </c>
      <c r="D160" t="s">
        <v>748</v>
      </c>
      <c r="E160" t="s">
        <v>744</v>
      </c>
      <c r="F160" t="s">
        <v>748</v>
      </c>
    </row>
    <row r="161" spans="1:6" x14ac:dyDescent="0.25">
      <c r="A161" t="s">
        <v>396</v>
      </c>
      <c r="B161" t="s">
        <v>748</v>
      </c>
      <c r="C161" t="s">
        <v>748</v>
      </c>
      <c r="D161" t="s">
        <v>748</v>
      </c>
      <c r="E161" t="s">
        <v>748</v>
      </c>
      <c r="F161" t="s">
        <v>741</v>
      </c>
    </row>
    <row r="162" spans="1:6" x14ac:dyDescent="0.25">
      <c r="A162" t="s">
        <v>397</v>
      </c>
      <c r="B162" t="s">
        <v>748</v>
      </c>
      <c r="C162" t="s">
        <v>748</v>
      </c>
      <c r="D162" t="s">
        <v>742</v>
      </c>
      <c r="E162" t="s">
        <v>748</v>
      </c>
      <c r="F162" t="s">
        <v>748</v>
      </c>
    </row>
    <row r="163" spans="1:6" x14ac:dyDescent="0.25">
      <c r="A163" t="s">
        <v>398</v>
      </c>
      <c r="B163" t="s">
        <v>740</v>
      </c>
      <c r="C163" t="s">
        <v>748</v>
      </c>
      <c r="D163" t="s">
        <v>748</v>
      </c>
      <c r="E163" t="s">
        <v>748</v>
      </c>
      <c r="F163" t="s">
        <v>748</v>
      </c>
    </row>
    <row r="164" spans="1:6" x14ac:dyDescent="0.25">
      <c r="A164" t="s">
        <v>399</v>
      </c>
      <c r="B164" t="s">
        <v>748</v>
      </c>
      <c r="C164" t="s">
        <v>748</v>
      </c>
      <c r="D164" t="s">
        <v>748</v>
      </c>
      <c r="E164" t="s">
        <v>748</v>
      </c>
      <c r="F164" t="s">
        <v>741</v>
      </c>
    </row>
    <row r="165" spans="1:6" x14ac:dyDescent="0.25">
      <c r="A165" t="s">
        <v>400</v>
      </c>
      <c r="B165" t="s">
        <v>740</v>
      </c>
      <c r="C165" t="s">
        <v>748</v>
      </c>
      <c r="D165" t="s">
        <v>748</v>
      </c>
      <c r="E165" t="s">
        <v>748</v>
      </c>
      <c r="F165" t="s">
        <v>748</v>
      </c>
    </row>
    <row r="166" spans="1:6" x14ac:dyDescent="0.25">
      <c r="A166" t="s">
        <v>401</v>
      </c>
      <c r="B166" t="s">
        <v>740</v>
      </c>
      <c r="C166" t="s">
        <v>748</v>
      </c>
      <c r="D166" t="s">
        <v>748</v>
      </c>
      <c r="E166" t="s">
        <v>748</v>
      </c>
      <c r="F166" t="s">
        <v>748</v>
      </c>
    </row>
    <row r="167" spans="1:6" x14ac:dyDescent="0.25">
      <c r="A167" t="s">
        <v>402</v>
      </c>
      <c r="B167" t="s">
        <v>740</v>
      </c>
      <c r="C167" t="s">
        <v>748</v>
      </c>
      <c r="D167" t="s">
        <v>748</v>
      </c>
      <c r="E167" t="s">
        <v>748</v>
      </c>
      <c r="F167" t="s">
        <v>748</v>
      </c>
    </row>
    <row r="168" spans="1:6" x14ac:dyDescent="0.25">
      <c r="A168" t="s">
        <v>403</v>
      </c>
      <c r="B168" t="s">
        <v>740</v>
      </c>
      <c r="C168" t="s">
        <v>748</v>
      </c>
      <c r="D168" t="s">
        <v>748</v>
      </c>
      <c r="E168" t="s">
        <v>748</v>
      </c>
      <c r="F168" t="s">
        <v>748</v>
      </c>
    </row>
    <row r="169" spans="1:6" x14ac:dyDescent="0.25">
      <c r="A169" t="s">
        <v>404</v>
      </c>
      <c r="B169" t="s">
        <v>740</v>
      </c>
      <c r="C169" t="s">
        <v>748</v>
      </c>
      <c r="D169" t="s">
        <v>748</v>
      </c>
      <c r="E169" t="s">
        <v>748</v>
      </c>
      <c r="F169" t="s">
        <v>748</v>
      </c>
    </row>
    <row r="170" spans="1:6" x14ac:dyDescent="0.25">
      <c r="A170" t="s">
        <v>405</v>
      </c>
      <c r="B170" t="s">
        <v>740</v>
      </c>
      <c r="C170" t="s">
        <v>748</v>
      </c>
      <c r="D170" t="s">
        <v>748</v>
      </c>
      <c r="E170" t="s">
        <v>748</v>
      </c>
      <c r="F170" t="s">
        <v>748</v>
      </c>
    </row>
    <row r="171" spans="1:6" x14ac:dyDescent="0.25">
      <c r="A171" t="s">
        <v>406</v>
      </c>
      <c r="B171" t="s">
        <v>740</v>
      </c>
      <c r="C171" t="s">
        <v>748</v>
      </c>
      <c r="D171" t="s">
        <v>748</v>
      </c>
      <c r="E171" t="s">
        <v>748</v>
      </c>
      <c r="F171" t="s">
        <v>748</v>
      </c>
    </row>
    <row r="172" spans="1:6" x14ac:dyDescent="0.25">
      <c r="A172" t="s">
        <v>407</v>
      </c>
      <c r="B172" t="s">
        <v>748</v>
      </c>
      <c r="C172" t="s">
        <v>743</v>
      </c>
      <c r="D172" t="s">
        <v>748</v>
      </c>
      <c r="E172" t="s">
        <v>748</v>
      </c>
      <c r="F172" t="s">
        <v>748</v>
      </c>
    </row>
    <row r="173" spans="1:6" x14ac:dyDescent="0.25">
      <c r="A173" t="s">
        <v>408</v>
      </c>
      <c r="B173" t="s">
        <v>740</v>
      </c>
      <c r="C173" t="s">
        <v>748</v>
      </c>
      <c r="D173" t="s">
        <v>748</v>
      </c>
      <c r="E173" t="s">
        <v>748</v>
      </c>
      <c r="F173" t="s">
        <v>748</v>
      </c>
    </row>
    <row r="174" spans="1:6" x14ac:dyDescent="0.25">
      <c r="A174" t="s">
        <v>409</v>
      </c>
      <c r="B174" t="s">
        <v>740</v>
      </c>
      <c r="C174" t="s">
        <v>748</v>
      </c>
      <c r="D174" t="s">
        <v>748</v>
      </c>
      <c r="E174" t="s">
        <v>748</v>
      </c>
      <c r="F174" t="s">
        <v>748</v>
      </c>
    </row>
    <row r="175" spans="1:6" x14ac:dyDescent="0.25">
      <c r="A175" t="s">
        <v>410</v>
      </c>
      <c r="B175" t="s">
        <v>740</v>
      </c>
      <c r="C175" t="s">
        <v>748</v>
      </c>
      <c r="D175" t="s">
        <v>748</v>
      </c>
      <c r="E175" t="s">
        <v>748</v>
      </c>
      <c r="F175" t="s">
        <v>748</v>
      </c>
    </row>
    <row r="176" spans="1:6" x14ac:dyDescent="0.25">
      <c r="A176" t="s">
        <v>411</v>
      </c>
      <c r="B176" t="s">
        <v>740</v>
      </c>
      <c r="C176" t="s">
        <v>748</v>
      </c>
      <c r="D176" t="s">
        <v>748</v>
      </c>
      <c r="E176" t="s">
        <v>748</v>
      </c>
      <c r="F176" t="s">
        <v>748</v>
      </c>
    </row>
    <row r="177" spans="1:6" x14ac:dyDescent="0.25">
      <c r="A177" t="s">
        <v>412</v>
      </c>
      <c r="B177" t="s">
        <v>740</v>
      </c>
      <c r="C177" t="s">
        <v>748</v>
      </c>
      <c r="D177" t="s">
        <v>748</v>
      </c>
      <c r="E177" t="s">
        <v>748</v>
      </c>
      <c r="F177" t="s">
        <v>748</v>
      </c>
    </row>
    <row r="178" spans="1:6" x14ac:dyDescent="0.25">
      <c r="A178" t="s">
        <v>413</v>
      </c>
      <c r="B178" t="s">
        <v>748</v>
      </c>
      <c r="C178" t="s">
        <v>748</v>
      </c>
      <c r="D178" t="s">
        <v>748</v>
      </c>
      <c r="E178" t="s">
        <v>744</v>
      </c>
      <c r="F178" t="s">
        <v>748</v>
      </c>
    </row>
    <row r="179" spans="1:6" x14ac:dyDescent="0.25">
      <c r="A179" t="s">
        <v>414</v>
      </c>
      <c r="B179" t="s">
        <v>748</v>
      </c>
      <c r="C179" t="s">
        <v>743</v>
      </c>
      <c r="D179" t="s">
        <v>748</v>
      </c>
      <c r="E179" t="s">
        <v>748</v>
      </c>
      <c r="F179" t="s">
        <v>748</v>
      </c>
    </row>
    <row r="180" spans="1:6" x14ac:dyDescent="0.25">
      <c r="A180" t="s">
        <v>415</v>
      </c>
      <c r="B180" t="s">
        <v>740</v>
      </c>
      <c r="C180" t="s">
        <v>748</v>
      </c>
      <c r="D180" t="s">
        <v>748</v>
      </c>
      <c r="E180" t="s">
        <v>748</v>
      </c>
      <c r="F180" t="s">
        <v>748</v>
      </c>
    </row>
    <row r="181" spans="1:6" x14ac:dyDescent="0.25">
      <c r="A181" t="s">
        <v>416</v>
      </c>
      <c r="B181" t="s">
        <v>740</v>
      </c>
      <c r="C181" t="s">
        <v>748</v>
      </c>
      <c r="D181" t="s">
        <v>748</v>
      </c>
      <c r="E181" t="s">
        <v>748</v>
      </c>
      <c r="F181" t="s">
        <v>748</v>
      </c>
    </row>
    <row r="182" spans="1:6" x14ac:dyDescent="0.25">
      <c r="A182" t="s">
        <v>417</v>
      </c>
      <c r="B182" t="s">
        <v>748</v>
      </c>
      <c r="C182" t="s">
        <v>748</v>
      </c>
      <c r="D182" t="s">
        <v>748</v>
      </c>
      <c r="E182" t="s">
        <v>744</v>
      </c>
      <c r="F182" t="s">
        <v>748</v>
      </c>
    </row>
    <row r="183" spans="1:6" x14ac:dyDescent="0.25">
      <c r="A183" t="s">
        <v>418</v>
      </c>
      <c r="B183" t="s">
        <v>748</v>
      </c>
      <c r="C183" t="s">
        <v>743</v>
      </c>
      <c r="D183" t="s">
        <v>748</v>
      </c>
      <c r="E183" t="s">
        <v>748</v>
      </c>
      <c r="F183" t="s">
        <v>748</v>
      </c>
    </row>
    <row r="184" spans="1:6" x14ac:dyDescent="0.25">
      <c r="A184" t="s">
        <v>419</v>
      </c>
      <c r="B184" t="s">
        <v>748</v>
      </c>
      <c r="C184" t="s">
        <v>748</v>
      </c>
      <c r="D184" t="s">
        <v>748</v>
      </c>
      <c r="E184" t="s">
        <v>744</v>
      </c>
      <c r="F184" t="s">
        <v>748</v>
      </c>
    </row>
    <row r="185" spans="1:6" x14ac:dyDescent="0.25">
      <c r="A185" t="s">
        <v>420</v>
      </c>
      <c r="B185" t="s">
        <v>748</v>
      </c>
      <c r="C185" t="s">
        <v>748</v>
      </c>
      <c r="D185" t="s">
        <v>742</v>
      </c>
      <c r="E185" t="s">
        <v>748</v>
      </c>
      <c r="F185" t="s">
        <v>748</v>
      </c>
    </row>
    <row r="186" spans="1:6" x14ac:dyDescent="0.25">
      <c r="A186" t="s">
        <v>421</v>
      </c>
      <c r="B186" t="s">
        <v>748</v>
      </c>
      <c r="C186" t="s">
        <v>748</v>
      </c>
      <c r="D186" t="s">
        <v>748</v>
      </c>
      <c r="E186" t="s">
        <v>744</v>
      </c>
      <c r="F186" t="s">
        <v>748</v>
      </c>
    </row>
    <row r="187" spans="1:6" x14ac:dyDescent="0.25">
      <c r="A187" t="s">
        <v>422</v>
      </c>
      <c r="B187" t="s">
        <v>748</v>
      </c>
      <c r="C187" t="s">
        <v>743</v>
      </c>
      <c r="D187" t="s">
        <v>748</v>
      </c>
      <c r="E187" t="s">
        <v>748</v>
      </c>
      <c r="F187" t="s">
        <v>748</v>
      </c>
    </row>
    <row r="188" spans="1:6" x14ac:dyDescent="0.25">
      <c r="A188" t="s">
        <v>423</v>
      </c>
      <c r="B188" t="s">
        <v>740</v>
      </c>
      <c r="C188" t="s">
        <v>748</v>
      </c>
      <c r="D188" t="s">
        <v>748</v>
      </c>
      <c r="E188" t="s">
        <v>748</v>
      </c>
      <c r="F188" t="s">
        <v>748</v>
      </c>
    </row>
    <row r="189" spans="1:6" x14ac:dyDescent="0.25">
      <c r="A189" t="s">
        <v>424</v>
      </c>
      <c r="B189" t="s">
        <v>740</v>
      </c>
      <c r="C189" t="s">
        <v>748</v>
      </c>
      <c r="D189" t="s">
        <v>748</v>
      </c>
      <c r="E189" t="s">
        <v>748</v>
      </c>
      <c r="F189" t="s">
        <v>748</v>
      </c>
    </row>
    <row r="190" spans="1:6" x14ac:dyDescent="0.25">
      <c r="A190" t="s">
        <v>425</v>
      </c>
      <c r="B190" t="s">
        <v>740</v>
      </c>
      <c r="C190" t="s">
        <v>748</v>
      </c>
      <c r="D190" t="s">
        <v>748</v>
      </c>
      <c r="E190" t="s">
        <v>748</v>
      </c>
      <c r="F190" t="s">
        <v>748</v>
      </c>
    </row>
    <row r="191" spans="1:6" x14ac:dyDescent="0.25">
      <c r="A191" t="s">
        <v>426</v>
      </c>
      <c r="B191" t="s">
        <v>748</v>
      </c>
      <c r="C191" t="s">
        <v>743</v>
      </c>
      <c r="D191" t="s">
        <v>748</v>
      </c>
      <c r="E191" t="s">
        <v>748</v>
      </c>
      <c r="F191" t="s">
        <v>748</v>
      </c>
    </row>
    <row r="192" spans="1:6" x14ac:dyDescent="0.25">
      <c r="A192" t="s">
        <v>427</v>
      </c>
      <c r="B192" t="s">
        <v>740</v>
      </c>
      <c r="C192" t="s">
        <v>748</v>
      </c>
      <c r="D192" t="s">
        <v>748</v>
      </c>
      <c r="E192" t="s">
        <v>748</v>
      </c>
      <c r="F192" t="s">
        <v>748</v>
      </c>
    </row>
    <row r="193" spans="1:6" x14ac:dyDescent="0.25">
      <c r="A193" t="s">
        <v>428</v>
      </c>
      <c r="B193" t="s">
        <v>740</v>
      </c>
      <c r="C193" t="s">
        <v>748</v>
      </c>
      <c r="D193" t="s">
        <v>748</v>
      </c>
      <c r="E193" t="s">
        <v>748</v>
      </c>
      <c r="F193" t="s">
        <v>748</v>
      </c>
    </row>
    <row r="194" spans="1:6" x14ac:dyDescent="0.25">
      <c r="A194" t="s">
        <v>429</v>
      </c>
      <c r="B194" t="s">
        <v>748</v>
      </c>
      <c r="C194" t="s">
        <v>743</v>
      </c>
      <c r="D194" t="s">
        <v>748</v>
      </c>
      <c r="E194" t="s">
        <v>748</v>
      </c>
      <c r="F194" t="s">
        <v>748</v>
      </c>
    </row>
    <row r="195" spans="1:6" x14ac:dyDescent="0.25">
      <c r="A195" t="s">
        <v>430</v>
      </c>
      <c r="B195" t="s">
        <v>740</v>
      </c>
      <c r="C195" t="s">
        <v>748</v>
      </c>
      <c r="D195" t="s">
        <v>748</v>
      </c>
      <c r="E195" t="s">
        <v>748</v>
      </c>
      <c r="F195" t="s">
        <v>748</v>
      </c>
    </row>
    <row r="196" spans="1:6" x14ac:dyDescent="0.25">
      <c r="A196" t="s">
        <v>431</v>
      </c>
      <c r="B196" t="s">
        <v>740</v>
      </c>
      <c r="C196" t="s">
        <v>748</v>
      </c>
      <c r="D196" t="s">
        <v>748</v>
      </c>
      <c r="E196" t="s">
        <v>748</v>
      </c>
      <c r="F196" t="s">
        <v>748</v>
      </c>
    </row>
    <row r="197" spans="1:6" x14ac:dyDescent="0.25">
      <c r="A197" t="s">
        <v>432</v>
      </c>
      <c r="B197" t="s">
        <v>740</v>
      </c>
      <c r="C197" t="s">
        <v>748</v>
      </c>
      <c r="D197" t="s">
        <v>748</v>
      </c>
      <c r="E197" t="s">
        <v>748</v>
      </c>
      <c r="F197" t="s">
        <v>748</v>
      </c>
    </row>
    <row r="198" spans="1:6" x14ac:dyDescent="0.25">
      <c r="A198" t="s">
        <v>433</v>
      </c>
      <c r="B198" t="s">
        <v>740</v>
      </c>
      <c r="C198" t="s">
        <v>748</v>
      </c>
      <c r="D198" t="s">
        <v>748</v>
      </c>
      <c r="E198" t="s">
        <v>748</v>
      </c>
      <c r="F198" t="s">
        <v>748</v>
      </c>
    </row>
    <row r="199" spans="1:6" x14ac:dyDescent="0.25">
      <c r="A199" t="s">
        <v>434</v>
      </c>
      <c r="B199" t="s">
        <v>740</v>
      </c>
      <c r="C199" t="s">
        <v>748</v>
      </c>
      <c r="D199" t="s">
        <v>748</v>
      </c>
      <c r="E199" t="s">
        <v>748</v>
      </c>
      <c r="F199" t="s">
        <v>748</v>
      </c>
    </row>
    <row r="200" spans="1:6" x14ac:dyDescent="0.25">
      <c r="A200" t="s">
        <v>435</v>
      </c>
      <c r="B200" t="s">
        <v>748</v>
      </c>
      <c r="C200" t="s">
        <v>743</v>
      </c>
      <c r="D200" t="s">
        <v>748</v>
      </c>
      <c r="E200" t="s">
        <v>748</v>
      </c>
      <c r="F200" t="s">
        <v>748</v>
      </c>
    </row>
    <row r="201" spans="1:6" x14ac:dyDescent="0.25">
      <c r="A201" t="s">
        <v>436</v>
      </c>
      <c r="B201" t="s">
        <v>748</v>
      </c>
      <c r="C201" t="s">
        <v>748</v>
      </c>
      <c r="D201" t="s">
        <v>748</v>
      </c>
      <c r="E201" t="s">
        <v>744</v>
      </c>
      <c r="F201" t="s">
        <v>748</v>
      </c>
    </row>
    <row r="202" spans="1:6" x14ac:dyDescent="0.25">
      <c r="A202" t="s">
        <v>437</v>
      </c>
      <c r="B202" t="s">
        <v>748</v>
      </c>
      <c r="C202" t="s">
        <v>748</v>
      </c>
      <c r="D202" t="s">
        <v>748</v>
      </c>
      <c r="E202" t="s">
        <v>744</v>
      </c>
      <c r="F202" t="s">
        <v>748</v>
      </c>
    </row>
    <row r="203" spans="1:6" x14ac:dyDescent="0.25">
      <c r="A203" t="s">
        <v>438</v>
      </c>
      <c r="B203" t="s">
        <v>748</v>
      </c>
      <c r="C203" t="s">
        <v>748</v>
      </c>
      <c r="D203" t="s">
        <v>748</v>
      </c>
      <c r="E203" t="s">
        <v>744</v>
      </c>
      <c r="F203" t="s">
        <v>748</v>
      </c>
    </row>
    <row r="204" spans="1:6" x14ac:dyDescent="0.25">
      <c r="A204" t="s">
        <v>439</v>
      </c>
      <c r="B204" t="s">
        <v>748</v>
      </c>
      <c r="C204" t="s">
        <v>748</v>
      </c>
      <c r="D204" t="s">
        <v>748</v>
      </c>
      <c r="E204" t="s">
        <v>744</v>
      </c>
      <c r="F204" t="s">
        <v>748</v>
      </c>
    </row>
    <row r="205" spans="1:6" x14ac:dyDescent="0.25">
      <c r="A205" t="s">
        <v>440</v>
      </c>
      <c r="B205" t="s">
        <v>748</v>
      </c>
      <c r="C205" t="s">
        <v>748</v>
      </c>
      <c r="D205" t="s">
        <v>748</v>
      </c>
      <c r="E205" t="s">
        <v>744</v>
      </c>
      <c r="F205" t="s">
        <v>748</v>
      </c>
    </row>
    <row r="206" spans="1:6" x14ac:dyDescent="0.25">
      <c r="A206" t="s">
        <v>441</v>
      </c>
      <c r="B206" t="s">
        <v>748</v>
      </c>
      <c r="C206" t="s">
        <v>748</v>
      </c>
      <c r="D206" t="s">
        <v>748</v>
      </c>
      <c r="E206" t="s">
        <v>744</v>
      </c>
      <c r="F206" t="s">
        <v>748</v>
      </c>
    </row>
    <row r="207" spans="1:6" x14ac:dyDescent="0.25">
      <c r="A207" t="s">
        <v>442</v>
      </c>
      <c r="B207" t="s">
        <v>740</v>
      </c>
      <c r="C207" t="s">
        <v>748</v>
      </c>
      <c r="D207" t="s">
        <v>748</v>
      </c>
      <c r="E207" t="s">
        <v>748</v>
      </c>
      <c r="F207" t="s">
        <v>748</v>
      </c>
    </row>
    <row r="208" spans="1:6" x14ac:dyDescent="0.25">
      <c r="A208" t="s">
        <v>443</v>
      </c>
      <c r="B208" t="s">
        <v>748</v>
      </c>
      <c r="C208" t="s">
        <v>748</v>
      </c>
      <c r="D208" t="s">
        <v>748</v>
      </c>
      <c r="E208" t="s">
        <v>744</v>
      </c>
      <c r="F208" t="s">
        <v>748</v>
      </c>
    </row>
    <row r="209" spans="1:6" x14ac:dyDescent="0.25">
      <c r="A209" t="s">
        <v>444</v>
      </c>
      <c r="B209" t="s">
        <v>740</v>
      </c>
      <c r="C209" t="s">
        <v>748</v>
      </c>
      <c r="D209" t="s">
        <v>748</v>
      </c>
      <c r="E209" t="s">
        <v>748</v>
      </c>
      <c r="F209" t="s">
        <v>748</v>
      </c>
    </row>
    <row r="210" spans="1:6" x14ac:dyDescent="0.25">
      <c r="A210" t="s">
        <v>445</v>
      </c>
      <c r="B210" t="s">
        <v>740</v>
      </c>
      <c r="C210" t="s">
        <v>748</v>
      </c>
      <c r="D210" t="s">
        <v>748</v>
      </c>
      <c r="E210" t="s">
        <v>748</v>
      </c>
      <c r="F210" t="s">
        <v>748</v>
      </c>
    </row>
    <row r="211" spans="1:6" x14ac:dyDescent="0.25">
      <c r="A211" t="s">
        <v>446</v>
      </c>
      <c r="B211" t="s">
        <v>748</v>
      </c>
      <c r="C211" t="s">
        <v>748</v>
      </c>
      <c r="D211" t="s">
        <v>742</v>
      </c>
      <c r="E211" t="s">
        <v>748</v>
      </c>
      <c r="F211" t="s">
        <v>748</v>
      </c>
    </row>
    <row r="212" spans="1:6" x14ac:dyDescent="0.25">
      <c r="A212" t="s">
        <v>447</v>
      </c>
      <c r="B212" t="s">
        <v>748</v>
      </c>
      <c r="C212" t="s">
        <v>743</v>
      </c>
      <c r="D212" t="s">
        <v>748</v>
      </c>
      <c r="E212" t="s">
        <v>748</v>
      </c>
      <c r="F212" t="s">
        <v>748</v>
      </c>
    </row>
    <row r="213" spans="1:6" x14ac:dyDescent="0.25">
      <c r="A213" t="s">
        <v>448</v>
      </c>
      <c r="B213" t="s">
        <v>740</v>
      </c>
      <c r="C213" t="s">
        <v>748</v>
      </c>
      <c r="D213" t="s">
        <v>748</v>
      </c>
      <c r="E213" t="s">
        <v>748</v>
      </c>
      <c r="F213" t="s">
        <v>748</v>
      </c>
    </row>
    <row r="214" spans="1:6" x14ac:dyDescent="0.25">
      <c r="A214" t="s">
        <v>449</v>
      </c>
      <c r="B214" t="s">
        <v>740</v>
      </c>
      <c r="C214" t="s">
        <v>748</v>
      </c>
      <c r="D214" t="s">
        <v>748</v>
      </c>
      <c r="E214" t="s">
        <v>748</v>
      </c>
      <c r="F214" t="s">
        <v>748</v>
      </c>
    </row>
    <row r="215" spans="1:6" x14ac:dyDescent="0.25">
      <c r="A215" t="s">
        <v>450</v>
      </c>
      <c r="B215" t="s">
        <v>748</v>
      </c>
      <c r="C215" t="s">
        <v>748</v>
      </c>
      <c r="D215" t="s">
        <v>748</v>
      </c>
      <c r="E215" t="s">
        <v>744</v>
      </c>
      <c r="F215" t="s">
        <v>748</v>
      </c>
    </row>
    <row r="216" spans="1:6" x14ac:dyDescent="0.25">
      <c r="A216" t="s">
        <v>451</v>
      </c>
      <c r="B216" t="s">
        <v>748</v>
      </c>
      <c r="C216" t="s">
        <v>748</v>
      </c>
      <c r="D216" t="s">
        <v>748</v>
      </c>
      <c r="E216" t="s">
        <v>744</v>
      </c>
      <c r="F216" t="s">
        <v>748</v>
      </c>
    </row>
    <row r="217" spans="1:6" x14ac:dyDescent="0.25">
      <c r="A217" t="s">
        <v>452</v>
      </c>
      <c r="B217" t="s">
        <v>740</v>
      </c>
      <c r="C217" t="s">
        <v>748</v>
      </c>
      <c r="D217" t="s">
        <v>748</v>
      </c>
      <c r="E217" t="s">
        <v>748</v>
      </c>
      <c r="F217" t="s">
        <v>748</v>
      </c>
    </row>
    <row r="218" spans="1:6" x14ac:dyDescent="0.25">
      <c r="A218" t="s">
        <v>453</v>
      </c>
      <c r="B218" t="s">
        <v>740</v>
      </c>
      <c r="C218" t="s">
        <v>748</v>
      </c>
      <c r="D218" t="s">
        <v>748</v>
      </c>
      <c r="E218" t="s">
        <v>748</v>
      </c>
      <c r="F218" t="s">
        <v>748</v>
      </c>
    </row>
    <row r="219" spans="1:6" x14ac:dyDescent="0.25">
      <c r="A219" t="s">
        <v>454</v>
      </c>
      <c r="B219" t="s">
        <v>748</v>
      </c>
      <c r="C219" t="s">
        <v>748</v>
      </c>
      <c r="D219" t="s">
        <v>748</v>
      </c>
      <c r="E219" t="s">
        <v>744</v>
      </c>
      <c r="F219" t="s">
        <v>748</v>
      </c>
    </row>
    <row r="220" spans="1:6" x14ac:dyDescent="0.25">
      <c r="A220" t="s">
        <v>455</v>
      </c>
      <c r="B220" t="s">
        <v>748</v>
      </c>
      <c r="C220" t="s">
        <v>748</v>
      </c>
      <c r="D220" t="s">
        <v>748</v>
      </c>
      <c r="E220" t="s">
        <v>744</v>
      </c>
      <c r="F220" t="s">
        <v>748</v>
      </c>
    </row>
    <row r="221" spans="1:6" x14ac:dyDescent="0.25">
      <c r="A221" t="s">
        <v>456</v>
      </c>
      <c r="B221" t="s">
        <v>740</v>
      </c>
      <c r="C221" t="s">
        <v>748</v>
      </c>
      <c r="D221" t="s">
        <v>748</v>
      </c>
      <c r="E221" t="s">
        <v>748</v>
      </c>
      <c r="F221" t="s">
        <v>748</v>
      </c>
    </row>
    <row r="222" spans="1:6" x14ac:dyDescent="0.25">
      <c r="A222" t="s">
        <v>457</v>
      </c>
      <c r="B222" t="s">
        <v>740</v>
      </c>
      <c r="C222" t="s">
        <v>748</v>
      </c>
      <c r="D222" t="s">
        <v>748</v>
      </c>
      <c r="E222" t="s">
        <v>748</v>
      </c>
      <c r="F222" t="s">
        <v>748</v>
      </c>
    </row>
    <row r="223" spans="1:6" x14ac:dyDescent="0.25">
      <c r="A223" t="s">
        <v>458</v>
      </c>
      <c r="B223" t="s">
        <v>748</v>
      </c>
      <c r="C223" t="s">
        <v>748</v>
      </c>
      <c r="D223" t="s">
        <v>748</v>
      </c>
      <c r="E223" t="s">
        <v>744</v>
      </c>
      <c r="F223" t="s">
        <v>748</v>
      </c>
    </row>
    <row r="224" spans="1:6" x14ac:dyDescent="0.25">
      <c r="A224" t="s">
        <v>459</v>
      </c>
      <c r="B224" t="s">
        <v>748</v>
      </c>
      <c r="C224" t="s">
        <v>748</v>
      </c>
      <c r="D224" t="s">
        <v>748</v>
      </c>
      <c r="E224" t="s">
        <v>748</v>
      </c>
      <c r="F224" t="s">
        <v>741</v>
      </c>
    </row>
    <row r="225" spans="1:6" x14ac:dyDescent="0.25">
      <c r="A225" t="s">
        <v>460</v>
      </c>
      <c r="B225" t="s">
        <v>740</v>
      </c>
      <c r="C225" t="s">
        <v>748</v>
      </c>
      <c r="D225" t="s">
        <v>748</v>
      </c>
      <c r="E225" t="s">
        <v>748</v>
      </c>
      <c r="F225" t="s">
        <v>748</v>
      </c>
    </row>
    <row r="226" spans="1:6" x14ac:dyDescent="0.25">
      <c r="A226" t="s">
        <v>461</v>
      </c>
      <c r="B226" t="s">
        <v>748</v>
      </c>
      <c r="C226" t="s">
        <v>748</v>
      </c>
      <c r="D226" t="s">
        <v>748</v>
      </c>
      <c r="E226" t="s">
        <v>744</v>
      </c>
      <c r="F226" t="s">
        <v>748</v>
      </c>
    </row>
    <row r="227" spans="1:6" x14ac:dyDescent="0.25">
      <c r="A227" t="s">
        <v>462</v>
      </c>
      <c r="B227" t="s">
        <v>748</v>
      </c>
      <c r="C227" t="s">
        <v>748</v>
      </c>
      <c r="D227" t="s">
        <v>748</v>
      </c>
      <c r="E227" t="s">
        <v>748</v>
      </c>
      <c r="F227" t="s">
        <v>741</v>
      </c>
    </row>
    <row r="228" spans="1:6" x14ac:dyDescent="0.25">
      <c r="A228" t="s">
        <v>463</v>
      </c>
      <c r="B228" t="s">
        <v>740</v>
      </c>
      <c r="C228" t="s">
        <v>748</v>
      </c>
      <c r="D228" t="s">
        <v>748</v>
      </c>
      <c r="E228" t="s">
        <v>748</v>
      </c>
      <c r="F228" t="s">
        <v>748</v>
      </c>
    </row>
    <row r="229" spans="1:6" x14ac:dyDescent="0.25">
      <c r="A229" t="s">
        <v>464</v>
      </c>
      <c r="B229" t="s">
        <v>748</v>
      </c>
      <c r="C229" t="s">
        <v>743</v>
      </c>
      <c r="D229" t="s">
        <v>748</v>
      </c>
      <c r="E229" t="s">
        <v>748</v>
      </c>
      <c r="F229" t="s">
        <v>748</v>
      </c>
    </row>
    <row r="230" spans="1:6" x14ac:dyDescent="0.25">
      <c r="A230" t="s">
        <v>465</v>
      </c>
      <c r="B230" t="s">
        <v>748</v>
      </c>
      <c r="C230" t="s">
        <v>748</v>
      </c>
      <c r="D230" t="s">
        <v>748</v>
      </c>
      <c r="E230" t="s">
        <v>748</v>
      </c>
      <c r="F230" t="s">
        <v>741</v>
      </c>
    </row>
    <row r="231" spans="1:6" x14ac:dyDescent="0.25">
      <c r="A231" t="s">
        <v>466</v>
      </c>
      <c r="B231" t="s">
        <v>748</v>
      </c>
      <c r="C231" t="s">
        <v>748</v>
      </c>
      <c r="D231" t="s">
        <v>748</v>
      </c>
      <c r="E231" t="s">
        <v>748</v>
      </c>
      <c r="F231" t="s">
        <v>741</v>
      </c>
    </row>
    <row r="232" spans="1:6" x14ac:dyDescent="0.25">
      <c r="A232" t="s">
        <v>467</v>
      </c>
      <c r="B232" t="s">
        <v>740</v>
      </c>
      <c r="C232" t="s">
        <v>748</v>
      </c>
      <c r="D232" t="s">
        <v>748</v>
      </c>
      <c r="E232" t="s">
        <v>748</v>
      </c>
      <c r="F232" t="s">
        <v>748</v>
      </c>
    </row>
    <row r="233" spans="1:6" x14ac:dyDescent="0.25">
      <c r="A233" t="s">
        <v>468</v>
      </c>
      <c r="B233" t="s">
        <v>740</v>
      </c>
      <c r="C233" t="s">
        <v>748</v>
      </c>
      <c r="D233" t="s">
        <v>748</v>
      </c>
      <c r="E233" t="s">
        <v>748</v>
      </c>
      <c r="F233" t="s">
        <v>748</v>
      </c>
    </row>
    <row r="234" spans="1:6" x14ac:dyDescent="0.25">
      <c r="A234" t="s">
        <v>469</v>
      </c>
      <c r="B234" t="s">
        <v>748</v>
      </c>
      <c r="C234" t="s">
        <v>743</v>
      </c>
      <c r="D234" t="s">
        <v>748</v>
      </c>
      <c r="E234" t="s">
        <v>748</v>
      </c>
      <c r="F234" t="s">
        <v>748</v>
      </c>
    </row>
    <row r="235" spans="1:6" x14ac:dyDescent="0.25">
      <c r="A235" t="s">
        <v>470</v>
      </c>
      <c r="B235" t="s">
        <v>740</v>
      </c>
      <c r="C235" t="s">
        <v>748</v>
      </c>
      <c r="D235" t="s">
        <v>748</v>
      </c>
      <c r="E235" t="s">
        <v>748</v>
      </c>
      <c r="F235" t="s">
        <v>748</v>
      </c>
    </row>
    <row r="236" spans="1:6" x14ac:dyDescent="0.25">
      <c r="A236" t="s">
        <v>471</v>
      </c>
      <c r="B236" t="s">
        <v>740</v>
      </c>
      <c r="C236" t="s">
        <v>748</v>
      </c>
      <c r="D236" t="s">
        <v>748</v>
      </c>
      <c r="E236" t="s">
        <v>748</v>
      </c>
      <c r="F236" t="s">
        <v>748</v>
      </c>
    </row>
    <row r="237" spans="1:6" x14ac:dyDescent="0.25">
      <c r="A237" t="s">
        <v>472</v>
      </c>
      <c r="B237" t="s">
        <v>740</v>
      </c>
      <c r="C237" t="s">
        <v>748</v>
      </c>
      <c r="D237" t="s">
        <v>748</v>
      </c>
      <c r="E237" t="s">
        <v>748</v>
      </c>
      <c r="F237" t="s">
        <v>748</v>
      </c>
    </row>
    <row r="238" spans="1:6" x14ac:dyDescent="0.25">
      <c r="A238" t="s">
        <v>473</v>
      </c>
      <c r="B238" t="s">
        <v>740</v>
      </c>
      <c r="C238" t="s">
        <v>748</v>
      </c>
      <c r="D238" t="s">
        <v>748</v>
      </c>
      <c r="E238" t="s">
        <v>748</v>
      </c>
      <c r="F238" t="s">
        <v>748</v>
      </c>
    </row>
    <row r="239" spans="1:6" x14ac:dyDescent="0.25">
      <c r="A239" t="s">
        <v>474</v>
      </c>
      <c r="B239" t="s">
        <v>740</v>
      </c>
      <c r="C239" t="s">
        <v>748</v>
      </c>
      <c r="D239" t="s">
        <v>748</v>
      </c>
      <c r="E239" t="s">
        <v>748</v>
      </c>
      <c r="F239" t="s">
        <v>748</v>
      </c>
    </row>
    <row r="240" spans="1:6" x14ac:dyDescent="0.25">
      <c r="A240" t="s">
        <v>475</v>
      </c>
      <c r="B240" t="s">
        <v>740</v>
      </c>
      <c r="C240" t="s">
        <v>748</v>
      </c>
      <c r="D240" t="s">
        <v>748</v>
      </c>
      <c r="E240" t="s">
        <v>748</v>
      </c>
      <c r="F240" t="s">
        <v>748</v>
      </c>
    </row>
    <row r="241" spans="1:6" x14ac:dyDescent="0.25">
      <c r="A241" t="s">
        <v>476</v>
      </c>
      <c r="B241" t="s">
        <v>748</v>
      </c>
      <c r="C241" t="s">
        <v>743</v>
      </c>
      <c r="D241" t="s">
        <v>748</v>
      </c>
      <c r="E241" t="s">
        <v>748</v>
      </c>
      <c r="F241" t="s">
        <v>748</v>
      </c>
    </row>
    <row r="242" spans="1:6" x14ac:dyDescent="0.25">
      <c r="A242" t="s">
        <v>477</v>
      </c>
      <c r="B242" t="s">
        <v>748</v>
      </c>
      <c r="C242" t="s">
        <v>748</v>
      </c>
      <c r="D242" t="s">
        <v>748</v>
      </c>
      <c r="E242" t="s">
        <v>744</v>
      </c>
      <c r="F242" t="s">
        <v>748</v>
      </c>
    </row>
    <row r="243" spans="1:6" x14ac:dyDescent="0.25">
      <c r="A243" t="s">
        <v>478</v>
      </c>
      <c r="B243" t="s">
        <v>748</v>
      </c>
      <c r="C243" t="s">
        <v>748</v>
      </c>
      <c r="D243" t="s">
        <v>748</v>
      </c>
      <c r="E243" t="s">
        <v>748</v>
      </c>
      <c r="F243" t="s">
        <v>741</v>
      </c>
    </row>
    <row r="244" spans="1:6" x14ac:dyDescent="0.25">
      <c r="A244" t="s">
        <v>479</v>
      </c>
      <c r="B244" t="s">
        <v>748</v>
      </c>
      <c r="C244" t="s">
        <v>748</v>
      </c>
      <c r="D244" t="s">
        <v>748</v>
      </c>
      <c r="E244" t="s">
        <v>748</v>
      </c>
      <c r="F244" t="s">
        <v>741</v>
      </c>
    </row>
    <row r="245" spans="1:6" x14ac:dyDescent="0.25">
      <c r="A245" t="s">
        <v>480</v>
      </c>
      <c r="B245" t="s">
        <v>740</v>
      </c>
      <c r="C245" t="s">
        <v>748</v>
      </c>
      <c r="D245" t="s">
        <v>748</v>
      </c>
      <c r="E245" t="s">
        <v>748</v>
      </c>
      <c r="F245" t="s">
        <v>748</v>
      </c>
    </row>
    <row r="246" spans="1:6" x14ac:dyDescent="0.25">
      <c r="A246" t="s">
        <v>481</v>
      </c>
      <c r="B246" t="s">
        <v>740</v>
      </c>
      <c r="C246" t="s">
        <v>748</v>
      </c>
      <c r="D246" t="s">
        <v>748</v>
      </c>
      <c r="E246" t="s">
        <v>748</v>
      </c>
      <c r="F246" t="s">
        <v>748</v>
      </c>
    </row>
    <row r="247" spans="1:6" x14ac:dyDescent="0.25">
      <c r="A247" t="s">
        <v>482</v>
      </c>
      <c r="B247" t="s">
        <v>740</v>
      </c>
      <c r="C247" t="s">
        <v>748</v>
      </c>
      <c r="D247" t="s">
        <v>748</v>
      </c>
      <c r="E247" t="s">
        <v>748</v>
      </c>
      <c r="F247" t="s">
        <v>748</v>
      </c>
    </row>
    <row r="248" spans="1:6" x14ac:dyDescent="0.25">
      <c r="A248" t="s">
        <v>483</v>
      </c>
      <c r="B248" t="s">
        <v>740</v>
      </c>
      <c r="C248" t="s">
        <v>748</v>
      </c>
      <c r="D248" t="s">
        <v>748</v>
      </c>
      <c r="E248" t="s">
        <v>748</v>
      </c>
      <c r="F248" t="s">
        <v>748</v>
      </c>
    </row>
    <row r="249" spans="1:6" x14ac:dyDescent="0.25">
      <c r="A249" t="s">
        <v>484</v>
      </c>
      <c r="B249" t="s">
        <v>748</v>
      </c>
      <c r="C249" t="s">
        <v>748</v>
      </c>
      <c r="D249" t="s">
        <v>742</v>
      </c>
      <c r="E249" t="s">
        <v>748</v>
      </c>
      <c r="F249" t="s">
        <v>748</v>
      </c>
    </row>
    <row r="250" spans="1:6" x14ac:dyDescent="0.25">
      <c r="A250" t="s">
        <v>485</v>
      </c>
      <c r="B250" t="s">
        <v>748</v>
      </c>
      <c r="C250" t="s">
        <v>748</v>
      </c>
      <c r="D250" t="s">
        <v>748</v>
      </c>
      <c r="E250" t="s">
        <v>744</v>
      </c>
      <c r="F250" t="s">
        <v>748</v>
      </c>
    </row>
    <row r="251" spans="1:6" x14ac:dyDescent="0.25">
      <c r="A251" t="s">
        <v>486</v>
      </c>
      <c r="B251" t="s">
        <v>740</v>
      </c>
      <c r="C251" t="s">
        <v>748</v>
      </c>
      <c r="D251" t="s">
        <v>748</v>
      </c>
      <c r="E251" t="s">
        <v>748</v>
      </c>
      <c r="F251" t="s">
        <v>748</v>
      </c>
    </row>
    <row r="252" spans="1:6" x14ac:dyDescent="0.25">
      <c r="A252" t="s">
        <v>487</v>
      </c>
      <c r="B252" t="s">
        <v>740</v>
      </c>
      <c r="C252" t="s">
        <v>748</v>
      </c>
      <c r="D252" t="s">
        <v>748</v>
      </c>
      <c r="E252" t="s">
        <v>748</v>
      </c>
      <c r="F252" t="s">
        <v>748</v>
      </c>
    </row>
    <row r="253" spans="1:6" x14ac:dyDescent="0.25">
      <c r="A253" t="s">
        <v>488</v>
      </c>
      <c r="B253" t="s">
        <v>748</v>
      </c>
      <c r="C253" t="s">
        <v>748</v>
      </c>
      <c r="D253" t="s">
        <v>748</v>
      </c>
      <c r="E253" t="s">
        <v>744</v>
      </c>
      <c r="F253" t="s">
        <v>748</v>
      </c>
    </row>
    <row r="254" spans="1:6" x14ac:dyDescent="0.25">
      <c r="A254" t="s">
        <v>489</v>
      </c>
      <c r="B254" t="s">
        <v>740</v>
      </c>
      <c r="C254" t="s">
        <v>748</v>
      </c>
      <c r="D254" t="s">
        <v>748</v>
      </c>
      <c r="E254" t="s">
        <v>748</v>
      </c>
      <c r="F254" t="s">
        <v>748</v>
      </c>
    </row>
    <row r="255" spans="1:6" x14ac:dyDescent="0.25">
      <c r="A255" t="s">
        <v>490</v>
      </c>
      <c r="B255" t="s">
        <v>740</v>
      </c>
      <c r="C255" t="s">
        <v>748</v>
      </c>
      <c r="D255" t="s">
        <v>748</v>
      </c>
      <c r="E255" t="s">
        <v>748</v>
      </c>
      <c r="F255" t="s">
        <v>748</v>
      </c>
    </row>
    <row r="256" spans="1:6" x14ac:dyDescent="0.25">
      <c r="A256" t="s">
        <v>491</v>
      </c>
      <c r="B256" t="s">
        <v>740</v>
      </c>
      <c r="C256" t="s">
        <v>748</v>
      </c>
      <c r="D256" t="s">
        <v>748</v>
      </c>
      <c r="E256" t="s">
        <v>748</v>
      </c>
      <c r="F256" t="s">
        <v>748</v>
      </c>
    </row>
    <row r="257" spans="1:6" x14ac:dyDescent="0.25">
      <c r="A257" t="s">
        <v>492</v>
      </c>
      <c r="B257" t="s">
        <v>740</v>
      </c>
      <c r="C257" t="s">
        <v>748</v>
      </c>
      <c r="D257" t="s">
        <v>748</v>
      </c>
      <c r="E257" t="s">
        <v>748</v>
      </c>
      <c r="F257" t="s">
        <v>748</v>
      </c>
    </row>
    <row r="258" spans="1:6" x14ac:dyDescent="0.25">
      <c r="A258" t="s">
        <v>493</v>
      </c>
      <c r="B258" t="s">
        <v>740</v>
      </c>
      <c r="C258" t="s">
        <v>748</v>
      </c>
      <c r="D258" t="s">
        <v>748</v>
      </c>
      <c r="E258" t="s">
        <v>748</v>
      </c>
      <c r="F258" t="s">
        <v>748</v>
      </c>
    </row>
    <row r="259" spans="1:6" x14ac:dyDescent="0.25">
      <c r="A259" t="s">
        <v>494</v>
      </c>
      <c r="B259" t="s">
        <v>740</v>
      </c>
      <c r="C259" t="s">
        <v>748</v>
      </c>
      <c r="D259" t="s">
        <v>748</v>
      </c>
      <c r="E259" t="s">
        <v>748</v>
      </c>
      <c r="F259" t="s">
        <v>748</v>
      </c>
    </row>
    <row r="260" spans="1:6" x14ac:dyDescent="0.25">
      <c r="A260" t="s">
        <v>495</v>
      </c>
      <c r="B260" t="s">
        <v>740</v>
      </c>
      <c r="C260" t="s">
        <v>748</v>
      </c>
      <c r="D260" t="s">
        <v>748</v>
      </c>
      <c r="E260" t="s">
        <v>748</v>
      </c>
      <c r="F260" t="s">
        <v>748</v>
      </c>
    </row>
    <row r="261" spans="1:6" x14ac:dyDescent="0.25">
      <c r="A261" t="s">
        <v>496</v>
      </c>
      <c r="B261" t="s">
        <v>748</v>
      </c>
      <c r="C261" t="s">
        <v>748</v>
      </c>
      <c r="D261" t="s">
        <v>748</v>
      </c>
      <c r="E261" t="s">
        <v>744</v>
      </c>
      <c r="F261" t="s">
        <v>748</v>
      </c>
    </row>
    <row r="262" spans="1:6" x14ac:dyDescent="0.25">
      <c r="A262" t="s">
        <v>497</v>
      </c>
      <c r="B262" t="s">
        <v>740</v>
      </c>
      <c r="C262" t="s">
        <v>748</v>
      </c>
      <c r="D262" t="s">
        <v>748</v>
      </c>
      <c r="E262" t="s">
        <v>748</v>
      </c>
      <c r="F262" t="s">
        <v>748</v>
      </c>
    </row>
    <row r="263" spans="1:6" x14ac:dyDescent="0.25">
      <c r="A263" t="s">
        <v>498</v>
      </c>
      <c r="B263" t="s">
        <v>740</v>
      </c>
      <c r="C263" t="s">
        <v>748</v>
      </c>
      <c r="D263" t="s">
        <v>748</v>
      </c>
      <c r="E263" t="s">
        <v>748</v>
      </c>
      <c r="F263" t="s">
        <v>748</v>
      </c>
    </row>
    <row r="264" spans="1:6" x14ac:dyDescent="0.25">
      <c r="A264" t="s">
        <v>499</v>
      </c>
      <c r="B264" t="s">
        <v>740</v>
      </c>
      <c r="C264" t="s">
        <v>748</v>
      </c>
      <c r="D264" t="s">
        <v>748</v>
      </c>
      <c r="E264" t="s">
        <v>748</v>
      </c>
      <c r="F264" t="s">
        <v>748</v>
      </c>
    </row>
    <row r="265" spans="1:6" x14ac:dyDescent="0.25">
      <c r="A265" t="s">
        <v>500</v>
      </c>
      <c r="B265" t="s">
        <v>740</v>
      </c>
      <c r="C265" t="s">
        <v>748</v>
      </c>
      <c r="D265" t="s">
        <v>748</v>
      </c>
      <c r="E265" t="s">
        <v>748</v>
      </c>
      <c r="F265" t="s">
        <v>748</v>
      </c>
    </row>
    <row r="266" spans="1:6" x14ac:dyDescent="0.25">
      <c r="A266" t="s">
        <v>501</v>
      </c>
      <c r="B266" t="s">
        <v>740</v>
      </c>
      <c r="C266" t="s">
        <v>748</v>
      </c>
      <c r="D266" t="s">
        <v>748</v>
      </c>
      <c r="E266" t="s">
        <v>748</v>
      </c>
      <c r="F266" t="s">
        <v>748</v>
      </c>
    </row>
    <row r="267" spans="1:6" x14ac:dyDescent="0.25">
      <c r="A267" t="s">
        <v>502</v>
      </c>
      <c r="B267" t="s">
        <v>740</v>
      </c>
      <c r="C267" t="s">
        <v>748</v>
      </c>
      <c r="D267" t="s">
        <v>748</v>
      </c>
      <c r="E267" t="s">
        <v>748</v>
      </c>
      <c r="F267" t="s">
        <v>748</v>
      </c>
    </row>
    <row r="268" spans="1:6" x14ac:dyDescent="0.25">
      <c r="A268" t="s">
        <v>503</v>
      </c>
      <c r="B268" t="s">
        <v>740</v>
      </c>
      <c r="C268" t="s">
        <v>748</v>
      </c>
      <c r="D268" t="s">
        <v>748</v>
      </c>
      <c r="E268" t="s">
        <v>748</v>
      </c>
      <c r="F268" t="s">
        <v>748</v>
      </c>
    </row>
    <row r="269" spans="1:6" x14ac:dyDescent="0.25">
      <c r="A269" t="s">
        <v>504</v>
      </c>
      <c r="B269" t="s">
        <v>748</v>
      </c>
      <c r="C269" t="s">
        <v>748</v>
      </c>
      <c r="D269" t="s">
        <v>748</v>
      </c>
      <c r="E269" t="s">
        <v>748</v>
      </c>
      <c r="F269" t="s">
        <v>741</v>
      </c>
    </row>
    <row r="270" spans="1:6" x14ac:dyDescent="0.25">
      <c r="A270" t="s">
        <v>505</v>
      </c>
      <c r="B270" t="s">
        <v>740</v>
      </c>
      <c r="C270" t="s">
        <v>748</v>
      </c>
      <c r="D270" t="s">
        <v>748</v>
      </c>
      <c r="E270" t="s">
        <v>748</v>
      </c>
      <c r="F270" t="s">
        <v>748</v>
      </c>
    </row>
    <row r="271" spans="1:6" x14ac:dyDescent="0.25">
      <c r="A271" t="s">
        <v>506</v>
      </c>
      <c r="B271" t="s">
        <v>740</v>
      </c>
      <c r="C271" t="s">
        <v>748</v>
      </c>
      <c r="D271" t="s">
        <v>748</v>
      </c>
      <c r="E271" t="s">
        <v>748</v>
      </c>
      <c r="F271" t="s">
        <v>748</v>
      </c>
    </row>
    <row r="272" spans="1:6" x14ac:dyDescent="0.25">
      <c r="A272" t="s">
        <v>507</v>
      </c>
      <c r="B272" t="s">
        <v>740</v>
      </c>
      <c r="C272" t="s">
        <v>748</v>
      </c>
      <c r="D272" t="s">
        <v>748</v>
      </c>
      <c r="E272" t="s">
        <v>748</v>
      </c>
      <c r="F272" t="s">
        <v>748</v>
      </c>
    </row>
    <row r="273" spans="1:6" x14ac:dyDescent="0.25">
      <c r="A273" t="s">
        <v>508</v>
      </c>
      <c r="B273" t="s">
        <v>740</v>
      </c>
      <c r="C273" t="s">
        <v>748</v>
      </c>
      <c r="D273" t="s">
        <v>748</v>
      </c>
      <c r="E273" t="s">
        <v>748</v>
      </c>
      <c r="F273" t="s">
        <v>748</v>
      </c>
    </row>
    <row r="274" spans="1:6" x14ac:dyDescent="0.25">
      <c r="A274" t="s">
        <v>509</v>
      </c>
      <c r="B274" t="s">
        <v>740</v>
      </c>
      <c r="C274" t="s">
        <v>748</v>
      </c>
      <c r="D274" t="s">
        <v>748</v>
      </c>
      <c r="E274" t="s">
        <v>748</v>
      </c>
      <c r="F274" t="s">
        <v>748</v>
      </c>
    </row>
    <row r="275" spans="1:6" x14ac:dyDescent="0.25">
      <c r="A275" t="s">
        <v>510</v>
      </c>
      <c r="B275" t="s">
        <v>740</v>
      </c>
      <c r="C275" t="s">
        <v>748</v>
      </c>
      <c r="D275" t="s">
        <v>748</v>
      </c>
      <c r="E275" t="s">
        <v>748</v>
      </c>
      <c r="F275" t="s">
        <v>748</v>
      </c>
    </row>
    <row r="276" spans="1:6" x14ac:dyDescent="0.25">
      <c r="A276" t="s">
        <v>511</v>
      </c>
      <c r="B276" t="s">
        <v>740</v>
      </c>
      <c r="C276" t="s">
        <v>748</v>
      </c>
      <c r="D276" t="s">
        <v>748</v>
      </c>
      <c r="E276" t="s">
        <v>748</v>
      </c>
      <c r="F276" t="s">
        <v>748</v>
      </c>
    </row>
    <row r="277" spans="1:6" x14ac:dyDescent="0.25">
      <c r="A277" t="s">
        <v>512</v>
      </c>
      <c r="B277" t="s">
        <v>748</v>
      </c>
      <c r="C277" t="s">
        <v>748</v>
      </c>
      <c r="D277" t="s">
        <v>748</v>
      </c>
      <c r="E277" t="s">
        <v>744</v>
      </c>
      <c r="F277" t="s">
        <v>748</v>
      </c>
    </row>
    <row r="278" spans="1:6" x14ac:dyDescent="0.25">
      <c r="A278" t="s">
        <v>513</v>
      </c>
      <c r="B278" t="s">
        <v>748</v>
      </c>
      <c r="C278" t="s">
        <v>743</v>
      </c>
      <c r="D278" t="s">
        <v>748</v>
      </c>
      <c r="E278" t="s">
        <v>748</v>
      </c>
      <c r="F278" t="s">
        <v>748</v>
      </c>
    </row>
    <row r="279" spans="1:6" x14ac:dyDescent="0.25">
      <c r="A279" t="s">
        <v>514</v>
      </c>
      <c r="B279" t="s">
        <v>740</v>
      </c>
      <c r="C279" t="s">
        <v>748</v>
      </c>
      <c r="D279" t="s">
        <v>748</v>
      </c>
      <c r="E279" t="s">
        <v>748</v>
      </c>
      <c r="F279" t="s">
        <v>748</v>
      </c>
    </row>
    <row r="280" spans="1:6" x14ac:dyDescent="0.25">
      <c r="A280" t="s">
        <v>515</v>
      </c>
      <c r="B280" t="s">
        <v>748</v>
      </c>
      <c r="C280" t="s">
        <v>748</v>
      </c>
      <c r="D280" t="s">
        <v>748</v>
      </c>
      <c r="E280" t="s">
        <v>744</v>
      </c>
      <c r="F280" t="s">
        <v>748</v>
      </c>
    </row>
    <row r="281" spans="1:6" x14ac:dyDescent="0.25">
      <c r="A281" t="s">
        <v>516</v>
      </c>
      <c r="B281" t="s">
        <v>740</v>
      </c>
      <c r="C281" t="s">
        <v>748</v>
      </c>
      <c r="D281" t="s">
        <v>748</v>
      </c>
      <c r="E281" t="s">
        <v>748</v>
      </c>
      <c r="F281" t="s">
        <v>748</v>
      </c>
    </row>
    <row r="282" spans="1:6" x14ac:dyDescent="0.25">
      <c r="A282" t="s">
        <v>517</v>
      </c>
      <c r="B282" t="s">
        <v>740</v>
      </c>
      <c r="C282" t="s">
        <v>748</v>
      </c>
      <c r="D282" t="s">
        <v>748</v>
      </c>
      <c r="E282" t="s">
        <v>748</v>
      </c>
      <c r="F282" t="s">
        <v>748</v>
      </c>
    </row>
    <row r="283" spans="1:6" x14ac:dyDescent="0.25">
      <c r="A283" t="s">
        <v>518</v>
      </c>
      <c r="B283" t="s">
        <v>748</v>
      </c>
      <c r="C283" t="s">
        <v>748</v>
      </c>
      <c r="D283" t="s">
        <v>748</v>
      </c>
      <c r="E283" t="s">
        <v>748</v>
      </c>
      <c r="F283" t="s">
        <v>741</v>
      </c>
    </row>
    <row r="284" spans="1:6" x14ac:dyDescent="0.25">
      <c r="A284" t="s">
        <v>519</v>
      </c>
      <c r="B284" t="s">
        <v>748</v>
      </c>
      <c r="C284" t="s">
        <v>748</v>
      </c>
      <c r="D284" t="s">
        <v>748</v>
      </c>
      <c r="E284" t="s">
        <v>744</v>
      </c>
      <c r="F284" t="s">
        <v>748</v>
      </c>
    </row>
    <row r="285" spans="1:6" x14ac:dyDescent="0.25">
      <c r="A285" t="s">
        <v>520</v>
      </c>
      <c r="B285" t="s">
        <v>748</v>
      </c>
      <c r="C285" t="s">
        <v>748</v>
      </c>
      <c r="D285" t="s">
        <v>748</v>
      </c>
      <c r="E285" t="s">
        <v>744</v>
      </c>
      <c r="F285" t="s">
        <v>748</v>
      </c>
    </row>
    <row r="286" spans="1:6" x14ac:dyDescent="0.25">
      <c r="A286" t="s">
        <v>521</v>
      </c>
      <c r="B286" t="s">
        <v>748</v>
      </c>
      <c r="C286" t="s">
        <v>748</v>
      </c>
      <c r="D286" t="s">
        <v>748</v>
      </c>
      <c r="E286" t="s">
        <v>748</v>
      </c>
      <c r="F286" t="s">
        <v>741</v>
      </c>
    </row>
    <row r="287" spans="1:6" x14ac:dyDescent="0.25">
      <c r="A287" t="s">
        <v>522</v>
      </c>
      <c r="B287" t="s">
        <v>748</v>
      </c>
      <c r="C287" t="s">
        <v>748</v>
      </c>
      <c r="D287" t="s">
        <v>748</v>
      </c>
      <c r="E287" t="s">
        <v>744</v>
      </c>
      <c r="F287" t="s">
        <v>748</v>
      </c>
    </row>
    <row r="288" spans="1:6" x14ac:dyDescent="0.25">
      <c r="A288" t="s">
        <v>523</v>
      </c>
      <c r="B288" t="s">
        <v>748</v>
      </c>
      <c r="C288" t="s">
        <v>748</v>
      </c>
      <c r="D288" t="s">
        <v>748</v>
      </c>
      <c r="E288" t="s">
        <v>744</v>
      </c>
      <c r="F288" t="s">
        <v>748</v>
      </c>
    </row>
    <row r="289" spans="1:6" x14ac:dyDescent="0.25">
      <c r="A289" t="s">
        <v>524</v>
      </c>
      <c r="B289" t="s">
        <v>748</v>
      </c>
      <c r="C289" t="s">
        <v>748</v>
      </c>
      <c r="D289" t="s">
        <v>748</v>
      </c>
      <c r="E289" t="s">
        <v>744</v>
      </c>
      <c r="F289" t="s">
        <v>748</v>
      </c>
    </row>
    <row r="290" spans="1:6" x14ac:dyDescent="0.25">
      <c r="A290" t="s">
        <v>525</v>
      </c>
      <c r="B290" t="s">
        <v>748</v>
      </c>
      <c r="C290" t="s">
        <v>748</v>
      </c>
      <c r="D290" t="s">
        <v>748</v>
      </c>
      <c r="E290" t="s">
        <v>748</v>
      </c>
      <c r="F290" t="s">
        <v>741</v>
      </c>
    </row>
    <row r="291" spans="1:6" x14ac:dyDescent="0.25">
      <c r="A291" t="s">
        <v>526</v>
      </c>
      <c r="B291" t="s">
        <v>740</v>
      </c>
      <c r="C291" t="s">
        <v>748</v>
      </c>
      <c r="D291" t="s">
        <v>748</v>
      </c>
      <c r="E291" t="s">
        <v>748</v>
      </c>
      <c r="F291" t="s">
        <v>748</v>
      </c>
    </row>
    <row r="292" spans="1:6" x14ac:dyDescent="0.25">
      <c r="A292" t="s">
        <v>527</v>
      </c>
      <c r="B292" t="s">
        <v>740</v>
      </c>
      <c r="C292" t="s">
        <v>748</v>
      </c>
      <c r="D292" t="s">
        <v>748</v>
      </c>
      <c r="E292" t="s">
        <v>748</v>
      </c>
      <c r="F292" t="s">
        <v>748</v>
      </c>
    </row>
    <row r="293" spans="1:6" x14ac:dyDescent="0.25">
      <c r="A293" t="s">
        <v>528</v>
      </c>
      <c r="B293" t="s">
        <v>748</v>
      </c>
      <c r="C293" t="s">
        <v>743</v>
      </c>
      <c r="D293" t="s">
        <v>748</v>
      </c>
      <c r="E293" t="s">
        <v>748</v>
      </c>
      <c r="F293" t="s">
        <v>748</v>
      </c>
    </row>
    <row r="294" spans="1:6" x14ac:dyDescent="0.25">
      <c r="A294" t="s">
        <v>529</v>
      </c>
      <c r="B294" t="s">
        <v>740</v>
      </c>
      <c r="C294" t="s">
        <v>748</v>
      </c>
      <c r="D294" t="s">
        <v>748</v>
      </c>
      <c r="E294" t="s">
        <v>748</v>
      </c>
      <c r="F294" t="s">
        <v>748</v>
      </c>
    </row>
    <row r="295" spans="1:6" x14ac:dyDescent="0.25">
      <c r="A295" t="s">
        <v>530</v>
      </c>
      <c r="B295" t="s">
        <v>748</v>
      </c>
      <c r="C295" t="s">
        <v>748</v>
      </c>
      <c r="D295" t="s">
        <v>748</v>
      </c>
      <c r="E295" t="s">
        <v>744</v>
      </c>
      <c r="F295" t="s">
        <v>748</v>
      </c>
    </row>
    <row r="296" spans="1:6" x14ac:dyDescent="0.25">
      <c r="A296" t="s">
        <v>531</v>
      </c>
      <c r="B296" t="s">
        <v>748</v>
      </c>
      <c r="C296" t="s">
        <v>748</v>
      </c>
      <c r="D296" t="s">
        <v>748</v>
      </c>
      <c r="E296" t="s">
        <v>748</v>
      </c>
      <c r="F296" t="s">
        <v>741</v>
      </c>
    </row>
    <row r="297" spans="1:6" x14ac:dyDescent="0.25">
      <c r="A297" t="s">
        <v>532</v>
      </c>
      <c r="B297" t="s">
        <v>748</v>
      </c>
      <c r="C297" t="s">
        <v>748</v>
      </c>
      <c r="D297" t="s">
        <v>748</v>
      </c>
      <c r="E297" t="s">
        <v>748</v>
      </c>
      <c r="F297" t="s">
        <v>741</v>
      </c>
    </row>
    <row r="298" spans="1:6" x14ac:dyDescent="0.25">
      <c r="A298" t="s">
        <v>533</v>
      </c>
      <c r="B298" t="s">
        <v>740</v>
      </c>
      <c r="C298" t="s">
        <v>748</v>
      </c>
      <c r="D298" t="s">
        <v>748</v>
      </c>
      <c r="E298" t="s">
        <v>748</v>
      </c>
      <c r="F298" t="s">
        <v>748</v>
      </c>
    </row>
    <row r="299" spans="1:6" x14ac:dyDescent="0.25">
      <c r="A299" t="s">
        <v>534</v>
      </c>
      <c r="B299" t="s">
        <v>748</v>
      </c>
      <c r="C299" t="s">
        <v>748</v>
      </c>
      <c r="D299" t="s">
        <v>748</v>
      </c>
      <c r="E299" t="s">
        <v>748</v>
      </c>
      <c r="F299" t="s">
        <v>741</v>
      </c>
    </row>
    <row r="300" spans="1:6" x14ac:dyDescent="0.25">
      <c r="A300" t="s">
        <v>535</v>
      </c>
      <c r="B300" t="s">
        <v>740</v>
      </c>
      <c r="C300" t="s">
        <v>748</v>
      </c>
      <c r="D300" t="s">
        <v>748</v>
      </c>
      <c r="E300" t="s">
        <v>748</v>
      </c>
      <c r="F300" t="s">
        <v>748</v>
      </c>
    </row>
    <row r="301" spans="1:6" x14ac:dyDescent="0.25">
      <c r="A301" t="s">
        <v>536</v>
      </c>
      <c r="B301" t="s">
        <v>740</v>
      </c>
      <c r="C301" t="s">
        <v>748</v>
      </c>
      <c r="D301" t="s">
        <v>748</v>
      </c>
      <c r="E301" t="s">
        <v>748</v>
      </c>
      <c r="F301" t="s">
        <v>748</v>
      </c>
    </row>
    <row r="302" spans="1:6" x14ac:dyDescent="0.25">
      <c r="A302" t="s">
        <v>537</v>
      </c>
      <c r="B302" t="s">
        <v>740</v>
      </c>
      <c r="C302" t="s">
        <v>748</v>
      </c>
      <c r="D302" t="s">
        <v>748</v>
      </c>
      <c r="E302" t="s">
        <v>748</v>
      </c>
      <c r="F302" t="s">
        <v>748</v>
      </c>
    </row>
    <row r="303" spans="1:6" x14ac:dyDescent="0.25">
      <c r="A303" t="s">
        <v>538</v>
      </c>
      <c r="B303" t="s">
        <v>748</v>
      </c>
      <c r="C303" t="s">
        <v>748</v>
      </c>
      <c r="D303" t="s">
        <v>748</v>
      </c>
      <c r="E303" t="s">
        <v>748</v>
      </c>
      <c r="F303" t="s">
        <v>741</v>
      </c>
    </row>
    <row r="304" spans="1:6" x14ac:dyDescent="0.25">
      <c r="A304" t="s">
        <v>539</v>
      </c>
      <c r="B304" t="s">
        <v>748</v>
      </c>
      <c r="C304" t="s">
        <v>748</v>
      </c>
      <c r="D304" t="s">
        <v>748</v>
      </c>
      <c r="E304" t="s">
        <v>748</v>
      </c>
      <c r="F304" t="s">
        <v>741</v>
      </c>
    </row>
    <row r="305" spans="1:6" x14ac:dyDescent="0.25">
      <c r="A305" t="s">
        <v>540</v>
      </c>
      <c r="B305" t="s">
        <v>748</v>
      </c>
      <c r="C305" t="s">
        <v>748</v>
      </c>
      <c r="D305" t="s">
        <v>748</v>
      </c>
      <c r="E305" t="s">
        <v>748</v>
      </c>
      <c r="F305" t="s">
        <v>741</v>
      </c>
    </row>
    <row r="306" spans="1:6" x14ac:dyDescent="0.25">
      <c r="A306" t="s">
        <v>541</v>
      </c>
      <c r="B306" t="s">
        <v>748</v>
      </c>
      <c r="C306" t="s">
        <v>748</v>
      </c>
      <c r="D306" t="s">
        <v>748</v>
      </c>
      <c r="E306" t="s">
        <v>748</v>
      </c>
      <c r="F306" t="s">
        <v>741</v>
      </c>
    </row>
    <row r="307" spans="1:6" x14ac:dyDescent="0.25">
      <c r="A307" t="s">
        <v>542</v>
      </c>
      <c r="B307" t="s">
        <v>740</v>
      </c>
      <c r="C307" t="s">
        <v>748</v>
      </c>
      <c r="D307" t="s">
        <v>748</v>
      </c>
      <c r="E307" t="s">
        <v>748</v>
      </c>
      <c r="F307" t="s">
        <v>748</v>
      </c>
    </row>
    <row r="308" spans="1:6" x14ac:dyDescent="0.25">
      <c r="A308" t="s">
        <v>543</v>
      </c>
      <c r="B308" t="s">
        <v>740</v>
      </c>
      <c r="C308" t="s">
        <v>748</v>
      </c>
      <c r="D308" t="s">
        <v>748</v>
      </c>
      <c r="E308" t="s">
        <v>748</v>
      </c>
      <c r="F308" t="s">
        <v>748</v>
      </c>
    </row>
    <row r="309" spans="1:6" x14ac:dyDescent="0.25">
      <c r="A309" t="s">
        <v>544</v>
      </c>
      <c r="B309" t="s">
        <v>748</v>
      </c>
      <c r="C309" t="s">
        <v>748</v>
      </c>
      <c r="D309" t="s">
        <v>748</v>
      </c>
      <c r="E309" t="s">
        <v>748</v>
      </c>
      <c r="F309" t="s">
        <v>741</v>
      </c>
    </row>
    <row r="310" spans="1:6" x14ac:dyDescent="0.25">
      <c r="A310" t="s">
        <v>545</v>
      </c>
      <c r="B310" t="s">
        <v>748</v>
      </c>
      <c r="C310" t="s">
        <v>748</v>
      </c>
      <c r="D310" t="s">
        <v>748</v>
      </c>
      <c r="E310" t="s">
        <v>744</v>
      </c>
      <c r="F310" t="s">
        <v>748</v>
      </c>
    </row>
    <row r="311" spans="1:6" x14ac:dyDescent="0.25">
      <c r="A311" t="s">
        <v>546</v>
      </c>
      <c r="B311" t="s">
        <v>748</v>
      </c>
      <c r="C311" t="s">
        <v>748</v>
      </c>
      <c r="D311" t="s">
        <v>748</v>
      </c>
      <c r="E311" t="s">
        <v>744</v>
      </c>
      <c r="F311" t="s">
        <v>748</v>
      </c>
    </row>
    <row r="312" spans="1:6" x14ac:dyDescent="0.25">
      <c r="A312" t="s">
        <v>547</v>
      </c>
      <c r="B312" t="s">
        <v>740</v>
      </c>
      <c r="C312" t="s">
        <v>748</v>
      </c>
      <c r="D312" t="s">
        <v>748</v>
      </c>
      <c r="E312" t="s">
        <v>748</v>
      </c>
      <c r="F312" t="s">
        <v>748</v>
      </c>
    </row>
    <row r="313" spans="1:6" x14ac:dyDescent="0.25">
      <c r="A313" t="s">
        <v>548</v>
      </c>
      <c r="B313" t="s">
        <v>748</v>
      </c>
      <c r="C313" t="s">
        <v>748</v>
      </c>
      <c r="D313" t="s">
        <v>748</v>
      </c>
      <c r="E313" t="s">
        <v>748</v>
      </c>
      <c r="F313" t="s">
        <v>741</v>
      </c>
    </row>
    <row r="314" spans="1:6" x14ac:dyDescent="0.25">
      <c r="A314" t="s">
        <v>549</v>
      </c>
      <c r="B314" t="s">
        <v>748</v>
      </c>
      <c r="C314" t="s">
        <v>748</v>
      </c>
      <c r="D314" t="s">
        <v>748</v>
      </c>
      <c r="E314" t="s">
        <v>744</v>
      </c>
      <c r="F314" t="s">
        <v>748</v>
      </c>
    </row>
    <row r="315" spans="1:6" x14ac:dyDescent="0.25">
      <c r="A315" t="s">
        <v>550</v>
      </c>
      <c r="B315" t="s">
        <v>748</v>
      </c>
      <c r="C315" t="s">
        <v>748</v>
      </c>
      <c r="D315" t="s">
        <v>748</v>
      </c>
      <c r="E315" t="s">
        <v>748</v>
      </c>
      <c r="F315" t="s">
        <v>741</v>
      </c>
    </row>
    <row r="316" spans="1:6" x14ac:dyDescent="0.25">
      <c r="A316" t="s">
        <v>551</v>
      </c>
      <c r="B316" t="s">
        <v>740</v>
      </c>
      <c r="C316" t="s">
        <v>748</v>
      </c>
      <c r="D316" t="s">
        <v>748</v>
      </c>
      <c r="E316" t="s">
        <v>748</v>
      </c>
      <c r="F316" t="s">
        <v>748</v>
      </c>
    </row>
    <row r="317" spans="1:6" x14ac:dyDescent="0.25">
      <c r="A317" t="s">
        <v>552</v>
      </c>
      <c r="B317" t="s">
        <v>740</v>
      </c>
      <c r="C317" t="s">
        <v>748</v>
      </c>
      <c r="D317" t="s">
        <v>748</v>
      </c>
      <c r="E317" t="s">
        <v>748</v>
      </c>
      <c r="F317" t="s">
        <v>748</v>
      </c>
    </row>
    <row r="318" spans="1:6" x14ac:dyDescent="0.25">
      <c r="A318" t="s">
        <v>553</v>
      </c>
      <c r="B318" t="s">
        <v>740</v>
      </c>
      <c r="C318" t="s">
        <v>748</v>
      </c>
      <c r="D318" t="s">
        <v>748</v>
      </c>
      <c r="E318" t="s">
        <v>748</v>
      </c>
      <c r="F318" t="s">
        <v>748</v>
      </c>
    </row>
    <row r="319" spans="1:6" x14ac:dyDescent="0.25">
      <c r="A319" t="s">
        <v>554</v>
      </c>
      <c r="B319" t="s">
        <v>748</v>
      </c>
      <c r="C319" t="s">
        <v>748</v>
      </c>
      <c r="D319" t="s">
        <v>748</v>
      </c>
      <c r="E319" t="s">
        <v>744</v>
      </c>
      <c r="F319" t="s">
        <v>748</v>
      </c>
    </row>
    <row r="320" spans="1:6" x14ac:dyDescent="0.25">
      <c r="A320" t="s">
        <v>555</v>
      </c>
      <c r="B320" t="s">
        <v>740</v>
      </c>
      <c r="C320" t="s">
        <v>748</v>
      </c>
      <c r="D320" t="s">
        <v>748</v>
      </c>
      <c r="E320" t="s">
        <v>748</v>
      </c>
      <c r="F320" t="s">
        <v>748</v>
      </c>
    </row>
    <row r="321" spans="1:6" x14ac:dyDescent="0.25">
      <c r="A321" t="s">
        <v>556</v>
      </c>
      <c r="B321" t="s">
        <v>740</v>
      </c>
      <c r="C321" t="s">
        <v>748</v>
      </c>
      <c r="D321" t="s">
        <v>748</v>
      </c>
      <c r="E321" t="s">
        <v>748</v>
      </c>
      <c r="F321" t="s">
        <v>748</v>
      </c>
    </row>
    <row r="322" spans="1:6" x14ac:dyDescent="0.25">
      <c r="A322" t="s">
        <v>557</v>
      </c>
      <c r="B322" t="s">
        <v>740</v>
      </c>
      <c r="C322" t="s">
        <v>748</v>
      </c>
      <c r="D322" t="s">
        <v>748</v>
      </c>
      <c r="E322" t="s">
        <v>748</v>
      </c>
      <c r="F322" t="s">
        <v>748</v>
      </c>
    </row>
    <row r="323" spans="1:6" x14ac:dyDescent="0.25">
      <c r="A323" t="s">
        <v>558</v>
      </c>
      <c r="B323" t="s">
        <v>740</v>
      </c>
      <c r="C323" t="s">
        <v>748</v>
      </c>
      <c r="D323" t="s">
        <v>748</v>
      </c>
      <c r="E323" t="s">
        <v>748</v>
      </c>
      <c r="F323" t="s">
        <v>748</v>
      </c>
    </row>
    <row r="324" spans="1:6" x14ac:dyDescent="0.25">
      <c r="A324" t="s">
        <v>559</v>
      </c>
      <c r="B324" t="s">
        <v>740</v>
      </c>
      <c r="C324" t="s">
        <v>748</v>
      </c>
      <c r="D324" t="s">
        <v>748</v>
      </c>
      <c r="E324" t="s">
        <v>748</v>
      </c>
      <c r="F324" t="s">
        <v>748</v>
      </c>
    </row>
    <row r="325" spans="1:6" x14ac:dyDescent="0.25">
      <c r="A325" t="s">
        <v>560</v>
      </c>
      <c r="B325" t="s">
        <v>740</v>
      </c>
      <c r="C325" t="s">
        <v>748</v>
      </c>
      <c r="D325" t="s">
        <v>748</v>
      </c>
      <c r="E325" t="s">
        <v>748</v>
      </c>
      <c r="F325" t="s">
        <v>748</v>
      </c>
    </row>
    <row r="326" spans="1:6" x14ac:dyDescent="0.25">
      <c r="A326" t="s">
        <v>561</v>
      </c>
      <c r="B326" t="s">
        <v>740</v>
      </c>
      <c r="C326" t="s">
        <v>748</v>
      </c>
      <c r="D326" t="s">
        <v>748</v>
      </c>
      <c r="E326" t="s">
        <v>748</v>
      </c>
      <c r="F326" t="s">
        <v>748</v>
      </c>
    </row>
    <row r="327" spans="1:6" x14ac:dyDescent="0.25">
      <c r="A327" t="s">
        <v>562</v>
      </c>
      <c r="B327" t="s">
        <v>740</v>
      </c>
      <c r="C327" t="s">
        <v>748</v>
      </c>
      <c r="D327" t="s">
        <v>748</v>
      </c>
      <c r="E327" t="s">
        <v>748</v>
      </c>
      <c r="F327" t="s">
        <v>748</v>
      </c>
    </row>
    <row r="328" spans="1:6" x14ac:dyDescent="0.25">
      <c r="A328" t="s">
        <v>563</v>
      </c>
      <c r="B328" t="s">
        <v>740</v>
      </c>
      <c r="C328" t="s">
        <v>748</v>
      </c>
      <c r="D328" t="s">
        <v>748</v>
      </c>
      <c r="E328" t="s">
        <v>748</v>
      </c>
      <c r="F328" t="s">
        <v>748</v>
      </c>
    </row>
    <row r="329" spans="1:6" x14ac:dyDescent="0.25">
      <c r="A329" t="s">
        <v>564</v>
      </c>
      <c r="B329" t="s">
        <v>740</v>
      </c>
      <c r="C329" t="s">
        <v>748</v>
      </c>
      <c r="D329" t="s">
        <v>748</v>
      </c>
      <c r="E329" t="s">
        <v>748</v>
      </c>
      <c r="F329" t="s">
        <v>748</v>
      </c>
    </row>
    <row r="330" spans="1:6" x14ac:dyDescent="0.25">
      <c r="A330" t="s">
        <v>565</v>
      </c>
      <c r="B330" t="s">
        <v>740</v>
      </c>
      <c r="C330" t="s">
        <v>748</v>
      </c>
      <c r="D330" t="s">
        <v>748</v>
      </c>
      <c r="E330" t="s">
        <v>748</v>
      </c>
      <c r="F330" t="s">
        <v>748</v>
      </c>
    </row>
    <row r="331" spans="1:6" x14ac:dyDescent="0.25">
      <c r="A331" t="s">
        <v>566</v>
      </c>
      <c r="B331" t="s">
        <v>740</v>
      </c>
      <c r="C331" t="s">
        <v>748</v>
      </c>
      <c r="D331" t="s">
        <v>748</v>
      </c>
      <c r="E331" t="s">
        <v>748</v>
      </c>
      <c r="F331" t="s">
        <v>748</v>
      </c>
    </row>
  </sheetData>
  <autoFilter ref="A1:F331" xr:uid="{62FB527B-73E5-4B9B-AF8C-E54F4D789F8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F9CDE-E30A-43CB-8E88-FF8B9612ECCF}">
  <sheetPr filterMode="1"/>
  <dimension ref="A1:Z174"/>
  <sheetViews>
    <sheetView zoomScale="55" zoomScaleNormal="55" workbookViewId="0">
      <selection activeCell="K26" sqref="K26"/>
    </sheetView>
  </sheetViews>
  <sheetFormatPr defaultRowHeight="15" x14ac:dyDescent="0.25"/>
  <cols>
    <col min="1" max="18" width="22.85546875" customWidth="1"/>
    <col min="25" max="25" width="19.5703125" customWidth="1"/>
  </cols>
  <sheetData>
    <row r="1" spans="1:25" ht="45" x14ac:dyDescent="0.25">
      <c r="A1" s="3" t="s">
        <v>176</v>
      </c>
      <c r="B1" s="3" t="s">
        <v>179</v>
      </c>
      <c r="C1" s="3" t="s">
        <v>216</v>
      </c>
      <c r="D1" s="3" t="s">
        <v>83</v>
      </c>
      <c r="E1" s="1"/>
      <c r="F1" s="3" t="s">
        <v>177</v>
      </c>
      <c r="G1" s="3" t="s">
        <v>178</v>
      </c>
      <c r="H1" s="3" t="s">
        <v>217</v>
      </c>
      <c r="I1" s="3" t="s">
        <v>83</v>
      </c>
      <c r="J1" s="2"/>
      <c r="K1" s="3" t="s">
        <v>180</v>
      </c>
      <c r="L1" s="3" t="s">
        <v>181</v>
      </c>
      <c r="M1" s="3" t="s">
        <v>218</v>
      </c>
      <c r="N1" s="3" t="s">
        <v>83</v>
      </c>
      <c r="O1" s="1"/>
      <c r="P1" s="3" t="s">
        <v>129</v>
      </c>
      <c r="Q1" s="3"/>
      <c r="R1" s="3" t="s">
        <v>218</v>
      </c>
      <c r="S1" s="3" t="s">
        <v>83</v>
      </c>
    </row>
    <row r="2" spans="1:25" hidden="1" x14ac:dyDescent="0.25">
      <c r="A2" t="s">
        <v>222</v>
      </c>
      <c r="B2" t="s">
        <v>60</v>
      </c>
      <c r="C2" t="str">
        <f>VLOOKUP(A2,'Rune Listing'!$C:$C,1,FALSE)</f>
        <v>Battle Armor</v>
      </c>
      <c r="F2" t="s">
        <v>109</v>
      </c>
      <c r="H2" t="e">
        <f>VLOOKUP(F2,'Rune Listing'!$C:$C,1,FALSE)</f>
        <v>#N/A</v>
      </c>
      <c r="K2" t="s">
        <v>182</v>
      </c>
      <c r="M2" t="e">
        <f>VLOOKUP(K2,'Rune Listing'!$C:$C,1,FALSE)</f>
        <v>#N/A</v>
      </c>
      <c r="N2" t="s">
        <v>225</v>
      </c>
      <c r="P2" t="s">
        <v>130</v>
      </c>
      <c r="Q2" t="s">
        <v>147</v>
      </c>
      <c r="R2" t="e">
        <f>VLOOKUP(P2,'Rune Listing'!$C:$C,1,FALSE)</f>
        <v>#N/A</v>
      </c>
      <c r="Y2" t="s">
        <v>568</v>
      </c>
    </row>
    <row r="3" spans="1:25" x14ac:dyDescent="0.25">
      <c r="A3" t="s">
        <v>39</v>
      </c>
      <c r="C3" t="e">
        <f>VLOOKUP(A3,'Rune Listing'!$C:$C,1,FALSE)</f>
        <v>#N/A</v>
      </c>
      <c r="D3" t="s">
        <v>84</v>
      </c>
      <c r="F3" t="s">
        <v>110</v>
      </c>
      <c r="H3" t="e">
        <f>VLOOKUP(F3,'Rune Listing'!$C:$C,1,FALSE)</f>
        <v>#N/A</v>
      </c>
      <c r="I3" t="s">
        <v>233</v>
      </c>
      <c r="K3" t="s">
        <v>183</v>
      </c>
      <c r="L3" t="s">
        <v>189</v>
      </c>
      <c r="M3" t="e">
        <f>VLOOKUP(K3,'Rune Listing'!$C:$C,1,FALSE)</f>
        <v>#N/A</v>
      </c>
      <c r="N3" t="s">
        <v>147</v>
      </c>
      <c r="P3" t="s">
        <v>131</v>
      </c>
      <c r="Q3" t="s">
        <v>154</v>
      </c>
      <c r="R3" t="e">
        <f>VLOOKUP(P3,'Rune Listing'!$C:$C,1,FALSE)</f>
        <v>#N/A</v>
      </c>
      <c r="S3" t="s">
        <v>235</v>
      </c>
      <c r="U3" t="s">
        <v>38</v>
      </c>
      <c r="Y3" t="s">
        <v>569</v>
      </c>
    </row>
    <row r="4" spans="1:25" hidden="1" x14ac:dyDescent="0.25">
      <c r="A4" t="s">
        <v>36</v>
      </c>
      <c r="C4" t="str">
        <f>VLOOKUP(A4,'Rune Listing'!$C:$C,1,FALSE)</f>
        <v>Sand Veil</v>
      </c>
      <c r="F4" t="s">
        <v>111</v>
      </c>
      <c r="H4" t="e">
        <f>VLOOKUP(F4,'Rune Listing'!$C:$C,1,FALSE)</f>
        <v>#N/A</v>
      </c>
      <c r="K4" t="s">
        <v>184</v>
      </c>
      <c r="M4" t="e">
        <f>VLOOKUP(K4,'Rune Listing'!$C:$C,1,FALSE)</f>
        <v>#N/A</v>
      </c>
      <c r="P4" t="s">
        <v>132</v>
      </c>
      <c r="Q4" t="s">
        <v>141</v>
      </c>
      <c r="R4" t="e">
        <f>VLOOKUP(P4,'Rune Listing'!$C:$C,1,FALSE)</f>
        <v>#N/A</v>
      </c>
      <c r="Y4" t="s">
        <v>570</v>
      </c>
    </row>
    <row r="5" spans="1:25" hidden="1" x14ac:dyDescent="0.25">
      <c r="A5" t="s">
        <v>37</v>
      </c>
      <c r="C5" t="str">
        <f>VLOOKUP(A5,'Rune Listing'!$C:$C,1,FALSE)</f>
        <v>Static</v>
      </c>
      <c r="F5" t="s">
        <v>112</v>
      </c>
      <c r="H5" t="e">
        <f>VLOOKUP(F5,'Rune Listing'!$C:$C,1,FALSE)</f>
        <v>#N/A</v>
      </c>
      <c r="K5" t="s">
        <v>185</v>
      </c>
      <c r="M5" t="e">
        <f>VLOOKUP(K5,'Rune Listing'!$C:$C,1,FALSE)</f>
        <v>#N/A</v>
      </c>
      <c r="N5" t="s">
        <v>228</v>
      </c>
      <c r="P5" t="s">
        <v>133</v>
      </c>
      <c r="Q5" t="s">
        <v>156</v>
      </c>
      <c r="R5" t="e">
        <f>VLOOKUP(P5,'Rune Listing'!$C:$C,1,FALSE)</f>
        <v>#N/A</v>
      </c>
      <c r="Y5" t="s">
        <v>571</v>
      </c>
    </row>
    <row r="6" spans="1:25" x14ac:dyDescent="0.25">
      <c r="A6" t="s">
        <v>40</v>
      </c>
      <c r="C6" t="e">
        <f>VLOOKUP(A6,'Rune Listing'!$C:$C,1,FALSE)</f>
        <v>#N/A</v>
      </c>
      <c r="D6" t="s">
        <v>84</v>
      </c>
      <c r="F6" t="s">
        <v>113</v>
      </c>
      <c r="H6" t="e">
        <f>VLOOKUP(F6,'Rune Listing'!$C:$C,1,FALSE)</f>
        <v>#N/A</v>
      </c>
      <c r="K6" t="s">
        <v>186</v>
      </c>
      <c r="M6" t="e">
        <f>VLOOKUP(K6,'Rune Listing'!$C:$C,1,FALSE)</f>
        <v>#N/A</v>
      </c>
      <c r="P6" t="s">
        <v>134</v>
      </c>
      <c r="Q6" t="s">
        <v>136</v>
      </c>
      <c r="R6" t="e">
        <f>VLOOKUP(P6,'Rune Listing'!$C:$C,1,FALSE)</f>
        <v>#N/A</v>
      </c>
      <c r="Y6" t="s">
        <v>572</v>
      </c>
    </row>
    <row r="7" spans="1:25" hidden="1" x14ac:dyDescent="0.25">
      <c r="A7" t="s">
        <v>41</v>
      </c>
      <c r="C7" t="str">
        <f>VLOOKUP(A7,'Rune Listing'!$C:$C,1,FALSE)</f>
        <v>Compound Eyes</v>
      </c>
      <c r="F7" t="s">
        <v>114</v>
      </c>
      <c r="G7" t="s">
        <v>115</v>
      </c>
      <c r="H7" t="e">
        <f>VLOOKUP(F7,'Rune Listing'!$C:$C,1,FALSE)</f>
        <v>#N/A</v>
      </c>
      <c r="K7" t="s">
        <v>187</v>
      </c>
      <c r="L7" t="s">
        <v>190</v>
      </c>
      <c r="M7" t="e">
        <f>VLOOKUP(K7,'Rune Listing'!$C:$C,1,FALSE)</f>
        <v>#N/A</v>
      </c>
      <c r="N7" t="s">
        <v>192</v>
      </c>
      <c r="P7" t="s">
        <v>135</v>
      </c>
      <c r="Q7" t="s">
        <v>137</v>
      </c>
      <c r="R7" t="e">
        <f>VLOOKUP(P7,'Rune Listing'!$C:$C,1,FALSE)</f>
        <v>#N/A</v>
      </c>
      <c r="Y7" t="s">
        <v>573</v>
      </c>
    </row>
    <row r="8" spans="1:25" x14ac:dyDescent="0.25">
      <c r="A8" t="s">
        <v>42</v>
      </c>
      <c r="C8" t="e">
        <f>VLOOKUP(A8,'Rune Listing'!$C:$C,1,FALSE)</f>
        <v>#N/A</v>
      </c>
      <c r="F8" t="s">
        <v>116</v>
      </c>
      <c r="H8" t="e">
        <f>VLOOKUP(F8,'Rune Listing'!$C:$C,1,FALSE)</f>
        <v>#N/A</v>
      </c>
      <c r="K8" t="s">
        <v>188</v>
      </c>
      <c r="M8" t="str">
        <f>VLOOKUP(K8,'Rune Listing'!$C:$C,1,FALSE)</f>
        <v>Arena Trap</v>
      </c>
      <c r="N8" t="s">
        <v>228</v>
      </c>
      <c r="P8" t="s">
        <v>138</v>
      </c>
      <c r="Q8" t="s">
        <v>139</v>
      </c>
      <c r="R8" t="e">
        <f>VLOOKUP(P8,'Rune Listing'!$C:$C,1,FALSE)</f>
        <v>#N/A</v>
      </c>
      <c r="Y8" t="s">
        <v>574</v>
      </c>
    </row>
    <row r="9" spans="1:25" x14ac:dyDescent="0.25">
      <c r="A9" t="s">
        <v>43</v>
      </c>
      <c r="B9" t="s">
        <v>66</v>
      </c>
      <c r="C9" t="e">
        <f>VLOOKUP(A9,'Rune Listing'!$C:$C,1,FALSE)</f>
        <v>#N/A</v>
      </c>
      <c r="D9" t="s">
        <v>61</v>
      </c>
      <c r="F9" t="s">
        <v>117</v>
      </c>
      <c r="G9" t="s">
        <v>119</v>
      </c>
      <c r="H9" t="str">
        <f>VLOOKUP(F9,'Rune Listing'!$C:$C,1,FALSE)</f>
        <v>Gooey</v>
      </c>
      <c r="K9" t="s">
        <v>191</v>
      </c>
      <c r="M9" t="e">
        <f>VLOOKUP(K9,'Rune Listing'!$C:$C,1,FALSE)</f>
        <v>#N/A</v>
      </c>
      <c r="P9" t="s">
        <v>140</v>
      </c>
      <c r="Q9" t="s">
        <v>141</v>
      </c>
      <c r="R9" t="e">
        <f>VLOOKUP(P9,'Rune Listing'!$C:$C,1,FALSE)</f>
        <v>#N/A</v>
      </c>
      <c r="Y9" t="s">
        <v>575</v>
      </c>
    </row>
    <row r="10" spans="1:25" x14ac:dyDescent="0.25">
      <c r="A10" t="s">
        <v>44</v>
      </c>
      <c r="C10" t="e">
        <f>VLOOKUP(A10,'Rune Listing'!$C:$C,1,FALSE)</f>
        <v>#N/A</v>
      </c>
      <c r="F10" t="s">
        <v>118</v>
      </c>
      <c r="H10" t="e">
        <f>VLOOKUP(F10,'Rune Listing'!$C:$C,1,FALSE)</f>
        <v>#N/A</v>
      </c>
      <c r="K10" t="s">
        <v>193</v>
      </c>
      <c r="M10" t="e">
        <f>VLOOKUP(K10,'Rune Listing'!$C:$C,1,FALSE)</f>
        <v>#N/A</v>
      </c>
      <c r="N10" t="s">
        <v>225</v>
      </c>
      <c r="P10" t="s">
        <v>142</v>
      </c>
      <c r="Q10" t="s">
        <v>143</v>
      </c>
      <c r="R10" t="e">
        <f>VLOOKUP(P10,'Rune Listing'!$C:$C,1,FALSE)</f>
        <v>#N/A</v>
      </c>
      <c r="Y10" t="s">
        <v>576</v>
      </c>
    </row>
    <row r="11" spans="1:25" hidden="1" x14ac:dyDescent="0.25">
      <c r="A11" t="s">
        <v>45</v>
      </c>
      <c r="C11" t="str">
        <f>VLOOKUP(A11,'Rune Listing'!$C:$C,1,FALSE)</f>
        <v>Shield Dust</v>
      </c>
      <c r="F11" t="s">
        <v>173</v>
      </c>
      <c r="H11" t="str">
        <f>VLOOKUP(F11,'Rune Listing'!$C:$C,1,FALSE)</f>
        <v>Prism Armor</v>
      </c>
      <c r="K11" t="s">
        <v>194</v>
      </c>
      <c r="L11" t="s">
        <v>195</v>
      </c>
      <c r="M11" t="e">
        <f>VLOOKUP(K11,'Rune Listing'!$C:$C,1,FALSE)</f>
        <v>#N/A</v>
      </c>
      <c r="N11" t="s">
        <v>192</v>
      </c>
      <c r="P11" t="s">
        <v>144</v>
      </c>
      <c r="Q11" t="s">
        <v>145</v>
      </c>
      <c r="R11" t="e">
        <f>VLOOKUP(P11,'Rune Listing'!$C:$C,1,FALSE)</f>
        <v>#N/A</v>
      </c>
      <c r="Y11" t="s">
        <v>577</v>
      </c>
    </row>
    <row r="12" spans="1:25" x14ac:dyDescent="0.25">
      <c r="A12" t="s">
        <v>46</v>
      </c>
      <c r="C12" t="e">
        <f>VLOOKUP(A12,'Rune Listing'!$C:$C,1,FALSE)</f>
        <v>#N/A</v>
      </c>
      <c r="F12" t="s">
        <v>174</v>
      </c>
      <c r="H12" t="str">
        <f>VLOOKUP(F12,'Rune Listing'!$C:$C,1,FALSE)</f>
        <v>Inner Focus</v>
      </c>
      <c r="K12" t="s">
        <v>196</v>
      </c>
      <c r="M12" t="e">
        <f>VLOOKUP(K12,'Rune Listing'!$C:$C,1,FALSE)</f>
        <v>#N/A</v>
      </c>
      <c r="N12" t="s">
        <v>228</v>
      </c>
      <c r="P12" t="s">
        <v>146</v>
      </c>
      <c r="Q12" t="s">
        <v>147</v>
      </c>
      <c r="R12" t="e">
        <f>VLOOKUP(P12,'Rune Listing'!$C:$C,1,FALSE)</f>
        <v>#N/A</v>
      </c>
      <c r="Y12" t="s">
        <v>578</v>
      </c>
    </row>
    <row r="13" spans="1:25" x14ac:dyDescent="0.25">
      <c r="A13" t="s">
        <v>47</v>
      </c>
      <c r="C13" t="e">
        <f>VLOOKUP(A13,'Rune Listing'!$C:$C,1,FALSE)</f>
        <v>#N/A</v>
      </c>
      <c r="F13" t="s">
        <v>175</v>
      </c>
      <c r="H13" t="e">
        <f>VLOOKUP(F13,'Rune Listing'!$C:$C,1,FALSE)</f>
        <v>#N/A</v>
      </c>
      <c r="K13" t="s">
        <v>197</v>
      </c>
      <c r="M13" t="e">
        <f>VLOOKUP(K13,'Rune Listing'!$C:$C,1,FALSE)</f>
        <v>#N/A</v>
      </c>
      <c r="N13" t="s">
        <v>228</v>
      </c>
      <c r="P13" t="s">
        <v>148</v>
      </c>
      <c r="Q13" t="s">
        <v>84</v>
      </c>
      <c r="R13" t="e">
        <f>VLOOKUP(P13,'Rune Listing'!$C:$C,1,FALSE)</f>
        <v>#N/A</v>
      </c>
      <c r="Y13" t="s">
        <v>579</v>
      </c>
    </row>
    <row r="14" spans="1:25" hidden="1" x14ac:dyDescent="0.25">
      <c r="A14" t="s">
        <v>48</v>
      </c>
      <c r="C14" t="str">
        <f>VLOOKUP(A14,'Rune Listing'!$C:$C,1,FALSE)</f>
        <v>Synchronize</v>
      </c>
      <c r="K14" t="s">
        <v>198</v>
      </c>
      <c r="M14" t="e">
        <f>VLOOKUP(K14,'Rune Listing'!$C:$C,1,FALSE)</f>
        <v>#N/A</v>
      </c>
      <c r="N14" t="s">
        <v>225</v>
      </c>
      <c r="P14" t="s">
        <v>149</v>
      </c>
      <c r="Q14" t="s">
        <v>156</v>
      </c>
      <c r="R14" t="e">
        <f>VLOOKUP(P14,'Rune Listing'!$C:$C,1,FALSE)</f>
        <v>#N/A</v>
      </c>
      <c r="Y14" t="s">
        <v>580</v>
      </c>
    </row>
    <row r="15" spans="1:25" hidden="1" x14ac:dyDescent="0.25">
      <c r="A15" t="s">
        <v>49</v>
      </c>
      <c r="C15" t="str">
        <f>VLOOKUP(A15,'Rune Listing'!$C:$C,1,FALSE)</f>
        <v>Natural Cure</v>
      </c>
      <c r="K15" t="s">
        <v>199</v>
      </c>
      <c r="M15" t="e">
        <f>VLOOKUP(K15,'Rune Listing'!$C:$C,1,FALSE)</f>
        <v>#N/A</v>
      </c>
      <c r="P15" t="s">
        <v>150</v>
      </c>
      <c r="Q15" t="s">
        <v>172</v>
      </c>
      <c r="R15" t="e">
        <f>VLOOKUP(P15,'Rune Listing'!$C:$C,1,FALSE)</f>
        <v>#N/A</v>
      </c>
      <c r="Y15" t="s">
        <v>581</v>
      </c>
    </row>
    <row r="16" spans="1:25" x14ac:dyDescent="0.25">
      <c r="A16" t="s">
        <v>50</v>
      </c>
      <c r="C16" t="e">
        <f>VLOOKUP(A16,'Rune Listing'!$C:$C,1,FALSE)</f>
        <v>#N/A</v>
      </c>
      <c r="K16" t="s">
        <v>200</v>
      </c>
      <c r="M16" t="e">
        <f>VLOOKUP(K16,'Rune Listing'!$C:$C,1,FALSE)</f>
        <v>#N/A</v>
      </c>
      <c r="P16" t="s">
        <v>151</v>
      </c>
      <c r="Q16" t="s">
        <v>137</v>
      </c>
      <c r="R16" t="e">
        <f>VLOOKUP(P16,'Rune Listing'!$C:$C,1,FALSE)</f>
        <v>#N/A</v>
      </c>
      <c r="Y16" t="s">
        <v>582</v>
      </c>
    </row>
    <row r="17" spans="1:25" hidden="1" x14ac:dyDescent="0.25">
      <c r="A17" t="s">
        <v>51</v>
      </c>
      <c r="C17" t="str">
        <f>VLOOKUP(A17,'Rune Listing'!$C:$C,1,FALSE)</f>
        <v>Poison Point</v>
      </c>
      <c r="K17" t="s">
        <v>201</v>
      </c>
      <c r="M17" t="e">
        <f>VLOOKUP(K17,'Rune Listing'!$C:$C,1,FALSE)</f>
        <v>#N/A</v>
      </c>
      <c r="N17" t="s">
        <v>219</v>
      </c>
      <c r="P17" t="s">
        <v>152</v>
      </c>
      <c r="Q17" t="s">
        <v>147</v>
      </c>
      <c r="R17" t="e">
        <f>VLOOKUP(P17,'Rune Listing'!$C:$C,1,FALSE)</f>
        <v>#N/A</v>
      </c>
      <c r="S17" t="s">
        <v>84</v>
      </c>
      <c r="Y17" t="s">
        <v>583</v>
      </c>
    </row>
    <row r="18" spans="1:25" x14ac:dyDescent="0.25">
      <c r="A18" t="s">
        <v>52</v>
      </c>
      <c r="C18" t="e">
        <f>VLOOKUP(A18,'Rune Listing'!$C:$C,1,FALSE)</f>
        <v>#N/A</v>
      </c>
      <c r="K18" t="s">
        <v>202</v>
      </c>
      <c r="M18" t="e">
        <f>VLOOKUP(K18,'Rune Listing'!$C:$C,1,FALSE)</f>
        <v>#N/A</v>
      </c>
      <c r="N18" t="s">
        <v>225</v>
      </c>
      <c r="P18" t="s">
        <v>153</v>
      </c>
      <c r="Q18" t="s">
        <v>147</v>
      </c>
      <c r="R18" t="e">
        <f>VLOOKUP(P18,'Rune Listing'!$C:$C,1,FALSE)</f>
        <v>#N/A</v>
      </c>
      <c r="Y18" t="s">
        <v>584</v>
      </c>
    </row>
    <row r="19" spans="1:25" x14ac:dyDescent="0.25">
      <c r="A19" t="s">
        <v>53</v>
      </c>
      <c r="C19" t="e">
        <f>VLOOKUP(A19,'Rune Listing'!$C:$C,1,FALSE)</f>
        <v>#N/A</v>
      </c>
      <c r="K19" t="s">
        <v>203</v>
      </c>
      <c r="M19" t="e">
        <f>VLOOKUP(K19,'Rune Listing'!$C:$C,1,FALSE)</f>
        <v>#N/A</v>
      </c>
      <c r="N19" t="s">
        <v>230</v>
      </c>
      <c r="P19" t="s">
        <v>155</v>
      </c>
      <c r="Q19" t="s">
        <v>156</v>
      </c>
      <c r="R19" t="e">
        <f>VLOOKUP(P19,'Rune Listing'!$C:$C,1,FALSE)</f>
        <v>#N/A</v>
      </c>
      <c r="Y19" t="s">
        <v>585</v>
      </c>
    </row>
    <row r="20" spans="1:25" hidden="1" x14ac:dyDescent="0.25">
      <c r="A20" t="s">
        <v>54</v>
      </c>
      <c r="C20" t="str">
        <f>VLOOKUP(A20,'Rune Listing'!$C:$C,1,FALSE)</f>
        <v>Rain Dish</v>
      </c>
      <c r="K20" t="s">
        <v>204</v>
      </c>
      <c r="M20" t="e">
        <f>VLOOKUP(K20,'Rune Listing'!$C:$C,1,FALSE)</f>
        <v>#N/A</v>
      </c>
      <c r="N20" t="s">
        <v>225</v>
      </c>
      <c r="P20" t="s">
        <v>157</v>
      </c>
      <c r="Q20" t="s">
        <v>156</v>
      </c>
      <c r="R20" t="e">
        <f>VLOOKUP(P20,'Rune Listing'!$C:$C,1,FALSE)</f>
        <v>#N/A</v>
      </c>
      <c r="Y20" t="s">
        <v>586</v>
      </c>
    </row>
    <row r="21" spans="1:25" x14ac:dyDescent="0.25">
      <c r="A21" t="s">
        <v>55</v>
      </c>
      <c r="C21" t="e">
        <f>VLOOKUP(A21,'Rune Listing'!$C:$C,1,FALSE)</f>
        <v>#N/A</v>
      </c>
      <c r="D21" t="s">
        <v>219</v>
      </c>
      <c r="K21" t="s">
        <v>205</v>
      </c>
      <c r="M21" t="e">
        <f>VLOOKUP(K21,'Rune Listing'!$C:$C,1,FALSE)</f>
        <v>#N/A</v>
      </c>
      <c r="N21" t="s">
        <v>225</v>
      </c>
      <c r="P21" t="s">
        <v>158</v>
      </c>
      <c r="Q21" t="s">
        <v>156</v>
      </c>
      <c r="R21" t="e">
        <f>VLOOKUP(P21,'Rune Listing'!$C:$C,1,FALSE)</f>
        <v>#N/A</v>
      </c>
      <c r="Y21" t="s">
        <v>587</v>
      </c>
    </row>
    <row r="22" spans="1:25" x14ac:dyDescent="0.25">
      <c r="A22" t="s">
        <v>56</v>
      </c>
      <c r="C22" t="e">
        <f>VLOOKUP(A22,'Rune Listing'!$C:$C,1,FALSE)</f>
        <v>#N/A</v>
      </c>
      <c r="K22" t="s">
        <v>206</v>
      </c>
      <c r="M22" t="e">
        <f>VLOOKUP(K22,'Rune Listing'!$C:$C,1,FALSE)</f>
        <v>#N/A</v>
      </c>
      <c r="N22" t="s">
        <v>225</v>
      </c>
      <c r="P22" t="s">
        <v>159</v>
      </c>
      <c r="Q22" t="s">
        <v>232</v>
      </c>
      <c r="R22" t="e">
        <f>VLOOKUP(P22,'Rune Listing'!$C:$C,1,FALSE)</f>
        <v>#N/A</v>
      </c>
      <c r="Y22" t="s">
        <v>588</v>
      </c>
    </row>
    <row r="23" spans="1:25" x14ac:dyDescent="0.25">
      <c r="A23" t="s">
        <v>57</v>
      </c>
      <c r="C23" t="str">
        <f>VLOOKUP(A23,'Rune Listing'!$C:$C,1,FALSE)</f>
        <v>Flame Body</v>
      </c>
      <c r="K23" t="s">
        <v>207</v>
      </c>
      <c r="M23" t="e">
        <f>VLOOKUP(K23,'Rune Listing'!$C:$C,1,FALSE)</f>
        <v>#N/A</v>
      </c>
      <c r="P23" t="s">
        <v>160</v>
      </c>
      <c r="Q23" t="s">
        <v>232</v>
      </c>
      <c r="R23" t="e">
        <f>VLOOKUP(P23,'Rune Listing'!$C:$C,1,FALSE)</f>
        <v>#N/A</v>
      </c>
      <c r="Y23" t="s">
        <v>589</v>
      </c>
    </row>
    <row r="24" spans="1:25" x14ac:dyDescent="0.25">
      <c r="A24" t="s">
        <v>58</v>
      </c>
      <c r="C24" t="e">
        <f>VLOOKUP(A24,'Rune Listing'!$C:$C,1,FALSE)</f>
        <v>#N/A</v>
      </c>
      <c r="D24" t="s">
        <v>223</v>
      </c>
      <c r="K24" t="s">
        <v>208</v>
      </c>
      <c r="M24" t="e">
        <f>VLOOKUP(K24,'Rune Listing'!$C:$C,1,FALSE)</f>
        <v>#N/A</v>
      </c>
      <c r="N24" t="s">
        <v>231</v>
      </c>
      <c r="P24" t="s">
        <v>161</v>
      </c>
      <c r="Q24" t="s">
        <v>137</v>
      </c>
      <c r="R24" t="e">
        <f>VLOOKUP(P24,'Rune Listing'!$C:$C,1,FALSE)</f>
        <v>#N/A</v>
      </c>
      <c r="Y24" t="s">
        <v>590</v>
      </c>
    </row>
    <row r="25" spans="1:25" x14ac:dyDescent="0.25">
      <c r="A25" t="s">
        <v>59</v>
      </c>
      <c r="C25" t="e">
        <f>VLOOKUP(A25,'Rune Listing'!$C:$C,1,FALSE)</f>
        <v>#N/A</v>
      </c>
      <c r="K25" t="s">
        <v>209</v>
      </c>
      <c r="M25" t="e">
        <f>VLOOKUP(K25,'Rune Listing'!$C:$C,1,FALSE)</f>
        <v>#N/A</v>
      </c>
      <c r="P25" t="s">
        <v>162</v>
      </c>
      <c r="Q25" t="s">
        <v>145</v>
      </c>
      <c r="R25" t="e">
        <f>VLOOKUP(P25,'Rune Listing'!$C:$C,1,FALSE)</f>
        <v>#N/A</v>
      </c>
      <c r="Y25" t="s">
        <v>591</v>
      </c>
    </row>
    <row r="26" spans="1:25" x14ac:dyDescent="0.25">
      <c r="A26" t="s">
        <v>62</v>
      </c>
      <c r="C26" t="e">
        <f>VLOOKUP(A26,'Rune Listing'!$C:$C,1,FALSE)</f>
        <v>#N/A</v>
      </c>
      <c r="D26" t="s">
        <v>84</v>
      </c>
      <c r="K26" t="s">
        <v>210</v>
      </c>
      <c r="M26" t="e">
        <f>VLOOKUP(K26,'Rune Listing'!$C:$C,1,FALSE)</f>
        <v>#N/A</v>
      </c>
      <c r="N26" t="s">
        <v>228</v>
      </c>
      <c r="P26" t="s">
        <v>163</v>
      </c>
      <c r="Q26" t="s">
        <v>156</v>
      </c>
      <c r="R26" t="e">
        <f>VLOOKUP(P26,'Rune Listing'!$C:$C,1,FALSE)</f>
        <v>#N/A</v>
      </c>
      <c r="Y26" t="s">
        <v>592</v>
      </c>
    </row>
    <row r="27" spans="1:25" x14ac:dyDescent="0.25">
      <c r="A27" t="s">
        <v>63</v>
      </c>
      <c r="C27" t="e">
        <f>VLOOKUP(A27,'Rune Listing'!$C:$C,1,FALSE)</f>
        <v>#N/A</v>
      </c>
      <c r="D27" t="s">
        <v>219</v>
      </c>
      <c r="K27" t="s">
        <v>211</v>
      </c>
      <c r="M27" t="e">
        <f>VLOOKUP(K27,'Rune Listing'!$C:$C,1,FALSE)</f>
        <v>#N/A</v>
      </c>
      <c r="N27" t="s">
        <v>226</v>
      </c>
      <c r="P27" t="s">
        <v>164</v>
      </c>
      <c r="Q27" t="s">
        <v>156</v>
      </c>
      <c r="R27" t="e">
        <f>VLOOKUP(P27,'Rune Listing'!$C:$C,1,FALSE)</f>
        <v>#N/A</v>
      </c>
      <c r="Y27" t="s">
        <v>593</v>
      </c>
    </row>
    <row r="28" spans="1:25" x14ac:dyDescent="0.25">
      <c r="A28" t="s">
        <v>64</v>
      </c>
      <c r="C28" t="e">
        <f>VLOOKUP(A28,'Rune Listing'!$C:$C,1,FALSE)</f>
        <v>#N/A</v>
      </c>
      <c r="D28" t="s">
        <v>219</v>
      </c>
      <c r="K28" t="s">
        <v>212</v>
      </c>
      <c r="L28" t="s">
        <v>167</v>
      </c>
      <c r="M28" t="e">
        <f>VLOOKUP(K28,'Rune Listing'!$C:$C,1,FALSE)</f>
        <v>#N/A</v>
      </c>
      <c r="N28" t="s">
        <v>61</v>
      </c>
      <c r="P28" t="s">
        <v>165</v>
      </c>
      <c r="Q28" t="s">
        <v>156</v>
      </c>
      <c r="R28" t="e">
        <f>VLOOKUP(P28,'Rune Listing'!$C:$C,1,FALSE)</f>
        <v>#N/A</v>
      </c>
      <c r="Y28" t="s">
        <v>594</v>
      </c>
    </row>
    <row r="29" spans="1:25" x14ac:dyDescent="0.25">
      <c r="A29" t="s">
        <v>65</v>
      </c>
      <c r="C29" t="e">
        <f>VLOOKUP(A29,'Rune Listing'!$C:$C,1,FALSE)</f>
        <v>#N/A</v>
      </c>
      <c r="K29" t="s">
        <v>213</v>
      </c>
      <c r="L29" t="s">
        <v>167</v>
      </c>
      <c r="M29" t="str">
        <f>VLOOKUP(K29,'Rune Listing'!$C:$C,1,FALSE)</f>
        <v>Clear Body</v>
      </c>
      <c r="N29" t="s">
        <v>61</v>
      </c>
      <c r="P29" t="s">
        <v>166</v>
      </c>
      <c r="Q29" t="s">
        <v>156</v>
      </c>
      <c r="R29" t="e">
        <f>VLOOKUP(P29,'Rune Listing'!$C:$C,1,FALSE)</f>
        <v>#N/A</v>
      </c>
      <c r="Y29" t="s">
        <v>595</v>
      </c>
    </row>
    <row r="30" spans="1:25" hidden="1" x14ac:dyDescent="0.25">
      <c r="A30" t="s">
        <v>66</v>
      </c>
      <c r="C30" t="str">
        <f>VLOOKUP(A30,'Rune Listing'!$C:$C,1,FALSE)</f>
        <v>Vital Spirit</v>
      </c>
      <c r="K30" t="s">
        <v>214</v>
      </c>
      <c r="M30" t="e">
        <f>VLOOKUP(K30,'Rune Listing'!$C:$C,1,FALSE)</f>
        <v>#N/A</v>
      </c>
      <c r="N30" t="s">
        <v>225</v>
      </c>
      <c r="P30" t="s">
        <v>167</v>
      </c>
      <c r="Q30" t="s">
        <v>147</v>
      </c>
      <c r="R30" t="e">
        <f>VLOOKUP(P30,'Rune Listing'!$C:$C,1,FALSE)</f>
        <v>#N/A</v>
      </c>
      <c r="Y30" t="s">
        <v>596</v>
      </c>
    </row>
    <row r="31" spans="1:25" x14ac:dyDescent="0.25">
      <c r="A31" t="s">
        <v>67</v>
      </c>
      <c r="C31" t="e">
        <f>VLOOKUP(A31,'Rune Listing'!$C:$C,1,FALSE)</f>
        <v>#N/A</v>
      </c>
      <c r="K31" t="s">
        <v>215</v>
      </c>
      <c r="M31" t="e">
        <f>VLOOKUP(K31,'Rune Listing'!$C:$C,1,FALSE)</f>
        <v>#N/A</v>
      </c>
      <c r="N31" t="s">
        <v>229</v>
      </c>
      <c r="P31" t="s">
        <v>168</v>
      </c>
      <c r="Q31" t="s">
        <v>147</v>
      </c>
      <c r="R31" t="e">
        <f>VLOOKUP(P31,'Rune Listing'!$C:$C,1,FALSE)</f>
        <v>#N/A</v>
      </c>
      <c r="S31" t="s">
        <v>227</v>
      </c>
      <c r="Y31" t="s">
        <v>597</v>
      </c>
    </row>
    <row r="32" spans="1:25" hidden="1" x14ac:dyDescent="0.25">
      <c r="A32" t="s">
        <v>68</v>
      </c>
      <c r="C32" t="str">
        <f>VLOOKUP(A32,'Rune Listing'!$C:$C,1,FALSE)</f>
        <v>Liquid Ooze</v>
      </c>
      <c r="P32" t="s">
        <v>169</v>
      </c>
      <c r="Q32" t="s">
        <v>156</v>
      </c>
      <c r="R32" t="e">
        <f>VLOOKUP(P32,'Rune Listing'!$C:$C,1,FALSE)</f>
        <v>#N/A</v>
      </c>
      <c r="Y32" t="s">
        <v>598</v>
      </c>
    </row>
    <row r="33" spans="1:25" x14ac:dyDescent="0.25">
      <c r="A33" t="s">
        <v>69</v>
      </c>
      <c r="C33" t="e">
        <f>VLOOKUP(A33,'Rune Listing'!$C:$C,1,FALSE)</f>
        <v>#N/A</v>
      </c>
      <c r="P33" t="s">
        <v>170</v>
      </c>
      <c r="Q33" t="s">
        <v>171</v>
      </c>
      <c r="R33" t="e">
        <f>VLOOKUP(P33,'Rune Listing'!$C:$C,1,FALSE)</f>
        <v>#N/A</v>
      </c>
      <c r="Y33" t="s">
        <v>599</v>
      </c>
    </row>
    <row r="34" spans="1:25" x14ac:dyDescent="0.25">
      <c r="A34" t="s">
        <v>70</v>
      </c>
      <c r="C34" t="str">
        <f>VLOOKUP(A34,'Rune Listing'!$C:$C,1,FALSE)</f>
        <v>Rivalry</v>
      </c>
      <c r="D34" t="s">
        <v>84</v>
      </c>
      <c r="Y34" t="s">
        <v>600</v>
      </c>
    </row>
    <row r="35" spans="1:25" x14ac:dyDescent="0.25">
      <c r="A35" t="s">
        <v>71</v>
      </c>
      <c r="C35" t="e">
        <f>VLOOKUP(A35,'Rune Listing'!$C:$C,1,FALSE)</f>
        <v>#N/A</v>
      </c>
      <c r="Y35" t="s">
        <v>601</v>
      </c>
    </row>
    <row r="36" spans="1:25" hidden="1" x14ac:dyDescent="0.25">
      <c r="A36" t="s">
        <v>72</v>
      </c>
      <c r="C36" t="str">
        <f>VLOOKUP(A36,'Rune Listing'!$C:$C,1,FALSE)</f>
        <v>Snow Cloak</v>
      </c>
      <c r="Y36" t="s">
        <v>602</v>
      </c>
    </row>
    <row r="37" spans="1:25" x14ac:dyDescent="0.25">
      <c r="A37" t="s">
        <v>73</v>
      </c>
      <c r="C37" t="e">
        <f>VLOOKUP(A37,'Rune Listing'!$C:$C,1,FALSE)</f>
        <v>#N/A</v>
      </c>
      <c r="D37" t="s">
        <v>220</v>
      </c>
      <c r="Y37" t="s">
        <v>603</v>
      </c>
    </row>
    <row r="38" spans="1:25" x14ac:dyDescent="0.25">
      <c r="A38" t="s">
        <v>74</v>
      </c>
      <c r="C38" t="e">
        <f>VLOOKUP(A38,'Rune Listing'!$C:$C,1,FALSE)</f>
        <v>#N/A</v>
      </c>
      <c r="Y38" t="s">
        <v>604</v>
      </c>
    </row>
    <row r="39" spans="1:25" x14ac:dyDescent="0.25">
      <c r="A39" t="s">
        <v>75</v>
      </c>
      <c r="C39" t="e">
        <f>VLOOKUP(A39,'Rune Listing'!$C:$C,1,FALSE)</f>
        <v>#N/A</v>
      </c>
      <c r="D39" t="s">
        <v>221</v>
      </c>
      <c r="Y39" t="s">
        <v>605</v>
      </c>
    </row>
    <row r="40" spans="1:25" hidden="1" x14ac:dyDescent="0.25">
      <c r="A40" t="s">
        <v>76</v>
      </c>
      <c r="C40" t="str">
        <f>VLOOKUP(A40,'Rune Listing'!$C:$C,1,FALSE)</f>
        <v>Sniper</v>
      </c>
      <c r="Y40" t="s">
        <v>606</v>
      </c>
    </row>
    <row r="41" spans="1:25" x14ac:dyDescent="0.25">
      <c r="A41" t="s">
        <v>77</v>
      </c>
      <c r="C41" t="e">
        <f>VLOOKUP(A41,'Rune Listing'!$C:$C,1,FALSE)</f>
        <v>#N/A</v>
      </c>
      <c r="D41" t="s">
        <v>84</v>
      </c>
      <c r="Y41" t="s">
        <v>607</v>
      </c>
    </row>
    <row r="42" spans="1:25" x14ac:dyDescent="0.25">
      <c r="A42" t="s">
        <v>78</v>
      </c>
      <c r="C42" t="e">
        <f>VLOOKUP(A42,'Rune Listing'!$C:$C,1,FALSE)</f>
        <v>#N/A</v>
      </c>
      <c r="Y42" t="s">
        <v>608</v>
      </c>
    </row>
    <row r="43" spans="1:25" hidden="1" x14ac:dyDescent="0.25">
      <c r="A43" t="s">
        <v>79</v>
      </c>
      <c r="C43" t="str">
        <f>VLOOKUP(A43,'Rune Listing'!$C:$C,1,FALSE)</f>
        <v>Mold Breaker</v>
      </c>
      <c r="Y43" t="s">
        <v>609</v>
      </c>
    </row>
    <row r="44" spans="1:25" hidden="1" x14ac:dyDescent="0.25">
      <c r="A44" t="s">
        <v>80</v>
      </c>
      <c r="C44" t="str">
        <f>VLOOKUP(A44,'Rune Listing'!$C:$C,1,FALSE)</f>
        <v>Aftermath</v>
      </c>
      <c r="Y44" t="s">
        <v>610</v>
      </c>
    </row>
    <row r="45" spans="1:25" x14ac:dyDescent="0.25">
      <c r="A45" t="s">
        <v>81</v>
      </c>
      <c r="C45" t="e">
        <f>VLOOKUP(A45,'Rune Listing'!$C:$C,1,FALSE)</f>
        <v>#N/A</v>
      </c>
      <c r="J45" s="4" t="s">
        <v>234</v>
      </c>
      <c r="Y45" t="s">
        <v>611</v>
      </c>
    </row>
    <row r="46" spans="1:25" x14ac:dyDescent="0.25">
      <c r="A46" t="s">
        <v>82</v>
      </c>
      <c r="C46" t="e">
        <f>VLOOKUP(A46,'Rune Listing'!$C:$C,1,FALSE)</f>
        <v>#N/A</v>
      </c>
      <c r="D46" t="s">
        <v>84</v>
      </c>
      <c r="Y46" t="s">
        <v>612</v>
      </c>
    </row>
    <row r="47" spans="1:25" x14ac:dyDescent="0.25">
      <c r="A47" t="s">
        <v>85</v>
      </c>
      <c r="C47" t="str">
        <f>VLOOKUP(A47,'Rune Listing'!$C:$C,1,FALSE)</f>
        <v>Telepathy</v>
      </c>
      <c r="J47" t="s">
        <v>196</v>
      </c>
      <c r="Y47" t="s">
        <v>613</v>
      </c>
    </row>
    <row r="48" spans="1:25" hidden="1" x14ac:dyDescent="0.25">
      <c r="A48" t="s">
        <v>86</v>
      </c>
      <c r="C48" t="str">
        <f>VLOOKUP(A48,'Rune Listing'!$C:$C,1,FALSE)</f>
        <v>Ice Body</v>
      </c>
      <c r="J48" t="s">
        <v>146</v>
      </c>
      <c r="Y48" t="s">
        <v>614</v>
      </c>
    </row>
    <row r="49" spans="1:25" x14ac:dyDescent="0.25">
      <c r="A49" t="s">
        <v>87</v>
      </c>
      <c r="C49" t="e">
        <f>VLOOKUP(A49,'Rune Listing'!$C:$C,1,FALSE)</f>
        <v>#N/A</v>
      </c>
      <c r="J49" t="s">
        <v>213</v>
      </c>
      <c r="Y49" t="s">
        <v>615</v>
      </c>
    </row>
    <row r="50" spans="1:25" x14ac:dyDescent="0.25">
      <c r="A50" t="s">
        <v>88</v>
      </c>
      <c r="B50" t="s">
        <v>41</v>
      </c>
      <c r="C50" t="e">
        <f>VLOOKUP(A50,'Rune Listing'!$C:$C,1,FALSE)</f>
        <v>#N/A</v>
      </c>
      <c r="D50" t="s">
        <v>90</v>
      </c>
      <c r="J50" t="s">
        <v>112</v>
      </c>
      <c r="Y50" t="s">
        <v>616</v>
      </c>
    </row>
    <row r="51" spans="1:25" x14ac:dyDescent="0.25">
      <c r="A51" t="s">
        <v>89</v>
      </c>
      <c r="C51" t="e">
        <f>VLOOKUP(A51,'Rune Listing'!$C:$C,1,FALSE)</f>
        <v>#N/A</v>
      </c>
      <c r="J51" t="s">
        <v>113</v>
      </c>
      <c r="Y51" t="s">
        <v>617</v>
      </c>
    </row>
    <row r="52" spans="1:25" hidden="1" x14ac:dyDescent="0.25">
      <c r="A52" t="s">
        <v>91</v>
      </c>
      <c r="C52" t="str">
        <f>VLOOKUP(A52,'Rune Listing'!$C:$C,1,FALSE)</f>
        <v>Tough Claws</v>
      </c>
      <c r="J52" t="s">
        <v>117</v>
      </c>
      <c r="Y52" t="s">
        <v>618</v>
      </c>
    </row>
    <row r="53" spans="1:25" x14ac:dyDescent="0.25">
      <c r="A53" t="s">
        <v>92</v>
      </c>
      <c r="C53" t="e">
        <f>VLOOKUP(A53,'Rune Listing'!$C:$C,1,FALSE)</f>
        <v>#N/A</v>
      </c>
      <c r="J53" t="s">
        <v>174</v>
      </c>
      <c r="Y53" t="s">
        <v>619</v>
      </c>
    </row>
    <row r="54" spans="1:25" x14ac:dyDescent="0.25">
      <c r="A54" t="s">
        <v>93</v>
      </c>
      <c r="C54" t="e">
        <f>VLOOKUP(A54,'Rune Listing'!$C:$C,1,FALSE)</f>
        <v>#N/A</v>
      </c>
      <c r="J54" t="s">
        <v>188</v>
      </c>
      <c r="Y54" t="s">
        <v>620</v>
      </c>
    </row>
    <row r="55" spans="1:25" hidden="1" x14ac:dyDescent="0.25">
      <c r="A55" t="s">
        <v>94</v>
      </c>
      <c r="C55" t="e">
        <f>VLOOKUP(A55,'Rune Listing'!$C:$C,1,FALSE)</f>
        <v>#N/A</v>
      </c>
      <c r="J55" t="s">
        <v>197</v>
      </c>
      <c r="Y55" t="s">
        <v>621</v>
      </c>
    </row>
    <row r="56" spans="1:25" hidden="1" x14ac:dyDescent="0.25">
      <c r="A56" t="s">
        <v>95</v>
      </c>
      <c r="C56" t="str">
        <f>VLOOKUP(A56,'Rune Listing'!$C:$C,1,FALSE)</f>
        <v>Unnerve</v>
      </c>
      <c r="J56" t="s">
        <v>236</v>
      </c>
      <c r="Y56" t="s">
        <v>622</v>
      </c>
    </row>
    <row r="57" spans="1:25" hidden="1" x14ac:dyDescent="0.25">
      <c r="A57" t="s">
        <v>96</v>
      </c>
      <c r="C57" t="str">
        <f>VLOOKUP(A57,'Rune Listing'!$C:$C,1,FALSE)</f>
        <v>Healer</v>
      </c>
      <c r="Y57" t="s">
        <v>623</v>
      </c>
    </row>
    <row r="58" spans="1:25" hidden="1" x14ac:dyDescent="0.25">
      <c r="A58" t="s">
        <v>97</v>
      </c>
      <c r="C58" t="e">
        <f>VLOOKUP(A58,'Rune Listing'!$C:$C,1,FALSE)</f>
        <v>#N/A</v>
      </c>
      <c r="Y58" t="s">
        <v>624</v>
      </c>
    </row>
    <row r="59" spans="1:25" x14ac:dyDescent="0.25">
      <c r="A59" t="s">
        <v>98</v>
      </c>
      <c r="C59" t="e">
        <f>VLOOKUP(A59,'Rune Listing'!$C:$C,1,FALSE)</f>
        <v>#N/A</v>
      </c>
      <c r="D59" t="s">
        <v>99</v>
      </c>
      <c r="Y59" t="s">
        <v>625</v>
      </c>
    </row>
    <row r="60" spans="1:25" x14ac:dyDescent="0.25">
      <c r="A60" t="s">
        <v>100</v>
      </c>
      <c r="B60" t="s">
        <v>125</v>
      </c>
      <c r="C60" t="e">
        <f>VLOOKUP(A60,'Rune Listing'!$C:$C,1,FALSE)</f>
        <v>#N/A</v>
      </c>
      <c r="D60" t="s">
        <v>61</v>
      </c>
      <c r="Y60" t="s">
        <v>626</v>
      </c>
    </row>
    <row r="61" spans="1:25" hidden="1" x14ac:dyDescent="0.25">
      <c r="A61" t="s">
        <v>101</v>
      </c>
      <c r="C61" t="str">
        <f>VLOOKUP(A61,'Rune Listing'!$C:$C,1,FALSE)</f>
        <v>Analytic</v>
      </c>
      <c r="Y61" t="s">
        <v>627</v>
      </c>
    </row>
    <row r="62" spans="1:25" hidden="1" x14ac:dyDescent="0.25">
      <c r="A62" t="s">
        <v>102</v>
      </c>
      <c r="C62" t="str">
        <f>VLOOKUP(A62,'Rune Listing'!$C:$C,1,FALSE)</f>
        <v>Infiltrator</v>
      </c>
      <c r="Y62" t="s">
        <v>628</v>
      </c>
    </row>
    <row r="63" spans="1:25" x14ac:dyDescent="0.25">
      <c r="A63" t="s">
        <v>103</v>
      </c>
      <c r="C63" t="e">
        <f>VLOOKUP(A63,'Rune Listing'!$C:$C,1,FALSE)</f>
        <v>#N/A</v>
      </c>
      <c r="Y63" t="s">
        <v>629</v>
      </c>
    </row>
    <row r="64" spans="1:25" hidden="1" x14ac:dyDescent="0.25">
      <c r="A64" t="s">
        <v>104</v>
      </c>
      <c r="C64" t="str">
        <f>VLOOKUP(A64,'Rune Listing'!$C:$C,1,FALSE)</f>
        <v>Clay Form</v>
      </c>
      <c r="Y64" t="s">
        <v>630</v>
      </c>
    </row>
    <row r="65" spans="1:25" x14ac:dyDescent="0.25">
      <c r="A65" t="s">
        <v>105</v>
      </c>
      <c r="C65" t="e">
        <f>VLOOKUP(A65,'Rune Listing'!$C:$C,1,FALSE)</f>
        <v>#N/A</v>
      </c>
      <c r="D65" t="s">
        <v>84</v>
      </c>
      <c r="Y65" t="s">
        <v>631</v>
      </c>
    </row>
    <row r="66" spans="1:25" x14ac:dyDescent="0.25">
      <c r="A66" t="s">
        <v>106</v>
      </c>
      <c r="C66" t="e">
        <f>VLOOKUP(A66,'Rune Listing'!$C:$C,1,FALSE)</f>
        <v>#N/A</v>
      </c>
      <c r="D66" t="s">
        <v>84</v>
      </c>
      <c r="Y66" t="s">
        <v>632</v>
      </c>
    </row>
    <row r="67" spans="1:25" hidden="1" x14ac:dyDescent="0.25">
      <c r="A67" t="s">
        <v>107</v>
      </c>
      <c r="C67" t="str">
        <f>VLOOKUP(A67,'Rune Listing'!$C:$C,1,FALSE)</f>
        <v>Impenetrable</v>
      </c>
      <c r="Y67" t="s">
        <v>633</v>
      </c>
    </row>
    <row r="68" spans="1:25" x14ac:dyDescent="0.25">
      <c r="A68" t="s">
        <v>108</v>
      </c>
      <c r="C68" t="e">
        <f>VLOOKUP(A68,'Rune Listing'!$C:$C,1,FALSE)</f>
        <v>#N/A</v>
      </c>
      <c r="Y68" t="s">
        <v>634</v>
      </c>
    </row>
    <row r="69" spans="1:25" x14ac:dyDescent="0.25">
      <c r="A69" t="s">
        <v>120</v>
      </c>
      <c r="C69" t="e">
        <f>VLOOKUP(A69,'Rune Listing'!$C:$C,1,FALSE)</f>
        <v>#N/A</v>
      </c>
      <c r="D69" t="s">
        <v>84</v>
      </c>
      <c r="Y69" t="s">
        <v>635</v>
      </c>
    </row>
    <row r="70" spans="1:25" x14ac:dyDescent="0.25">
      <c r="A70" t="s">
        <v>121</v>
      </c>
      <c r="C70" t="e">
        <f>VLOOKUP(A70,'Rune Listing'!$C:$C,1,FALSE)</f>
        <v>#N/A</v>
      </c>
      <c r="Y70" t="s">
        <v>636</v>
      </c>
    </row>
    <row r="71" spans="1:25" x14ac:dyDescent="0.25">
      <c r="A71" t="s">
        <v>122</v>
      </c>
      <c r="C71" t="e">
        <f>VLOOKUP(A71,'Rune Listing'!$C:$C,1,FALSE)</f>
        <v>#N/A</v>
      </c>
      <c r="Y71" t="s">
        <v>637</v>
      </c>
    </row>
    <row r="72" spans="1:25" x14ac:dyDescent="0.25">
      <c r="A72" t="s">
        <v>123</v>
      </c>
      <c r="C72" t="e">
        <f>VLOOKUP(A72,'Rune Listing'!$C:$C,1,FALSE)</f>
        <v>#N/A</v>
      </c>
      <c r="D72" t="s">
        <v>224</v>
      </c>
      <c r="Y72" t="s">
        <v>638</v>
      </c>
    </row>
    <row r="73" spans="1:25" x14ac:dyDescent="0.25">
      <c r="A73" t="s">
        <v>124</v>
      </c>
      <c r="C73" t="e">
        <f>VLOOKUP(A73,'Rune Listing'!$C:$C,1,FALSE)</f>
        <v>#N/A</v>
      </c>
      <c r="Y73" t="s">
        <v>639</v>
      </c>
    </row>
    <row r="74" spans="1:25" hidden="1" x14ac:dyDescent="0.25">
      <c r="A74" t="s">
        <v>126</v>
      </c>
      <c r="C74" t="str">
        <f>VLOOKUP(A74,'Rune Listing'!$C:$C,1,FALSE)</f>
        <v>Synthesize</v>
      </c>
      <c r="Y74" t="s">
        <v>640</v>
      </c>
    </row>
    <row r="75" spans="1:25" x14ac:dyDescent="0.25">
      <c r="A75" t="s">
        <v>127</v>
      </c>
      <c r="B75" t="s">
        <v>41</v>
      </c>
      <c r="C75" t="e">
        <f>VLOOKUP(A75,'Rune Listing'!$C:$C,1,FALSE)</f>
        <v>#N/A</v>
      </c>
      <c r="D75" t="s">
        <v>61</v>
      </c>
      <c r="Y75" t="s">
        <v>641</v>
      </c>
    </row>
    <row r="76" spans="1:25" x14ac:dyDescent="0.25">
      <c r="A76" t="s">
        <v>128</v>
      </c>
      <c r="C76" t="e">
        <f>VLOOKUP(A76,'Rune Listing'!$C:$C,1,FALSE)</f>
        <v>#N/A</v>
      </c>
      <c r="Y76" t="s">
        <v>642</v>
      </c>
    </row>
    <row r="77" spans="1:25" x14ac:dyDescent="0.25">
      <c r="Y77" t="s">
        <v>643</v>
      </c>
    </row>
    <row r="78" spans="1:25" x14ac:dyDescent="0.25">
      <c r="Y78" t="s">
        <v>644</v>
      </c>
    </row>
    <row r="79" spans="1:25" x14ac:dyDescent="0.25">
      <c r="Y79" t="s">
        <v>645</v>
      </c>
    </row>
    <row r="80" spans="1:25" x14ac:dyDescent="0.25">
      <c r="Y80" t="s">
        <v>646</v>
      </c>
    </row>
    <row r="81" spans="25:25" x14ac:dyDescent="0.25">
      <c r="Y81" t="s">
        <v>647</v>
      </c>
    </row>
    <row r="82" spans="25:25" x14ac:dyDescent="0.25">
      <c r="Y82" t="s">
        <v>648</v>
      </c>
    </row>
    <row r="83" spans="25:25" x14ac:dyDescent="0.25">
      <c r="Y83" t="s">
        <v>649</v>
      </c>
    </row>
    <row r="84" spans="25:25" x14ac:dyDescent="0.25">
      <c r="Y84" t="s">
        <v>650</v>
      </c>
    </row>
    <row r="85" spans="25:25" x14ac:dyDescent="0.25">
      <c r="Y85" t="s">
        <v>651</v>
      </c>
    </row>
    <row r="86" spans="25:25" x14ac:dyDescent="0.25">
      <c r="Y86" t="s">
        <v>652</v>
      </c>
    </row>
    <row r="87" spans="25:25" x14ac:dyDescent="0.25">
      <c r="Y87" t="s">
        <v>653</v>
      </c>
    </row>
    <row r="88" spans="25:25" x14ac:dyDescent="0.25">
      <c r="Y88" t="s">
        <v>654</v>
      </c>
    </row>
    <row r="89" spans="25:25" x14ac:dyDescent="0.25">
      <c r="Y89" t="s">
        <v>655</v>
      </c>
    </row>
    <row r="90" spans="25:25" x14ac:dyDescent="0.25">
      <c r="Y90" t="s">
        <v>656</v>
      </c>
    </row>
    <row r="91" spans="25:25" x14ac:dyDescent="0.25">
      <c r="Y91" t="s">
        <v>657</v>
      </c>
    </row>
    <row r="92" spans="25:25" x14ac:dyDescent="0.25">
      <c r="Y92" t="s">
        <v>236</v>
      </c>
    </row>
    <row r="93" spans="25:25" x14ac:dyDescent="0.25">
      <c r="Y93" t="s">
        <v>658</v>
      </c>
    </row>
    <row r="94" spans="25:25" x14ac:dyDescent="0.25">
      <c r="Y94" t="s">
        <v>659</v>
      </c>
    </row>
    <row r="95" spans="25:25" x14ac:dyDescent="0.25">
      <c r="Y95" t="s">
        <v>660</v>
      </c>
    </row>
    <row r="96" spans="25:25" x14ac:dyDescent="0.25">
      <c r="Y96" t="s">
        <v>661</v>
      </c>
    </row>
    <row r="97" spans="25:25" x14ac:dyDescent="0.25">
      <c r="Y97" t="s">
        <v>662</v>
      </c>
    </row>
    <row r="98" spans="25:25" x14ac:dyDescent="0.25">
      <c r="Y98" t="s">
        <v>663</v>
      </c>
    </row>
    <row r="99" spans="25:25" x14ac:dyDescent="0.25">
      <c r="Y99" t="s">
        <v>664</v>
      </c>
    </row>
    <row r="100" spans="25:25" x14ac:dyDescent="0.25">
      <c r="Y100" t="s">
        <v>666</v>
      </c>
    </row>
    <row r="101" spans="25:25" x14ac:dyDescent="0.25">
      <c r="Y101" t="s">
        <v>665</v>
      </c>
    </row>
    <row r="102" spans="25:25" x14ac:dyDescent="0.25">
      <c r="Y102" t="s">
        <v>667</v>
      </c>
    </row>
    <row r="103" spans="25:25" x14ac:dyDescent="0.25">
      <c r="Y103" t="s">
        <v>668</v>
      </c>
    </row>
    <row r="104" spans="25:25" x14ac:dyDescent="0.25">
      <c r="Y104" t="s">
        <v>669</v>
      </c>
    </row>
    <row r="105" spans="25:25" x14ac:dyDescent="0.25">
      <c r="Y105" t="s">
        <v>670</v>
      </c>
    </row>
    <row r="106" spans="25:25" x14ac:dyDescent="0.25">
      <c r="Y106" t="s">
        <v>671</v>
      </c>
    </row>
    <row r="107" spans="25:25" x14ac:dyDescent="0.25">
      <c r="Y107" t="s">
        <v>672</v>
      </c>
    </row>
    <row r="108" spans="25:25" x14ac:dyDescent="0.25">
      <c r="Y108" t="s">
        <v>673</v>
      </c>
    </row>
    <row r="109" spans="25:25" x14ac:dyDescent="0.25">
      <c r="Y109" t="s">
        <v>674</v>
      </c>
    </row>
    <row r="110" spans="25:25" x14ac:dyDescent="0.25">
      <c r="Y110" t="s">
        <v>675</v>
      </c>
    </row>
    <row r="111" spans="25:25" x14ac:dyDescent="0.25">
      <c r="Y111" t="s">
        <v>676</v>
      </c>
    </row>
    <row r="112" spans="25:25" x14ac:dyDescent="0.25">
      <c r="Y112" t="s">
        <v>677</v>
      </c>
    </row>
    <row r="113" spans="25:25" x14ac:dyDescent="0.25">
      <c r="Y113" t="s">
        <v>678</v>
      </c>
    </row>
    <row r="114" spans="25:25" x14ac:dyDescent="0.25">
      <c r="Y114" t="s">
        <v>679</v>
      </c>
    </row>
    <row r="115" spans="25:25" x14ac:dyDescent="0.25">
      <c r="Y115" t="s">
        <v>680</v>
      </c>
    </row>
    <row r="116" spans="25:25" x14ac:dyDescent="0.25">
      <c r="Y116" t="s">
        <v>681</v>
      </c>
    </row>
    <row r="117" spans="25:25" x14ac:dyDescent="0.25">
      <c r="Y117" t="s">
        <v>682</v>
      </c>
    </row>
    <row r="118" spans="25:25" x14ac:dyDescent="0.25">
      <c r="Y118" t="s">
        <v>683</v>
      </c>
    </row>
    <row r="119" spans="25:25" x14ac:dyDescent="0.25">
      <c r="Y119" t="s">
        <v>684</v>
      </c>
    </row>
    <row r="120" spans="25:25" x14ac:dyDescent="0.25">
      <c r="Y120" t="s">
        <v>685</v>
      </c>
    </row>
    <row r="121" spans="25:25" x14ac:dyDescent="0.25">
      <c r="Y121" t="s">
        <v>686</v>
      </c>
    </row>
    <row r="122" spans="25:25" x14ac:dyDescent="0.25">
      <c r="Y122" t="s">
        <v>687</v>
      </c>
    </row>
    <row r="123" spans="25:25" x14ac:dyDescent="0.25">
      <c r="Y123" t="s">
        <v>688</v>
      </c>
    </row>
    <row r="124" spans="25:25" x14ac:dyDescent="0.25">
      <c r="Y124" t="s">
        <v>689</v>
      </c>
    </row>
    <row r="125" spans="25:25" x14ac:dyDescent="0.25">
      <c r="Y125" t="s">
        <v>690</v>
      </c>
    </row>
    <row r="126" spans="25:25" x14ac:dyDescent="0.25">
      <c r="Y126" t="s">
        <v>691</v>
      </c>
    </row>
    <row r="127" spans="25:25" x14ac:dyDescent="0.25">
      <c r="Y127" t="s">
        <v>692</v>
      </c>
    </row>
    <row r="128" spans="25:25" x14ac:dyDescent="0.25">
      <c r="Y128" t="s">
        <v>693</v>
      </c>
    </row>
    <row r="129" spans="25:25" x14ac:dyDescent="0.25">
      <c r="Y129" t="s">
        <v>694</v>
      </c>
    </row>
    <row r="130" spans="25:25" x14ac:dyDescent="0.25">
      <c r="Y130" t="s">
        <v>695</v>
      </c>
    </row>
    <row r="131" spans="25:25" x14ac:dyDescent="0.25">
      <c r="Y131" t="s">
        <v>696</v>
      </c>
    </row>
    <row r="132" spans="25:25" x14ac:dyDescent="0.25">
      <c r="Y132" t="s">
        <v>697</v>
      </c>
    </row>
    <row r="133" spans="25:25" x14ac:dyDescent="0.25">
      <c r="Y133" t="s">
        <v>698</v>
      </c>
    </row>
    <row r="134" spans="25:25" x14ac:dyDescent="0.25">
      <c r="Y134" t="s">
        <v>699</v>
      </c>
    </row>
    <row r="135" spans="25:25" x14ac:dyDescent="0.25">
      <c r="Y135" t="s">
        <v>700</v>
      </c>
    </row>
    <row r="136" spans="25:25" x14ac:dyDescent="0.25">
      <c r="Y136" t="s">
        <v>701</v>
      </c>
    </row>
    <row r="137" spans="25:25" x14ac:dyDescent="0.25">
      <c r="Y137" t="s">
        <v>702</v>
      </c>
    </row>
    <row r="138" spans="25:25" x14ac:dyDescent="0.25">
      <c r="Y138" t="s">
        <v>703</v>
      </c>
    </row>
    <row r="139" spans="25:25" x14ac:dyDescent="0.25">
      <c r="Y139" t="s">
        <v>704</v>
      </c>
    </row>
    <row r="140" spans="25:25" x14ac:dyDescent="0.25">
      <c r="Y140" t="s">
        <v>705</v>
      </c>
    </row>
    <row r="141" spans="25:25" x14ac:dyDescent="0.25">
      <c r="Y141" t="s">
        <v>706</v>
      </c>
    </row>
    <row r="142" spans="25:25" x14ac:dyDescent="0.25">
      <c r="Y142" t="s">
        <v>707</v>
      </c>
    </row>
    <row r="143" spans="25:25" x14ac:dyDescent="0.25">
      <c r="Y143" t="s">
        <v>708</v>
      </c>
    </row>
    <row r="144" spans="25:25" x14ac:dyDescent="0.25">
      <c r="Y144" t="s">
        <v>709</v>
      </c>
    </row>
    <row r="145" spans="25:25" x14ac:dyDescent="0.25">
      <c r="Y145" t="s">
        <v>710</v>
      </c>
    </row>
    <row r="146" spans="25:25" x14ac:dyDescent="0.25">
      <c r="Y146" t="s">
        <v>711</v>
      </c>
    </row>
    <row r="147" spans="25:25" x14ac:dyDescent="0.25">
      <c r="Y147" t="s">
        <v>712</v>
      </c>
    </row>
    <row r="148" spans="25:25" x14ac:dyDescent="0.25">
      <c r="Y148" t="s">
        <v>713</v>
      </c>
    </row>
    <row r="149" spans="25:25" x14ac:dyDescent="0.25">
      <c r="Y149" t="s">
        <v>714</v>
      </c>
    </row>
    <row r="150" spans="25:25" x14ac:dyDescent="0.25">
      <c r="Y150" t="s">
        <v>715</v>
      </c>
    </row>
    <row r="151" spans="25:25" x14ac:dyDescent="0.25">
      <c r="Y151" t="s">
        <v>716</v>
      </c>
    </row>
    <row r="152" spans="25:25" x14ac:dyDescent="0.25">
      <c r="Y152" t="s">
        <v>717</v>
      </c>
    </row>
    <row r="153" spans="25:25" x14ac:dyDescent="0.25">
      <c r="Y153" t="s">
        <v>718</v>
      </c>
    </row>
    <row r="154" spans="25:25" x14ac:dyDescent="0.25">
      <c r="Y154" t="s">
        <v>719</v>
      </c>
    </row>
    <row r="155" spans="25:25" x14ac:dyDescent="0.25">
      <c r="Y155" t="s">
        <v>720</v>
      </c>
    </row>
    <row r="156" spans="25:25" x14ac:dyDescent="0.25">
      <c r="Y156" t="s">
        <v>721</v>
      </c>
    </row>
    <row r="157" spans="25:25" x14ac:dyDescent="0.25">
      <c r="Y157" t="s">
        <v>722</v>
      </c>
    </row>
    <row r="158" spans="25:25" x14ac:dyDescent="0.25">
      <c r="Y158" t="s">
        <v>723</v>
      </c>
    </row>
    <row r="159" spans="25:25" x14ac:dyDescent="0.25">
      <c r="Y159" t="s">
        <v>724</v>
      </c>
    </row>
    <row r="160" spans="25:25" x14ac:dyDescent="0.25">
      <c r="Y160" t="s">
        <v>725</v>
      </c>
    </row>
    <row r="161" spans="25:26" x14ac:dyDescent="0.25">
      <c r="Y161" t="s">
        <v>726</v>
      </c>
    </row>
    <row r="162" spans="25:26" x14ac:dyDescent="0.25">
      <c r="Y162" t="s">
        <v>727</v>
      </c>
    </row>
    <row r="163" spans="25:26" x14ac:dyDescent="0.25">
      <c r="Y163" t="s">
        <v>728</v>
      </c>
    </row>
    <row r="164" spans="25:26" x14ac:dyDescent="0.25">
      <c r="Y164" t="s">
        <v>729</v>
      </c>
    </row>
    <row r="165" spans="25:26" x14ac:dyDescent="0.25">
      <c r="Y165" t="s">
        <v>730</v>
      </c>
    </row>
    <row r="166" spans="25:26" x14ac:dyDescent="0.25">
      <c r="Y166" t="s">
        <v>731</v>
      </c>
    </row>
    <row r="167" spans="25:26" x14ac:dyDescent="0.25">
      <c r="Y167" t="s">
        <v>732</v>
      </c>
    </row>
    <row r="168" spans="25:26" x14ac:dyDescent="0.25">
      <c r="Y168" t="s">
        <v>733</v>
      </c>
    </row>
    <row r="169" spans="25:26" x14ac:dyDescent="0.25">
      <c r="Y169" t="s">
        <v>734</v>
      </c>
    </row>
    <row r="170" spans="25:26" x14ac:dyDescent="0.25">
      <c r="Y170" t="s">
        <v>735</v>
      </c>
    </row>
    <row r="171" spans="25:26" x14ac:dyDescent="0.25">
      <c r="Y171" t="s">
        <v>736</v>
      </c>
    </row>
    <row r="172" spans="25:26" x14ac:dyDescent="0.25">
      <c r="Y172" t="s">
        <v>737</v>
      </c>
    </row>
    <row r="173" spans="25:26" x14ac:dyDescent="0.25">
      <c r="Y173" t="s">
        <v>738</v>
      </c>
    </row>
    <row r="174" spans="25:26" x14ac:dyDescent="0.25">
      <c r="Y174" t="s">
        <v>739</v>
      </c>
      <c r="Z174" t="s">
        <v>740</v>
      </c>
    </row>
  </sheetData>
  <autoFilter ref="A1:D76" xr:uid="{6A7F9CDE-E30A-43CB-8E88-FF8B9612ECCF}">
    <filterColumn colId="2">
      <filters>
        <filter val="#N/A"/>
      </filters>
    </filterColumn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C19FD-974D-489B-A13D-B8D419E09547}">
  <sheetPr filterMode="1"/>
  <dimension ref="A1:U331"/>
  <sheetViews>
    <sheetView workbookViewId="0">
      <selection activeCell="A125" sqref="A125"/>
    </sheetView>
  </sheetViews>
  <sheetFormatPr defaultRowHeight="15" x14ac:dyDescent="0.25"/>
  <cols>
    <col min="1" max="1" width="29.42578125" customWidth="1"/>
    <col min="6" max="6" width="17.85546875" bestFit="1" customWidth="1"/>
    <col min="17" max="17" width="19.85546875" bestFit="1" customWidth="1"/>
    <col min="18" max="18" width="18.42578125" bestFit="1" customWidth="1"/>
    <col min="19" max="19" width="18" bestFit="1" customWidth="1"/>
    <col min="20" max="20" width="13.42578125" bestFit="1" customWidth="1"/>
    <col min="21" max="21" width="17.85546875" bestFit="1" customWidth="1"/>
  </cols>
  <sheetData>
    <row r="1" spans="1:21" ht="60" x14ac:dyDescent="0.25">
      <c r="A1" s="5" t="s">
        <v>567</v>
      </c>
      <c r="B1" s="3" t="s">
        <v>746</v>
      </c>
      <c r="C1" s="3" t="s">
        <v>129</v>
      </c>
      <c r="D1" s="3" t="s">
        <v>180</v>
      </c>
      <c r="E1" s="3" t="s">
        <v>177</v>
      </c>
      <c r="F1" s="3" t="s">
        <v>176</v>
      </c>
      <c r="Q1" s="3" t="s">
        <v>746</v>
      </c>
      <c r="R1" s="3" t="s">
        <v>129</v>
      </c>
      <c r="S1" s="3" t="s">
        <v>180</v>
      </c>
      <c r="T1" s="3" t="s">
        <v>177</v>
      </c>
      <c r="U1" s="3" t="s">
        <v>176</v>
      </c>
    </row>
    <row r="2" spans="1:21" hidden="1" x14ac:dyDescent="0.25">
      <c r="A2" t="s">
        <v>237</v>
      </c>
      <c r="B2" t="str">
        <f>IFERROR(IF(VLOOKUP($A2,Q$2:Q$175,1,FALSE)=$A2,"S",""),"")</f>
        <v>S</v>
      </c>
      <c r="C2" t="str">
        <f>IFERROR(IF(VLOOKUP($A2,R$2:R$175,1,FALSE)=$A2,"D",""),"")</f>
        <v/>
      </c>
      <c r="D2" t="str">
        <f>IFERROR(IF(VLOOKUP($A2,S$2:S$175,1,FALSE)=$A2,"A",""),"")</f>
        <v/>
      </c>
      <c r="E2" t="str">
        <f>IFERROR(IF(VLOOKUP($A2,T$2:T$175,1,FALSE)=$A2,"B",""),"")</f>
        <v/>
      </c>
      <c r="F2" t="str">
        <f>IFERROR(IF(VLOOKUP($A2,U$2:U$175,1,FALSE)=$A2,"C",""),"")</f>
        <v/>
      </c>
      <c r="G2">
        <f>COUNTBLANK(B2:F2)</f>
        <v>4</v>
      </c>
      <c r="Q2" t="s">
        <v>249</v>
      </c>
      <c r="R2" t="s">
        <v>372</v>
      </c>
      <c r="S2" t="s">
        <v>435</v>
      </c>
      <c r="T2" t="s">
        <v>320</v>
      </c>
      <c r="U2" t="s">
        <v>310</v>
      </c>
    </row>
    <row r="3" spans="1:21" hidden="1" x14ac:dyDescent="0.25">
      <c r="A3" t="s">
        <v>238</v>
      </c>
      <c r="B3" t="str">
        <f t="shared" ref="B3:B66" si="0">IFERROR(IF(VLOOKUP($A3,Q$2:Q$175,1,FALSE)=$A3,"S",""),"")</f>
        <v>S</v>
      </c>
      <c r="C3" t="str">
        <f t="shared" ref="C3:C66" si="1">IFERROR(IF(VLOOKUP($A3,R$2:R$175,1,FALSE)=$A3,"D",""),"")</f>
        <v/>
      </c>
      <c r="D3" t="str">
        <f t="shared" ref="D3:D66" si="2">IFERROR(IF(VLOOKUP($A3,S$2:S$175,1,FALSE)=$A3,"A",""),"")</f>
        <v/>
      </c>
      <c r="E3" t="str">
        <f t="shared" ref="E3:E66" si="3">IFERROR(IF(VLOOKUP($A3,T$2:T$175,1,FALSE)=$A3,"B",""),"")</f>
        <v/>
      </c>
      <c r="F3" t="str">
        <f t="shared" ref="F3:F66" si="4">IFERROR(IF(VLOOKUP($A3,U$2:U$175,1,FALSE)=$A3,"C",""),"")</f>
        <v/>
      </c>
      <c r="G3">
        <f t="shared" ref="G3:G66" si="5">COUNTBLANK(B3:F3)</f>
        <v>4</v>
      </c>
      <c r="Q3" t="s">
        <v>514</v>
      </c>
      <c r="R3" t="s">
        <v>259</v>
      </c>
      <c r="S3" t="s">
        <v>270</v>
      </c>
      <c r="T3" t="s">
        <v>360</v>
      </c>
      <c r="U3" t="s">
        <v>515</v>
      </c>
    </row>
    <row r="4" spans="1:21" hidden="1" x14ac:dyDescent="0.25">
      <c r="A4" t="s">
        <v>239</v>
      </c>
      <c r="B4" t="str">
        <f t="shared" si="0"/>
        <v/>
      </c>
      <c r="C4" t="str">
        <f t="shared" si="1"/>
        <v/>
      </c>
      <c r="D4" t="str">
        <f t="shared" si="2"/>
        <v/>
      </c>
      <c r="E4" t="str">
        <f t="shared" si="3"/>
        <v/>
      </c>
      <c r="F4" t="str">
        <f t="shared" si="4"/>
        <v>C</v>
      </c>
      <c r="G4">
        <f t="shared" si="5"/>
        <v>4</v>
      </c>
      <c r="Q4" t="s">
        <v>288</v>
      </c>
      <c r="R4" t="s">
        <v>393</v>
      </c>
      <c r="S4" t="s">
        <v>391</v>
      </c>
      <c r="T4" t="s">
        <v>397</v>
      </c>
      <c r="U4" t="s">
        <v>337</v>
      </c>
    </row>
    <row r="5" spans="1:21" hidden="1" x14ac:dyDescent="0.25">
      <c r="A5" t="s">
        <v>240</v>
      </c>
      <c r="B5" t="str">
        <f t="shared" si="0"/>
        <v/>
      </c>
      <c r="C5" t="str">
        <f t="shared" si="1"/>
        <v/>
      </c>
      <c r="D5" t="str">
        <f t="shared" si="2"/>
        <v>A</v>
      </c>
      <c r="E5" t="str">
        <f t="shared" si="3"/>
        <v/>
      </c>
      <c r="F5" t="str">
        <f t="shared" si="4"/>
        <v/>
      </c>
      <c r="G5">
        <f t="shared" si="5"/>
        <v>4</v>
      </c>
      <c r="Q5" t="s">
        <v>262</v>
      </c>
      <c r="R5" t="s">
        <v>518</v>
      </c>
      <c r="S5" t="s">
        <v>290</v>
      </c>
      <c r="T5" t="s">
        <v>303</v>
      </c>
      <c r="U5" t="s">
        <v>239</v>
      </c>
    </row>
    <row r="6" spans="1:21" hidden="1" x14ac:dyDescent="0.25">
      <c r="A6" t="s">
        <v>241</v>
      </c>
      <c r="B6" t="str">
        <f t="shared" si="0"/>
        <v/>
      </c>
      <c r="C6" t="str">
        <f t="shared" si="1"/>
        <v/>
      </c>
      <c r="D6" t="str">
        <f t="shared" si="2"/>
        <v/>
      </c>
      <c r="E6" t="str">
        <f t="shared" si="3"/>
        <v/>
      </c>
      <c r="F6" t="str">
        <f t="shared" si="4"/>
        <v>C</v>
      </c>
      <c r="G6">
        <f t="shared" si="5"/>
        <v>4</v>
      </c>
      <c r="Q6" t="s">
        <v>339</v>
      </c>
      <c r="R6" t="s">
        <v>313</v>
      </c>
      <c r="S6" t="s">
        <v>414</v>
      </c>
      <c r="T6" t="s">
        <v>274</v>
      </c>
      <c r="U6" t="s">
        <v>250</v>
      </c>
    </row>
    <row r="7" spans="1:21" hidden="1" x14ac:dyDescent="0.25">
      <c r="A7" t="s">
        <v>242</v>
      </c>
      <c r="B7" t="str">
        <f t="shared" si="0"/>
        <v/>
      </c>
      <c r="C7" t="str">
        <f t="shared" si="1"/>
        <v/>
      </c>
      <c r="D7" t="str">
        <f t="shared" si="2"/>
        <v/>
      </c>
      <c r="E7" t="str">
        <f t="shared" si="3"/>
        <v/>
      </c>
      <c r="F7" t="str">
        <f t="shared" si="4"/>
        <v>C</v>
      </c>
      <c r="G7">
        <f t="shared" si="5"/>
        <v>4</v>
      </c>
      <c r="Q7" t="s">
        <v>432</v>
      </c>
      <c r="R7" t="s">
        <v>263</v>
      </c>
      <c r="S7" t="s">
        <v>291</v>
      </c>
      <c r="T7" t="s">
        <v>275</v>
      </c>
      <c r="U7" t="s">
        <v>271</v>
      </c>
    </row>
    <row r="8" spans="1:21" hidden="1" x14ac:dyDescent="0.25">
      <c r="A8" t="s">
        <v>243</v>
      </c>
      <c r="B8" t="str">
        <f t="shared" si="0"/>
        <v/>
      </c>
      <c r="C8" t="str">
        <f t="shared" si="1"/>
        <v/>
      </c>
      <c r="D8" t="str">
        <f t="shared" si="2"/>
        <v/>
      </c>
      <c r="E8" t="str">
        <f t="shared" si="3"/>
        <v/>
      </c>
      <c r="F8" t="str">
        <f t="shared" si="4"/>
        <v>C</v>
      </c>
      <c r="G8">
        <f t="shared" si="5"/>
        <v>4</v>
      </c>
      <c r="Q8" t="s">
        <v>495</v>
      </c>
      <c r="R8" t="s">
        <v>466</v>
      </c>
      <c r="S8" t="s">
        <v>279</v>
      </c>
      <c r="T8" t="s">
        <v>446</v>
      </c>
      <c r="U8" t="s">
        <v>318</v>
      </c>
    </row>
    <row r="9" spans="1:21" hidden="1" x14ac:dyDescent="0.25">
      <c r="A9" t="s">
        <v>244</v>
      </c>
      <c r="B9" t="str">
        <f t="shared" si="0"/>
        <v/>
      </c>
      <c r="C9" t="str">
        <f t="shared" si="1"/>
        <v/>
      </c>
      <c r="D9" t="str">
        <f t="shared" si="2"/>
        <v/>
      </c>
      <c r="E9" t="str">
        <f t="shared" si="3"/>
        <v/>
      </c>
      <c r="F9" t="str">
        <f t="shared" si="4"/>
        <v>C</v>
      </c>
      <c r="G9">
        <f t="shared" si="5"/>
        <v>4</v>
      </c>
      <c r="Q9" t="s">
        <v>293</v>
      </c>
      <c r="R9" t="s">
        <v>396</v>
      </c>
      <c r="S9" t="s">
        <v>346</v>
      </c>
      <c r="T9" t="s">
        <v>420</v>
      </c>
      <c r="U9" t="s">
        <v>454</v>
      </c>
    </row>
    <row r="10" spans="1:21" hidden="1" x14ac:dyDescent="0.25">
      <c r="A10" t="s">
        <v>245</v>
      </c>
      <c r="B10" t="str">
        <f t="shared" si="0"/>
        <v/>
      </c>
      <c r="C10" t="str">
        <f t="shared" si="1"/>
        <v/>
      </c>
      <c r="D10" t="str">
        <f t="shared" si="2"/>
        <v>A</v>
      </c>
      <c r="E10" t="str">
        <f t="shared" si="3"/>
        <v/>
      </c>
      <c r="F10" t="str">
        <f t="shared" si="4"/>
        <v/>
      </c>
      <c r="G10">
        <f t="shared" si="5"/>
        <v>4</v>
      </c>
      <c r="Q10" t="s">
        <v>562</v>
      </c>
      <c r="R10" t="s">
        <v>521</v>
      </c>
      <c r="S10" t="s">
        <v>282</v>
      </c>
      <c r="T10" t="s">
        <v>335</v>
      </c>
      <c r="U10" t="s">
        <v>413</v>
      </c>
    </row>
    <row r="11" spans="1:21" hidden="1" x14ac:dyDescent="0.25">
      <c r="A11" t="s">
        <v>246</v>
      </c>
      <c r="B11" t="str">
        <f t="shared" si="0"/>
        <v/>
      </c>
      <c r="C11" t="str">
        <f t="shared" si="1"/>
        <v/>
      </c>
      <c r="D11" t="str">
        <f t="shared" si="2"/>
        <v/>
      </c>
      <c r="E11" t="str">
        <f t="shared" si="3"/>
        <v/>
      </c>
      <c r="F11" t="str">
        <f t="shared" si="4"/>
        <v>C</v>
      </c>
      <c r="G11">
        <f t="shared" si="5"/>
        <v>4</v>
      </c>
      <c r="Q11" t="s">
        <v>350</v>
      </c>
      <c r="R11" t="s">
        <v>459</v>
      </c>
      <c r="S11" t="s">
        <v>418</v>
      </c>
      <c r="T11" t="s">
        <v>484</v>
      </c>
      <c r="U11" t="s">
        <v>254</v>
      </c>
    </row>
    <row r="12" spans="1:21" hidden="1" x14ac:dyDescent="0.25">
      <c r="A12" t="s">
        <v>247</v>
      </c>
      <c r="B12" t="str">
        <f t="shared" si="0"/>
        <v>S</v>
      </c>
      <c r="C12" t="str">
        <f t="shared" si="1"/>
        <v/>
      </c>
      <c r="D12" t="str">
        <f t="shared" si="2"/>
        <v/>
      </c>
      <c r="E12" t="str">
        <f t="shared" si="3"/>
        <v/>
      </c>
      <c r="F12" t="str">
        <f t="shared" si="4"/>
        <v/>
      </c>
      <c r="G12">
        <f t="shared" si="5"/>
        <v>4</v>
      </c>
      <c r="Q12" t="s">
        <v>460</v>
      </c>
      <c r="R12" t="s">
        <v>302</v>
      </c>
      <c r="S12" t="s">
        <v>285</v>
      </c>
      <c r="T12" t="s">
        <v>340</v>
      </c>
      <c r="U12" t="s">
        <v>289</v>
      </c>
    </row>
    <row r="13" spans="1:21" hidden="1" x14ac:dyDescent="0.25">
      <c r="A13" t="s">
        <v>248</v>
      </c>
      <c r="B13" t="str">
        <f t="shared" si="0"/>
        <v>S</v>
      </c>
      <c r="C13" t="str">
        <f t="shared" si="1"/>
        <v/>
      </c>
      <c r="D13" t="str">
        <f t="shared" si="2"/>
        <v/>
      </c>
      <c r="E13" t="str">
        <f t="shared" si="3"/>
        <v/>
      </c>
      <c r="F13" t="str">
        <f t="shared" si="4"/>
        <v/>
      </c>
      <c r="G13">
        <f t="shared" si="5"/>
        <v>4</v>
      </c>
      <c r="Q13" t="s">
        <v>269</v>
      </c>
      <c r="R13" t="s">
        <v>478</v>
      </c>
      <c r="S13" t="s">
        <v>266</v>
      </c>
      <c r="T13" t="s">
        <v>357</v>
      </c>
      <c r="U13" t="s">
        <v>390</v>
      </c>
    </row>
    <row r="14" spans="1:21" hidden="1" x14ac:dyDescent="0.25">
      <c r="A14" t="s">
        <v>249</v>
      </c>
      <c r="B14" t="str">
        <f t="shared" si="0"/>
        <v>S</v>
      </c>
      <c r="C14" t="str">
        <f t="shared" si="1"/>
        <v/>
      </c>
      <c r="D14" t="str">
        <f t="shared" si="2"/>
        <v/>
      </c>
      <c r="E14" t="str">
        <f t="shared" si="3"/>
        <v/>
      </c>
      <c r="F14" t="str">
        <f t="shared" si="4"/>
        <v/>
      </c>
      <c r="G14">
        <f t="shared" si="5"/>
        <v>4</v>
      </c>
      <c r="Q14" t="s">
        <v>516</v>
      </c>
      <c r="R14" t="s">
        <v>525</v>
      </c>
      <c r="S14" t="s">
        <v>240</v>
      </c>
      <c r="U14" t="s">
        <v>436</v>
      </c>
    </row>
    <row r="15" spans="1:21" hidden="1" x14ac:dyDescent="0.25">
      <c r="A15" t="s">
        <v>250</v>
      </c>
      <c r="B15" t="str">
        <f t="shared" si="0"/>
        <v/>
      </c>
      <c r="C15" t="str">
        <f t="shared" si="1"/>
        <v/>
      </c>
      <c r="D15" t="str">
        <f t="shared" si="2"/>
        <v/>
      </c>
      <c r="E15" t="str">
        <f t="shared" si="3"/>
        <v/>
      </c>
      <c r="F15" t="str">
        <f t="shared" si="4"/>
        <v>C</v>
      </c>
      <c r="G15">
        <f t="shared" si="5"/>
        <v>4</v>
      </c>
      <c r="Q15" t="s">
        <v>338</v>
      </c>
      <c r="R15" t="s">
        <v>462</v>
      </c>
      <c r="S15" t="s">
        <v>513</v>
      </c>
      <c r="U15" t="s">
        <v>373</v>
      </c>
    </row>
    <row r="16" spans="1:21" hidden="1" x14ac:dyDescent="0.25">
      <c r="A16" t="s">
        <v>251</v>
      </c>
      <c r="B16" t="str">
        <f t="shared" si="0"/>
        <v/>
      </c>
      <c r="C16" t="str">
        <f t="shared" si="1"/>
        <v/>
      </c>
      <c r="D16" t="str">
        <f t="shared" si="2"/>
        <v/>
      </c>
      <c r="E16" t="str">
        <f t="shared" si="3"/>
        <v/>
      </c>
      <c r="F16" t="str">
        <f t="shared" si="4"/>
        <v>C</v>
      </c>
      <c r="G16">
        <f t="shared" si="5"/>
        <v>4</v>
      </c>
      <c r="Q16" t="s">
        <v>247</v>
      </c>
      <c r="R16" t="s">
        <v>399</v>
      </c>
      <c r="S16" t="s">
        <v>292</v>
      </c>
      <c r="U16" t="s">
        <v>455</v>
      </c>
    </row>
    <row r="17" spans="1:21" hidden="1" x14ac:dyDescent="0.25">
      <c r="A17" t="s">
        <v>252</v>
      </c>
      <c r="B17" t="str">
        <f t="shared" si="0"/>
        <v>S</v>
      </c>
      <c r="C17" t="str">
        <f t="shared" si="1"/>
        <v/>
      </c>
      <c r="D17" t="str">
        <f t="shared" si="2"/>
        <v/>
      </c>
      <c r="E17" t="str">
        <f t="shared" si="3"/>
        <v/>
      </c>
      <c r="F17" t="str">
        <f t="shared" si="4"/>
        <v/>
      </c>
      <c r="G17">
        <f t="shared" si="5"/>
        <v>4</v>
      </c>
      <c r="Q17" t="s">
        <v>311</v>
      </c>
      <c r="R17" t="s">
        <v>253</v>
      </c>
      <c r="S17" t="s">
        <v>464</v>
      </c>
      <c r="U17" t="s">
        <v>392</v>
      </c>
    </row>
    <row r="18" spans="1:21" hidden="1" x14ac:dyDescent="0.25">
      <c r="A18" t="s">
        <v>253</v>
      </c>
      <c r="B18" t="str">
        <f t="shared" si="0"/>
        <v/>
      </c>
      <c r="C18" t="str">
        <f t="shared" si="1"/>
        <v>D</v>
      </c>
      <c r="D18" t="str">
        <f t="shared" si="2"/>
        <v/>
      </c>
      <c r="E18" t="str">
        <f t="shared" si="3"/>
        <v/>
      </c>
      <c r="F18" t="str">
        <f t="shared" si="4"/>
        <v/>
      </c>
      <c r="G18">
        <f t="shared" si="5"/>
        <v>4</v>
      </c>
      <c r="Q18" t="s">
        <v>319</v>
      </c>
      <c r="R18" t="s">
        <v>267</v>
      </c>
      <c r="S18" t="s">
        <v>258</v>
      </c>
      <c r="U18" t="s">
        <v>354</v>
      </c>
    </row>
    <row r="19" spans="1:21" hidden="1" x14ac:dyDescent="0.25">
      <c r="A19" t="s">
        <v>254</v>
      </c>
      <c r="B19" t="str">
        <f t="shared" si="0"/>
        <v/>
      </c>
      <c r="C19" t="str">
        <f t="shared" si="1"/>
        <v/>
      </c>
      <c r="D19" t="str">
        <f t="shared" si="2"/>
        <v/>
      </c>
      <c r="E19" t="str">
        <f t="shared" si="3"/>
        <v/>
      </c>
      <c r="F19" t="str">
        <f t="shared" si="4"/>
        <v>C</v>
      </c>
      <c r="G19">
        <f t="shared" si="5"/>
        <v>4</v>
      </c>
      <c r="Q19" t="s">
        <v>497</v>
      </c>
      <c r="R19" t="s">
        <v>504</v>
      </c>
      <c r="S19" t="s">
        <v>317</v>
      </c>
      <c r="U19" t="s">
        <v>437</v>
      </c>
    </row>
    <row r="20" spans="1:21" hidden="1" x14ac:dyDescent="0.25">
      <c r="A20" t="s">
        <v>255</v>
      </c>
      <c r="B20" t="str">
        <f t="shared" si="0"/>
        <v>S</v>
      </c>
      <c r="C20" t="str">
        <f t="shared" si="1"/>
        <v/>
      </c>
      <c r="D20" t="str">
        <f t="shared" si="2"/>
        <v/>
      </c>
      <c r="E20" t="str">
        <f t="shared" si="3"/>
        <v/>
      </c>
      <c r="F20" t="str">
        <f t="shared" si="4"/>
        <v/>
      </c>
      <c r="G20">
        <f t="shared" si="5"/>
        <v>4</v>
      </c>
      <c r="Q20" t="s">
        <v>566</v>
      </c>
      <c r="R20" t="s">
        <v>534</v>
      </c>
      <c r="S20" t="s">
        <v>276</v>
      </c>
      <c r="U20" t="s">
        <v>244</v>
      </c>
    </row>
    <row r="21" spans="1:21" hidden="1" x14ac:dyDescent="0.25">
      <c r="A21" t="s">
        <v>256</v>
      </c>
      <c r="B21" t="str">
        <f t="shared" si="0"/>
        <v/>
      </c>
      <c r="C21" t="str">
        <f t="shared" si="1"/>
        <v/>
      </c>
      <c r="D21" t="str">
        <f t="shared" si="2"/>
        <v/>
      </c>
      <c r="E21" t="str">
        <f t="shared" si="3"/>
        <v/>
      </c>
      <c r="F21" t="str">
        <f t="shared" si="4"/>
        <v>C</v>
      </c>
      <c r="G21">
        <f t="shared" si="5"/>
        <v>4</v>
      </c>
      <c r="Q21" t="s">
        <v>565</v>
      </c>
      <c r="R21" t="s">
        <v>538</v>
      </c>
      <c r="S21" t="s">
        <v>309</v>
      </c>
      <c r="U21" t="s">
        <v>341</v>
      </c>
    </row>
    <row r="22" spans="1:21" hidden="1" x14ac:dyDescent="0.25">
      <c r="A22" t="s">
        <v>257</v>
      </c>
      <c r="B22" t="str">
        <f t="shared" si="0"/>
        <v/>
      </c>
      <c r="C22" t="str">
        <f t="shared" si="1"/>
        <v/>
      </c>
      <c r="D22" t="str">
        <f t="shared" si="2"/>
        <v/>
      </c>
      <c r="E22" t="str">
        <f t="shared" si="3"/>
        <v/>
      </c>
      <c r="F22" t="str">
        <f t="shared" si="4"/>
        <v>C</v>
      </c>
      <c r="G22">
        <f t="shared" si="5"/>
        <v>4</v>
      </c>
      <c r="Q22" t="s">
        <v>499</v>
      </c>
      <c r="R22" t="s">
        <v>531</v>
      </c>
      <c r="S22" t="s">
        <v>447</v>
      </c>
      <c r="U22" t="s">
        <v>355</v>
      </c>
    </row>
    <row r="23" spans="1:21" hidden="1" x14ac:dyDescent="0.25">
      <c r="A23" t="s">
        <v>258</v>
      </c>
      <c r="B23" t="str">
        <f t="shared" si="0"/>
        <v/>
      </c>
      <c r="C23" t="str">
        <f t="shared" si="1"/>
        <v/>
      </c>
      <c r="D23" t="str">
        <f t="shared" si="2"/>
        <v>A</v>
      </c>
      <c r="E23" t="str">
        <f t="shared" si="3"/>
        <v/>
      </c>
      <c r="F23" t="str">
        <f t="shared" si="4"/>
        <v/>
      </c>
      <c r="G23">
        <f t="shared" si="5"/>
        <v>4</v>
      </c>
      <c r="Q23" t="s">
        <v>434</v>
      </c>
      <c r="R23" t="s">
        <v>532</v>
      </c>
      <c r="S23" t="s">
        <v>422</v>
      </c>
      <c r="U23" t="s">
        <v>242</v>
      </c>
    </row>
    <row r="24" spans="1:21" hidden="1" x14ac:dyDescent="0.25">
      <c r="A24" t="s">
        <v>259</v>
      </c>
      <c r="B24" t="str">
        <f t="shared" si="0"/>
        <v/>
      </c>
      <c r="C24" t="str">
        <f t="shared" si="1"/>
        <v>D</v>
      </c>
      <c r="D24" t="str">
        <f t="shared" si="2"/>
        <v/>
      </c>
      <c r="E24" t="str">
        <f t="shared" si="3"/>
        <v/>
      </c>
      <c r="F24" t="str">
        <f t="shared" si="4"/>
        <v/>
      </c>
      <c r="G24">
        <f t="shared" si="5"/>
        <v>4</v>
      </c>
      <c r="Q24" t="s">
        <v>297</v>
      </c>
      <c r="R24" t="s">
        <v>479</v>
      </c>
      <c r="S24" t="s">
        <v>306</v>
      </c>
      <c r="U24" t="s">
        <v>356</v>
      </c>
    </row>
    <row r="25" spans="1:21" hidden="1" x14ac:dyDescent="0.25">
      <c r="A25" t="s">
        <v>260</v>
      </c>
      <c r="B25" t="str">
        <f t="shared" si="0"/>
        <v>S</v>
      </c>
      <c r="C25" t="str">
        <f t="shared" si="1"/>
        <v/>
      </c>
      <c r="D25" t="str">
        <f t="shared" si="2"/>
        <v/>
      </c>
      <c r="E25" t="str">
        <f t="shared" si="3"/>
        <v/>
      </c>
      <c r="F25" t="str">
        <f t="shared" si="4"/>
        <v/>
      </c>
      <c r="G25">
        <f t="shared" si="5"/>
        <v>4</v>
      </c>
      <c r="Q25" t="s">
        <v>389</v>
      </c>
      <c r="R25" t="s">
        <v>465</v>
      </c>
      <c r="S25" t="s">
        <v>367</v>
      </c>
      <c r="U25" t="s">
        <v>278</v>
      </c>
    </row>
    <row r="26" spans="1:21" hidden="1" x14ac:dyDescent="0.25">
      <c r="A26" t="s">
        <v>261</v>
      </c>
      <c r="B26" t="str">
        <f t="shared" si="0"/>
        <v>S</v>
      </c>
      <c r="C26" t="str">
        <f t="shared" si="1"/>
        <v/>
      </c>
      <c r="D26" t="str">
        <f t="shared" si="2"/>
        <v/>
      </c>
      <c r="E26" t="str">
        <f t="shared" si="3"/>
        <v/>
      </c>
      <c r="F26" t="str">
        <f t="shared" si="4"/>
        <v/>
      </c>
      <c r="G26">
        <f t="shared" si="5"/>
        <v>4</v>
      </c>
      <c r="Q26" t="s">
        <v>498</v>
      </c>
      <c r="R26" t="s">
        <v>539</v>
      </c>
      <c r="S26" t="s">
        <v>469</v>
      </c>
      <c r="U26" t="s">
        <v>438</v>
      </c>
    </row>
    <row r="27" spans="1:21" hidden="1" x14ac:dyDescent="0.25">
      <c r="A27" t="s">
        <v>262</v>
      </c>
      <c r="B27" t="str">
        <f t="shared" si="0"/>
        <v>S</v>
      </c>
      <c r="C27" t="str">
        <f t="shared" si="1"/>
        <v/>
      </c>
      <c r="D27" t="str">
        <f t="shared" si="2"/>
        <v/>
      </c>
      <c r="E27" t="str">
        <f t="shared" si="3"/>
        <v/>
      </c>
      <c r="F27" t="str">
        <f t="shared" si="4"/>
        <v/>
      </c>
      <c r="G27">
        <f t="shared" si="5"/>
        <v>4</v>
      </c>
      <c r="Q27" t="s">
        <v>500</v>
      </c>
      <c r="R27" t="s">
        <v>540</v>
      </c>
      <c r="S27" t="s">
        <v>429</v>
      </c>
      <c r="U27" t="s">
        <v>439</v>
      </c>
    </row>
    <row r="28" spans="1:21" hidden="1" x14ac:dyDescent="0.25">
      <c r="A28" t="s">
        <v>263</v>
      </c>
      <c r="B28" t="str">
        <f t="shared" si="0"/>
        <v/>
      </c>
      <c r="C28" t="str">
        <f t="shared" si="1"/>
        <v>D</v>
      </c>
      <c r="D28" t="str">
        <f t="shared" si="2"/>
        <v/>
      </c>
      <c r="E28" t="str">
        <f t="shared" si="3"/>
        <v/>
      </c>
      <c r="F28" t="str">
        <f t="shared" si="4"/>
        <v/>
      </c>
      <c r="G28">
        <f t="shared" si="5"/>
        <v>4</v>
      </c>
      <c r="Q28" t="s">
        <v>511</v>
      </c>
      <c r="R28" t="s">
        <v>541</v>
      </c>
      <c r="S28" t="s">
        <v>342</v>
      </c>
      <c r="U28" t="s">
        <v>440</v>
      </c>
    </row>
    <row r="29" spans="1:21" hidden="1" x14ac:dyDescent="0.25">
      <c r="A29" t="s">
        <v>264</v>
      </c>
      <c r="B29" t="str">
        <f t="shared" si="0"/>
        <v>S</v>
      </c>
      <c r="C29" t="str">
        <f t="shared" si="1"/>
        <v/>
      </c>
      <c r="D29" t="str">
        <f t="shared" si="2"/>
        <v/>
      </c>
      <c r="E29" t="str">
        <f t="shared" si="3"/>
        <v/>
      </c>
      <c r="F29" t="str">
        <f t="shared" si="4"/>
        <v/>
      </c>
      <c r="G29">
        <f t="shared" si="5"/>
        <v>4</v>
      </c>
      <c r="Q29" t="s">
        <v>453</v>
      </c>
      <c r="R29" t="s">
        <v>544</v>
      </c>
      <c r="S29" t="s">
        <v>277</v>
      </c>
      <c r="U29" t="s">
        <v>300</v>
      </c>
    </row>
    <row r="30" spans="1:21" hidden="1" x14ac:dyDescent="0.25">
      <c r="A30" t="s">
        <v>265</v>
      </c>
      <c r="B30" t="str">
        <f t="shared" si="0"/>
        <v>S</v>
      </c>
      <c r="C30" t="str">
        <f t="shared" si="1"/>
        <v/>
      </c>
      <c r="D30" t="str">
        <f t="shared" si="2"/>
        <v/>
      </c>
      <c r="E30" t="str">
        <f t="shared" si="3"/>
        <v/>
      </c>
      <c r="F30" t="str">
        <f t="shared" si="4"/>
        <v/>
      </c>
      <c r="G30">
        <f t="shared" si="5"/>
        <v>4</v>
      </c>
      <c r="Q30" t="s">
        <v>433</v>
      </c>
      <c r="R30" t="s">
        <v>548</v>
      </c>
      <c r="S30" t="s">
        <v>370</v>
      </c>
      <c r="U30" t="s">
        <v>441</v>
      </c>
    </row>
    <row r="31" spans="1:21" hidden="1" x14ac:dyDescent="0.25">
      <c r="A31" t="s">
        <v>266</v>
      </c>
      <c r="B31" t="str">
        <f t="shared" si="0"/>
        <v/>
      </c>
      <c r="C31" t="str">
        <f t="shared" si="1"/>
        <v/>
      </c>
      <c r="D31" t="str">
        <f t="shared" si="2"/>
        <v>A</v>
      </c>
      <c r="E31" t="str">
        <f t="shared" si="3"/>
        <v/>
      </c>
      <c r="F31" t="str">
        <f t="shared" si="4"/>
        <v/>
      </c>
      <c r="G31">
        <f t="shared" si="5"/>
        <v>4</v>
      </c>
      <c r="Q31" t="s">
        <v>238</v>
      </c>
      <c r="R31" t="s">
        <v>550</v>
      </c>
      <c r="S31" t="s">
        <v>316</v>
      </c>
      <c r="U31" t="s">
        <v>394</v>
      </c>
    </row>
    <row r="32" spans="1:21" hidden="1" x14ac:dyDescent="0.25">
      <c r="A32" t="s">
        <v>267</v>
      </c>
      <c r="B32" t="str">
        <f t="shared" si="0"/>
        <v/>
      </c>
      <c r="C32" t="str">
        <f t="shared" si="1"/>
        <v>D</v>
      </c>
      <c r="D32" t="str">
        <f t="shared" si="2"/>
        <v/>
      </c>
      <c r="E32" t="str">
        <f t="shared" si="3"/>
        <v/>
      </c>
      <c r="F32" t="str">
        <f t="shared" si="4"/>
        <v/>
      </c>
      <c r="G32">
        <f t="shared" si="5"/>
        <v>4</v>
      </c>
      <c r="Q32" t="s">
        <v>474</v>
      </c>
      <c r="R32" t="s">
        <v>295</v>
      </c>
      <c r="S32" t="s">
        <v>245</v>
      </c>
      <c r="U32" t="s">
        <v>395</v>
      </c>
    </row>
    <row r="33" spans="1:21" hidden="1" x14ac:dyDescent="0.25">
      <c r="A33" t="s">
        <v>268</v>
      </c>
      <c r="B33" t="str">
        <f t="shared" si="0"/>
        <v>S</v>
      </c>
      <c r="C33" t="str">
        <f t="shared" si="1"/>
        <v/>
      </c>
      <c r="D33" t="str">
        <f t="shared" si="2"/>
        <v/>
      </c>
      <c r="E33" t="str">
        <f t="shared" si="3"/>
        <v/>
      </c>
      <c r="F33" t="str">
        <f t="shared" si="4"/>
        <v/>
      </c>
      <c r="G33">
        <f t="shared" si="5"/>
        <v>4</v>
      </c>
      <c r="Q33" t="s">
        <v>494</v>
      </c>
      <c r="R33" t="s">
        <v>287</v>
      </c>
      <c r="S33" t="s">
        <v>426</v>
      </c>
      <c r="U33" t="s">
        <v>477</v>
      </c>
    </row>
    <row r="34" spans="1:21" hidden="1" x14ac:dyDescent="0.25">
      <c r="A34" t="s">
        <v>269</v>
      </c>
      <c r="B34" t="str">
        <f t="shared" si="0"/>
        <v>S</v>
      </c>
      <c r="C34" t="str">
        <f t="shared" si="1"/>
        <v/>
      </c>
      <c r="D34" t="str">
        <f t="shared" si="2"/>
        <v/>
      </c>
      <c r="E34" t="str">
        <f t="shared" si="3"/>
        <v/>
      </c>
      <c r="F34" t="str">
        <f t="shared" si="4"/>
        <v/>
      </c>
      <c r="G34">
        <f t="shared" si="5"/>
        <v>4</v>
      </c>
      <c r="Q34" t="s">
        <v>493</v>
      </c>
      <c r="S34" t="s">
        <v>476</v>
      </c>
      <c r="U34" t="s">
        <v>519</v>
      </c>
    </row>
    <row r="35" spans="1:21" hidden="1" x14ac:dyDescent="0.25">
      <c r="A35" t="s">
        <v>270</v>
      </c>
      <c r="B35" t="str">
        <f t="shared" si="0"/>
        <v/>
      </c>
      <c r="C35" t="str">
        <f t="shared" si="1"/>
        <v/>
      </c>
      <c r="D35" t="str">
        <f t="shared" si="2"/>
        <v>A</v>
      </c>
      <c r="E35" t="str">
        <f t="shared" si="3"/>
        <v/>
      </c>
      <c r="F35" t="str">
        <f t="shared" si="4"/>
        <v/>
      </c>
      <c r="G35">
        <f t="shared" si="5"/>
        <v>4</v>
      </c>
      <c r="Q35" t="s">
        <v>563</v>
      </c>
      <c r="S35" t="s">
        <v>344</v>
      </c>
      <c r="U35" t="s">
        <v>281</v>
      </c>
    </row>
    <row r="36" spans="1:21" hidden="1" x14ac:dyDescent="0.25">
      <c r="A36" t="s">
        <v>271</v>
      </c>
      <c r="B36" t="str">
        <f t="shared" si="0"/>
        <v/>
      </c>
      <c r="C36" t="str">
        <f t="shared" si="1"/>
        <v/>
      </c>
      <c r="D36" t="str">
        <f t="shared" si="2"/>
        <v/>
      </c>
      <c r="E36" t="str">
        <f t="shared" si="3"/>
        <v/>
      </c>
      <c r="F36" t="str">
        <f t="shared" si="4"/>
        <v>C</v>
      </c>
      <c r="G36">
        <f t="shared" si="5"/>
        <v>4</v>
      </c>
      <c r="Q36" t="s">
        <v>501</v>
      </c>
      <c r="S36" t="s">
        <v>528</v>
      </c>
      <c r="U36" t="s">
        <v>272</v>
      </c>
    </row>
    <row r="37" spans="1:21" hidden="1" x14ac:dyDescent="0.25">
      <c r="A37" t="s">
        <v>272</v>
      </c>
      <c r="B37" t="str">
        <f t="shared" si="0"/>
        <v/>
      </c>
      <c r="C37" t="str">
        <f t="shared" si="1"/>
        <v/>
      </c>
      <c r="D37" t="str">
        <f t="shared" si="2"/>
        <v/>
      </c>
      <c r="E37" t="str">
        <f t="shared" si="3"/>
        <v/>
      </c>
      <c r="F37" t="str">
        <f t="shared" si="4"/>
        <v>C</v>
      </c>
      <c r="G37">
        <f t="shared" si="5"/>
        <v>4</v>
      </c>
      <c r="Q37" t="s">
        <v>411</v>
      </c>
      <c r="S37" t="s">
        <v>407</v>
      </c>
      <c r="U37" t="s">
        <v>359</v>
      </c>
    </row>
    <row r="38" spans="1:21" hidden="1" x14ac:dyDescent="0.25">
      <c r="A38" t="s">
        <v>273</v>
      </c>
      <c r="B38" t="str">
        <f t="shared" si="0"/>
        <v/>
      </c>
      <c r="C38" t="str">
        <f t="shared" si="1"/>
        <v/>
      </c>
      <c r="D38" t="str">
        <f t="shared" si="2"/>
        <v/>
      </c>
      <c r="E38" t="str">
        <f t="shared" si="3"/>
        <v/>
      </c>
      <c r="F38" t="str">
        <f t="shared" si="4"/>
        <v>C</v>
      </c>
      <c r="G38">
        <f t="shared" si="5"/>
        <v>4</v>
      </c>
      <c r="Q38" t="s">
        <v>371</v>
      </c>
      <c r="U38" t="s">
        <v>375</v>
      </c>
    </row>
    <row r="39" spans="1:21" x14ac:dyDescent="0.25">
      <c r="A39" t="s">
        <v>274</v>
      </c>
      <c r="B39" t="str">
        <f t="shared" si="0"/>
        <v/>
      </c>
      <c r="C39" t="str">
        <f t="shared" si="1"/>
        <v/>
      </c>
      <c r="D39" t="str">
        <f t="shared" si="2"/>
        <v/>
      </c>
      <c r="E39" t="str">
        <f t="shared" si="3"/>
        <v>B</v>
      </c>
      <c r="F39" t="str">
        <f t="shared" si="4"/>
        <v/>
      </c>
      <c r="G39">
        <f t="shared" si="5"/>
        <v>4</v>
      </c>
      <c r="Q39" t="s">
        <v>471</v>
      </c>
      <c r="U39" t="s">
        <v>417</v>
      </c>
    </row>
    <row r="40" spans="1:21" x14ac:dyDescent="0.25">
      <c r="A40" t="s">
        <v>275</v>
      </c>
      <c r="B40" t="str">
        <f t="shared" si="0"/>
        <v/>
      </c>
      <c r="C40" t="str">
        <f t="shared" si="1"/>
        <v/>
      </c>
      <c r="D40" t="str">
        <f t="shared" si="2"/>
        <v/>
      </c>
      <c r="E40" t="str">
        <f t="shared" si="3"/>
        <v>B</v>
      </c>
      <c r="F40" t="str">
        <f t="shared" si="4"/>
        <v/>
      </c>
      <c r="G40">
        <f t="shared" si="5"/>
        <v>4</v>
      </c>
      <c r="Q40" t="s">
        <v>492</v>
      </c>
      <c r="U40" t="s">
        <v>325</v>
      </c>
    </row>
    <row r="41" spans="1:21" hidden="1" x14ac:dyDescent="0.25">
      <c r="A41" t="s">
        <v>276</v>
      </c>
      <c r="B41" t="str">
        <f t="shared" si="0"/>
        <v/>
      </c>
      <c r="C41" t="str">
        <f t="shared" si="1"/>
        <v/>
      </c>
      <c r="D41" t="str">
        <f t="shared" si="2"/>
        <v>A</v>
      </c>
      <c r="E41" t="str">
        <f t="shared" si="3"/>
        <v/>
      </c>
      <c r="F41" t="str">
        <f t="shared" si="4"/>
        <v/>
      </c>
      <c r="G41">
        <f t="shared" si="5"/>
        <v>4</v>
      </c>
      <c r="Q41" t="s">
        <v>410</v>
      </c>
      <c r="U41" t="s">
        <v>520</v>
      </c>
    </row>
    <row r="42" spans="1:21" hidden="1" x14ac:dyDescent="0.25">
      <c r="A42" t="s">
        <v>277</v>
      </c>
      <c r="B42" t="str">
        <f t="shared" si="0"/>
        <v/>
      </c>
      <c r="C42" t="str">
        <f t="shared" si="1"/>
        <v/>
      </c>
      <c r="D42" t="str">
        <f t="shared" si="2"/>
        <v>A</v>
      </c>
      <c r="E42" t="str">
        <f t="shared" si="3"/>
        <v/>
      </c>
      <c r="F42" t="str">
        <f t="shared" si="4"/>
        <v/>
      </c>
      <c r="G42">
        <f t="shared" si="5"/>
        <v>4</v>
      </c>
      <c r="Q42" t="s">
        <v>510</v>
      </c>
      <c r="U42" t="s">
        <v>301</v>
      </c>
    </row>
    <row r="43" spans="1:21" hidden="1" x14ac:dyDescent="0.25">
      <c r="A43" t="s">
        <v>278</v>
      </c>
      <c r="B43" t="str">
        <f t="shared" si="0"/>
        <v/>
      </c>
      <c r="C43" t="str">
        <f t="shared" si="1"/>
        <v/>
      </c>
      <c r="D43" t="str">
        <f t="shared" si="2"/>
        <v/>
      </c>
      <c r="E43" t="str">
        <f t="shared" si="3"/>
        <v/>
      </c>
      <c r="F43" t="str">
        <f t="shared" si="4"/>
        <v>C</v>
      </c>
      <c r="G43">
        <f t="shared" si="5"/>
        <v>4</v>
      </c>
      <c r="Q43" t="s">
        <v>491</v>
      </c>
      <c r="U43" t="s">
        <v>273</v>
      </c>
    </row>
    <row r="44" spans="1:21" hidden="1" x14ac:dyDescent="0.25">
      <c r="A44" t="s">
        <v>279</v>
      </c>
      <c r="B44" t="str">
        <f t="shared" si="0"/>
        <v/>
      </c>
      <c r="C44" t="str">
        <f t="shared" si="1"/>
        <v/>
      </c>
      <c r="D44" t="str">
        <f t="shared" si="2"/>
        <v>A</v>
      </c>
      <c r="E44" t="str">
        <f t="shared" si="3"/>
        <v/>
      </c>
      <c r="F44" t="str">
        <f t="shared" si="4"/>
        <v/>
      </c>
      <c r="G44">
        <f t="shared" si="5"/>
        <v>4</v>
      </c>
      <c r="Q44" t="s">
        <v>490</v>
      </c>
      <c r="U44" t="s">
        <v>443</v>
      </c>
    </row>
    <row r="45" spans="1:21" hidden="1" x14ac:dyDescent="0.25">
      <c r="A45" t="s">
        <v>280</v>
      </c>
      <c r="B45" t="str">
        <f t="shared" si="0"/>
        <v>S</v>
      </c>
      <c r="C45" t="str">
        <f t="shared" si="1"/>
        <v/>
      </c>
      <c r="D45" t="str">
        <f t="shared" si="2"/>
        <v/>
      </c>
      <c r="E45" t="str">
        <f t="shared" si="3"/>
        <v/>
      </c>
      <c r="F45" t="str">
        <f t="shared" si="4"/>
        <v/>
      </c>
      <c r="G45">
        <f t="shared" si="5"/>
        <v>4</v>
      </c>
      <c r="Q45" t="s">
        <v>412</v>
      </c>
      <c r="U45" t="s">
        <v>522</v>
      </c>
    </row>
    <row r="46" spans="1:21" hidden="1" x14ac:dyDescent="0.25">
      <c r="A46" t="s">
        <v>281</v>
      </c>
      <c r="B46" t="str">
        <f t="shared" si="0"/>
        <v/>
      </c>
      <c r="C46" t="str">
        <f t="shared" si="1"/>
        <v/>
      </c>
      <c r="D46" t="str">
        <f t="shared" si="2"/>
        <v/>
      </c>
      <c r="E46" t="str">
        <f t="shared" si="3"/>
        <v/>
      </c>
      <c r="F46" t="str">
        <f t="shared" si="4"/>
        <v>C</v>
      </c>
      <c r="G46">
        <f t="shared" si="5"/>
        <v>4</v>
      </c>
      <c r="Q46" t="s">
        <v>387</v>
      </c>
      <c r="U46" t="s">
        <v>523</v>
      </c>
    </row>
    <row r="47" spans="1:21" hidden="1" x14ac:dyDescent="0.25">
      <c r="A47" t="s">
        <v>282</v>
      </c>
      <c r="B47" t="str">
        <f t="shared" si="0"/>
        <v/>
      </c>
      <c r="C47" t="str">
        <f t="shared" si="1"/>
        <v/>
      </c>
      <c r="D47" t="str">
        <f t="shared" si="2"/>
        <v>A</v>
      </c>
      <c r="E47" t="str">
        <f t="shared" si="3"/>
        <v/>
      </c>
      <c r="F47" t="str">
        <f t="shared" si="4"/>
        <v/>
      </c>
      <c r="G47">
        <f t="shared" si="5"/>
        <v>4</v>
      </c>
      <c r="Q47" t="s">
        <v>472</v>
      </c>
      <c r="U47" t="s">
        <v>241</v>
      </c>
    </row>
    <row r="48" spans="1:21" hidden="1" x14ac:dyDescent="0.25">
      <c r="A48" t="s">
        <v>283</v>
      </c>
      <c r="B48" t="str">
        <f t="shared" si="0"/>
        <v>S</v>
      </c>
      <c r="C48" t="str">
        <f t="shared" si="1"/>
        <v/>
      </c>
      <c r="D48" t="str">
        <f t="shared" si="2"/>
        <v/>
      </c>
      <c r="E48" t="str">
        <f t="shared" si="3"/>
        <v/>
      </c>
      <c r="F48" t="str">
        <f t="shared" si="4"/>
        <v/>
      </c>
      <c r="G48">
        <f t="shared" si="5"/>
        <v>4</v>
      </c>
      <c r="Q48" t="s">
        <v>336</v>
      </c>
      <c r="U48" t="s">
        <v>304</v>
      </c>
    </row>
    <row r="49" spans="1:21" hidden="1" x14ac:dyDescent="0.25">
      <c r="A49" t="s">
        <v>284</v>
      </c>
      <c r="B49" t="str">
        <f t="shared" si="0"/>
        <v>S</v>
      </c>
      <c r="C49" t="str">
        <f t="shared" si="1"/>
        <v/>
      </c>
      <c r="D49" t="str">
        <f t="shared" si="2"/>
        <v/>
      </c>
      <c r="E49" t="str">
        <f t="shared" si="3"/>
        <v/>
      </c>
      <c r="F49" t="str">
        <f t="shared" si="4"/>
        <v/>
      </c>
      <c r="G49">
        <f t="shared" si="5"/>
        <v>4</v>
      </c>
      <c r="Q49" t="s">
        <v>296</v>
      </c>
      <c r="U49" t="s">
        <v>461</v>
      </c>
    </row>
    <row r="50" spans="1:21" hidden="1" x14ac:dyDescent="0.25">
      <c r="A50" t="s">
        <v>285</v>
      </c>
      <c r="B50" t="str">
        <f t="shared" si="0"/>
        <v/>
      </c>
      <c r="C50" t="str">
        <f t="shared" si="1"/>
        <v/>
      </c>
      <c r="D50" t="str">
        <f t="shared" si="2"/>
        <v>A</v>
      </c>
      <c r="E50" t="str">
        <f t="shared" si="3"/>
        <v/>
      </c>
      <c r="F50" t="str">
        <f t="shared" si="4"/>
        <v/>
      </c>
      <c r="G50">
        <f t="shared" si="5"/>
        <v>4</v>
      </c>
      <c r="Q50" t="s">
        <v>431</v>
      </c>
      <c r="U50" t="s">
        <v>530</v>
      </c>
    </row>
    <row r="51" spans="1:21" hidden="1" x14ac:dyDescent="0.25">
      <c r="A51" t="s">
        <v>286</v>
      </c>
      <c r="B51" t="str">
        <f t="shared" si="0"/>
        <v>S</v>
      </c>
      <c r="C51" t="str">
        <f t="shared" si="1"/>
        <v/>
      </c>
      <c r="D51" t="str">
        <f t="shared" si="2"/>
        <v/>
      </c>
      <c r="E51" t="str">
        <f t="shared" si="3"/>
        <v/>
      </c>
      <c r="F51" t="str">
        <f t="shared" si="4"/>
        <v/>
      </c>
      <c r="G51">
        <f t="shared" si="5"/>
        <v>4</v>
      </c>
      <c r="Q51" t="s">
        <v>509</v>
      </c>
      <c r="U51" t="s">
        <v>524</v>
      </c>
    </row>
    <row r="52" spans="1:21" hidden="1" x14ac:dyDescent="0.25">
      <c r="A52" t="s">
        <v>287</v>
      </c>
      <c r="B52" t="str">
        <f t="shared" si="0"/>
        <v/>
      </c>
      <c r="C52" t="str">
        <f t="shared" si="1"/>
        <v>D</v>
      </c>
      <c r="D52" t="str">
        <f t="shared" si="2"/>
        <v/>
      </c>
      <c r="E52" t="str">
        <f t="shared" si="3"/>
        <v/>
      </c>
      <c r="F52" t="str">
        <f t="shared" si="4"/>
        <v/>
      </c>
      <c r="G52">
        <f t="shared" si="5"/>
        <v>4</v>
      </c>
      <c r="Q52" t="s">
        <v>237</v>
      </c>
      <c r="U52" t="s">
        <v>294</v>
      </c>
    </row>
    <row r="53" spans="1:21" hidden="1" x14ac:dyDescent="0.25">
      <c r="A53" t="s">
        <v>288</v>
      </c>
      <c r="B53" t="str">
        <f t="shared" si="0"/>
        <v>S</v>
      </c>
      <c r="C53" t="str">
        <f t="shared" si="1"/>
        <v/>
      </c>
      <c r="D53" t="str">
        <f t="shared" si="2"/>
        <v/>
      </c>
      <c r="E53" t="str">
        <f t="shared" si="3"/>
        <v/>
      </c>
      <c r="F53" t="str">
        <f t="shared" si="4"/>
        <v/>
      </c>
      <c r="G53">
        <f t="shared" si="5"/>
        <v>4</v>
      </c>
      <c r="Q53" t="s">
        <v>352</v>
      </c>
      <c r="U53" t="s">
        <v>246</v>
      </c>
    </row>
    <row r="54" spans="1:21" hidden="1" x14ac:dyDescent="0.25">
      <c r="A54" t="s">
        <v>289</v>
      </c>
      <c r="B54" t="str">
        <f t="shared" si="0"/>
        <v/>
      </c>
      <c r="C54" t="str">
        <f t="shared" si="1"/>
        <v/>
      </c>
      <c r="D54" t="str">
        <f t="shared" si="2"/>
        <v/>
      </c>
      <c r="E54" t="str">
        <f t="shared" si="3"/>
        <v/>
      </c>
      <c r="F54" t="str">
        <f t="shared" si="4"/>
        <v>C</v>
      </c>
      <c r="G54">
        <f t="shared" si="5"/>
        <v>4</v>
      </c>
      <c r="Q54" t="s">
        <v>561</v>
      </c>
      <c r="U54" t="s">
        <v>458</v>
      </c>
    </row>
    <row r="55" spans="1:21" hidden="1" x14ac:dyDescent="0.25">
      <c r="A55" t="s">
        <v>290</v>
      </c>
      <c r="B55" t="str">
        <f t="shared" si="0"/>
        <v/>
      </c>
      <c r="C55" t="str">
        <f t="shared" si="1"/>
        <v/>
      </c>
      <c r="D55" t="str">
        <f t="shared" si="2"/>
        <v>A</v>
      </c>
      <c r="E55" t="str">
        <f t="shared" si="3"/>
        <v/>
      </c>
      <c r="F55" t="str">
        <f t="shared" si="4"/>
        <v/>
      </c>
      <c r="G55">
        <f t="shared" si="5"/>
        <v>4</v>
      </c>
      <c r="Q55" t="s">
        <v>351</v>
      </c>
      <c r="U55" t="s">
        <v>251</v>
      </c>
    </row>
    <row r="56" spans="1:21" hidden="1" x14ac:dyDescent="0.25">
      <c r="A56" t="s">
        <v>291</v>
      </c>
      <c r="B56" t="str">
        <f t="shared" si="0"/>
        <v/>
      </c>
      <c r="C56" t="str">
        <f t="shared" si="1"/>
        <v/>
      </c>
      <c r="D56" t="str">
        <f t="shared" si="2"/>
        <v>A</v>
      </c>
      <c r="E56" t="str">
        <f t="shared" si="3"/>
        <v/>
      </c>
      <c r="F56" t="str">
        <f t="shared" si="4"/>
        <v/>
      </c>
      <c r="G56">
        <f t="shared" si="5"/>
        <v>4</v>
      </c>
      <c r="Q56" t="s">
        <v>452</v>
      </c>
      <c r="U56" t="s">
        <v>376</v>
      </c>
    </row>
    <row r="57" spans="1:21" hidden="1" x14ac:dyDescent="0.25">
      <c r="A57" t="s">
        <v>292</v>
      </c>
      <c r="B57" t="str">
        <f t="shared" si="0"/>
        <v/>
      </c>
      <c r="C57" t="str">
        <f t="shared" si="1"/>
        <v/>
      </c>
      <c r="D57" t="str">
        <f t="shared" si="2"/>
        <v>A</v>
      </c>
      <c r="E57" t="str">
        <f t="shared" si="3"/>
        <v/>
      </c>
      <c r="F57" t="str">
        <f t="shared" si="4"/>
        <v/>
      </c>
      <c r="G57">
        <f t="shared" si="5"/>
        <v>4</v>
      </c>
      <c r="Q57" t="s">
        <v>334</v>
      </c>
      <c r="U57" t="s">
        <v>377</v>
      </c>
    </row>
    <row r="58" spans="1:21" hidden="1" x14ac:dyDescent="0.25">
      <c r="A58" t="s">
        <v>293</v>
      </c>
      <c r="B58" t="str">
        <f t="shared" si="0"/>
        <v>S</v>
      </c>
      <c r="C58" t="str">
        <f t="shared" si="1"/>
        <v/>
      </c>
      <c r="D58" t="str">
        <f t="shared" si="2"/>
        <v/>
      </c>
      <c r="E58" t="str">
        <f t="shared" si="3"/>
        <v/>
      </c>
      <c r="F58" t="str">
        <f t="shared" si="4"/>
        <v/>
      </c>
      <c r="G58">
        <f t="shared" si="5"/>
        <v>4</v>
      </c>
      <c r="Q58" t="s">
        <v>487</v>
      </c>
      <c r="U58" t="s">
        <v>347</v>
      </c>
    </row>
    <row r="59" spans="1:21" hidden="1" x14ac:dyDescent="0.25">
      <c r="A59" t="s">
        <v>294</v>
      </c>
      <c r="B59" t="str">
        <f t="shared" si="0"/>
        <v/>
      </c>
      <c r="C59" t="str">
        <f t="shared" si="1"/>
        <v/>
      </c>
      <c r="D59" t="str">
        <f t="shared" si="2"/>
        <v/>
      </c>
      <c r="E59" t="str">
        <f t="shared" si="3"/>
        <v/>
      </c>
      <c r="F59" t="str">
        <f t="shared" si="4"/>
        <v>C</v>
      </c>
      <c r="G59">
        <f t="shared" si="5"/>
        <v>4</v>
      </c>
      <c r="Q59" t="s">
        <v>489</v>
      </c>
      <c r="U59" t="s">
        <v>256</v>
      </c>
    </row>
    <row r="60" spans="1:21" hidden="1" x14ac:dyDescent="0.25">
      <c r="A60" t="s">
        <v>295</v>
      </c>
      <c r="B60" t="str">
        <f t="shared" si="0"/>
        <v/>
      </c>
      <c r="C60" t="str">
        <f t="shared" si="1"/>
        <v>D</v>
      </c>
      <c r="D60" t="str">
        <f t="shared" si="2"/>
        <v/>
      </c>
      <c r="E60" t="str">
        <f t="shared" si="3"/>
        <v/>
      </c>
      <c r="F60" t="str">
        <f t="shared" si="4"/>
        <v/>
      </c>
      <c r="G60">
        <f t="shared" si="5"/>
        <v>4</v>
      </c>
      <c r="Q60" t="s">
        <v>261</v>
      </c>
      <c r="U60" t="s">
        <v>363</v>
      </c>
    </row>
    <row r="61" spans="1:21" hidden="1" x14ac:dyDescent="0.25">
      <c r="A61" t="s">
        <v>296</v>
      </c>
      <c r="B61" t="str">
        <f t="shared" si="0"/>
        <v>S</v>
      </c>
      <c r="C61" t="str">
        <f t="shared" si="1"/>
        <v/>
      </c>
      <c r="D61" t="str">
        <f t="shared" si="2"/>
        <v/>
      </c>
      <c r="E61" t="str">
        <f t="shared" si="3"/>
        <v/>
      </c>
      <c r="F61" t="str">
        <f t="shared" si="4"/>
        <v/>
      </c>
      <c r="G61">
        <f t="shared" si="5"/>
        <v>4</v>
      </c>
      <c r="Q61" t="s">
        <v>415</v>
      </c>
      <c r="U61" t="s">
        <v>257</v>
      </c>
    </row>
    <row r="62" spans="1:21" hidden="1" x14ac:dyDescent="0.25">
      <c r="A62" t="s">
        <v>297</v>
      </c>
      <c r="B62" t="str">
        <f t="shared" si="0"/>
        <v>S</v>
      </c>
      <c r="C62" t="str">
        <f t="shared" si="1"/>
        <v/>
      </c>
      <c r="D62" t="str">
        <f t="shared" si="2"/>
        <v/>
      </c>
      <c r="E62" t="str">
        <f t="shared" si="3"/>
        <v/>
      </c>
      <c r="F62" t="str">
        <f t="shared" si="4"/>
        <v/>
      </c>
      <c r="G62">
        <f t="shared" si="5"/>
        <v>4</v>
      </c>
      <c r="Q62" t="s">
        <v>508</v>
      </c>
      <c r="U62" t="s">
        <v>243</v>
      </c>
    </row>
    <row r="63" spans="1:21" hidden="1" x14ac:dyDescent="0.25">
      <c r="A63" t="s">
        <v>298</v>
      </c>
      <c r="B63" t="str">
        <f t="shared" si="0"/>
        <v>S</v>
      </c>
      <c r="C63" t="str">
        <f t="shared" si="1"/>
        <v/>
      </c>
      <c r="D63" t="str">
        <f t="shared" si="2"/>
        <v/>
      </c>
      <c r="E63" t="str">
        <f t="shared" si="3"/>
        <v/>
      </c>
      <c r="F63" t="str">
        <f t="shared" si="4"/>
        <v/>
      </c>
      <c r="G63">
        <f t="shared" si="5"/>
        <v>4</v>
      </c>
      <c r="Q63" t="s">
        <v>559</v>
      </c>
      <c r="U63" t="s">
        <v>419</v>
      </c>
    </row>
    <row r="64" spans="1:21" hidden="1" x14ac:dyDescent="0.25">
      <c r="A64" t="s">
        <v>299</v>
      </c>
      <c r="B64" t="str">
        <f t="shared" si="0"/>
        <v>S</v>
      </c>
      <c r="C64" t="str">
        <f t="shared" si="1"/>
        <v/>
      </c>
      <c r="D64" t="str">
        <f t="shared" si="2"/>
        <v/>
      </c>
      <c r="E64" t="str">
        <f t="shared" si="3"/>
        <v/>
      </c>
      <c r="F64" t="str">
        <f t="shared" si="4"/>
        <v/>
      </c>
      <c r="G64">
        <f t="shared" si="5"/>
        <v>4</v>
      </c>
      <c r="Q64" t="s">
        <v>560</v>
      </c>
      <c r="U64" t="s">
        <v>388</v>
      </c>
    </row>
    <row r="65" spans="1:21" hidden="1" x14ac:dyDescent="0.25">
      <c r="A65" t="s">
        <v>300</v>
      </c>
      <c r="B65" t="str">
        <f t="shared" si="0"/>
        <v/>
      </c>
      <c r="C65" t="str">
        <f t="shared" si="1"/>
        <v/>
      </c>
      <c r="D65" t="str">
        <f t="shared" si="2"/>
        <v/>
      </c>
      <c r="E65" t="str">
        <f t="shared" si="3"/>
        <v/>
      </c>
      <c r="F65" t="str">
        <f t="shared" si="4"/>
        <v>C</v>
      </c>
      <c r="G65">
        <f t="shared" si="5"/>
        <v>4</v>
      </c>
      <c r="Q65" t="s">
        <v>557</v>
      </c>
      <c r="U65" t="s">
        <v>421</v>
      </c>
    </row>
    <row r="66" spans="1:21" hidden="1" x14ac:dyDescent="0.25">
      <c r="A66" t="s">
        <v>301</v>
      </c>
      <c r="B66" t="str">
        <f t="shared" si="0"/>
        <v/>
      </c>
      <c r="C66" t="str">
        <f t="shared" si="1"/>
        <v/>
      </c>
      <c r="D66" t="str">
        <f t="shared" si="2"/>
        <v/>
      </c>
      <c r="E66" t="str">
        <f t="shared" si="3"/>
        <v/>
      </c>
      <c r="F66" t="str">
        <f t="shared" si="4"/>
        <v>C</v>
      </c>
      <c r="G66">
        <f t="shared" si="5"/>
        <v>4</v>
      </c>
      <c r="Q66" t="s">
        <v>558</v>
      </c>
      <c r="U66" t="s">
        <v>549</v>
      </c>
    </row>
    <row r="67" spans="1:21" hidden="1" x14ac:dyDescent="0.25">
      <c r="A67" t="s">
        <v>302</v>
      </c>
      <c r="B67" t="str">
        <f t="shared" ref="B67:B130" si="6">IFERROR(IF(VLOOKUP($A67,Q$2:Q$175,1,FALSE)=$A67,"S",""),"")</f>
        <v/>
      </c>
      <c r="C67" t="str">
        <f t="shared" ref="C67:C130" si="7">IFERROR(IF(VLOOKUP($A67,R$2:R$175,1,FALSE)=$A67,"D",""),"")</f>
        <v>D</v>
      </c>
      <c r="D67" t="str">
        <f t="shared" ref="D67:D130" si="8">IFERROR(IF(VLOOKUP($A67,S$2:S$175,1,FALSE)=$A67,"A",""),"")</f>
        <v/>
      </c>
      <c r="E67" t="str">
        <f t="shared" ref="E67:E130" si="9">IFERROR(IF(VLOOKUP($A67,T$2:T$175,1,FALSE)=$A67,"B",""),"")</f>
        <v/>
      </c>
      <c r="F67" t="str">
        <f t="shared" ref="F67:F130" si="10">IFERROR(IF(VLOOKUP($A67,U$2:U$175,1,FALSE)=$A67,"C",""),"")</f>
        <v/>
      </c>
      <c r="G67">
        <f t="shared" ref="G67:G130" si="11">COUNTBLANK(B67:F67)</f>
        <v>4</v>
      </c>
      <c r="Q67" t="s">
        <v>386</v>
      </c>
      <c r="U67" t="s">
        <v>488</v>
      </c>
    </row>
    <row r="68" spans="1:21" x14ac:dyDescent="0.25">
      <c r="A68" t="s">
        <v>303</v>
      </c>
      <c r="B68" t="str">
        <f t="shared" si="6"/>
        <v/>
      </c>
      <c r="C68" t="str">
        <f t="shared" si="7"/>
        <v/>
      </c>
      <c r="D68" t="str">
        <f t="shared" si="8"/>
        <v/>
      </c>
      <c r="E68" t="str">
        <f t="shared" si="9"/>
        <v>B</v>
      </c>
      <c r="F68" t="str">
        <f t="shared" si="10"/>
        <v/>
      </c>
      <c r="G68">
        <f t="shared" si="11"/>
        <v>4</v>
      </c>
      <c r="Q68" t="s">
        <v>307</v>
      </c>
      <c r="U68" t="s">
        <v>545</v>
      </c>
    </row>
    <row r="69" spans="1:21" hidden="1" x14ac:dyDescent="0.25">
      <c r="A69" t="s">
        <v>304</v>
      </c>
      <c r="B69" t="str">
        <f t="shared" si="6"/>
        <v/>
      </c>
      <c r="C69" t="str">
        <f t="shared" si="7"/>
        <v/>
      </c>
      <c r="D69" t="str">
        <f t="shared" si="8"/>
        <v/>
      </c>
      <c r="E69" t="str">
        <f t="shared" si="9"/>
        <v/>
      </c>
      <c r="F69" t="str">
        <f t="shared" si="10"/>
        <v>C</v>
      </c>
      <c r="G69">
        <f t="shared" si="11"/>
        <v>4</v>
      </c>
      <c r="Q69" t="s">
        <v>745</v>
      </c>
      <c r="U69" t="s">
        <v>546</v>
      </c>
    </row>
    <row r="70" spans="1:21" hidden="1" x14ac:dyDescent="0.25">
      <c r="A70" t="s">
        <v>305</v>
      </c>
      <c r="B70" t="str">
        <f t="shared" si="6"/>
        <v>S</v>
      </c>
      <c r="C70" t="str">
        <f t="shared" si="7"/>
        <v/>
      </c>
      <c r="D70" t="str">
        <f t="shared" si="8"/>
        <v/>
      </c>
      <c r="E70" t="str">
        <f t="shared" si="9"/>
        <v/>
      </c>
      <c r="F70" t="str">
        <f t="shared" si="10"/>
        <v/>
      </c>
      <c r="G70">
        <f t="shared" si="11"/>
        <v>4</v>
      </c>
      <c r="Q70" t="s">
        <v>470</v>
      </c>
      <c r="U70" t="s">
        <v>369</v>
      </c>
    </row>
    <row r="71" spans="1:21" hidden="1" x14ac:dyDescent="0.25">
      <c r="A71" t="s">
        <v>306</v>
      </c>
      <c r="B71" t="str">
        <f t="shared" si="6"/>
        <v/>
      </c>
      <c r="C71" t="str">
        <f t="shared" si="7"/>
        <v/>
      </c>
      <c r="D71" t="str">
        <f t="shared" si="8"/>
        <v>A</v>
      </c>
      <c r="E71" t="str">
        <f t="shared" si="9"/>
        <v/>
      </c>
      <c r="F71" t="str">
        <f t="shared" si="10"/>
        <v/>
      </c>
      <c r="G71">
        <f t="shared" si="11"/>
        <v>4</v>
      </c>
      <c r="Q71" t="s">
        <v>564</v>
      </c>
      <c r="U71" t="s">
        <v>554</v>
      </c>
    </row>
    <row r="72" spans="1:21" hidden="1" x14ac:dyDescent="0.25">
      <c r="A72" t="s">
        <v>307</v>
      </c>
      <c r="B72" t="str">
        <f t="shared" si="6"/>
        <v>S</v>
      </c>
      <c r="C72" t="str">
        <f t="shared" si="7"/>
        <v/>
      </c>
      <c r="D72" t="str">
        <f t="shared" si="8"/>
        <v/>
      </c>
      <c r="E72" t="str">
        <f t="shared" si="9"/>
        <v/>
      </c>
      <c r="F72" t="str">
        <f t="shared" si="10"/>
        <v/>
      </c>
      <c r="G72">
        <f t="shared" si="11"/>
        <v>4</v>
      </c>
      <c r="Q72" t="s">
        <v>430</v>
      </c>
      <c r="U72" t="s">
        <v>485</v>
      </c>
    </row>
    <row r="73" spans="1:21" hidden="1" x14ac:dyDescent="0.25">
      <c r="A73" t="s">
        <v>308</v>
      </c>
      <c r="B73" t="str">
        <f t="shared" si="6"/>
        <v/>
      </c>
      <c r="C73" t="str">
        <f t="shared" si="7"/>
        <v/>
      </c>
      <c r="D73" t="str">
        <f t="shared" si="8"/>
        <v/>
      </c>
      <c r="E73" t="str">
        <f t="shared" si="9"/>
        <v/>
      </c>
      <c r="F73" t="str">
        <f t="shared" si="10"/>
        <v>C</v>
      </c>
      <c r="G73">
        <f t="shared" si="11"/>
        <v>4</v>
      </c>
      <c r="Q73" t="s">
        <v>331</v>
      </c>
      <c r="U73" t="s">
        <v>450</v>
      </c>
    </row>
    <row r="74" spans="1:21" hidden="1" x14ac:dyDescent="0.25">
      <c r="A74" t="s">
        <v>309</v>
      </c>
      <c r="B74" t="str">
        <f t="shared" si="6"/>
        <v/>
      </c>
      <c r="C74" t="str">
        <f t="shared" si="7"/>
        <v/>
      </c>
      <c r="D74" t="str">
        <f t="shared" si="8"/>
        <v>A</v>
      </c>
      <c r="E74" t="str">
        <f t="shared" si="9"/>
        <v/>
      </c>
      <c r="F74" t="str">
        <f t="shared" si="10"/>
        <v/>
      </c>
      <c r="G74">
        <f t="shared" si="11"/>
        <v>4</v>
      </c>
      <c r="Q74" t="s">
        <v>507</v>
      </c>
      <c r="U74" t="s">
        <v>308</v>
      </c>
    </row>
    <row r="75" spans="1:21" hidden="1" x14ac:dyDescent="0.25">
      <c r="A75" t="s">
        <v>310</v>
      </c>
      <c r="B75" t="str">
        <f t="shared" si="6"/>
        <v/>
      </c>
      <c r="C75" t="str">
        <f t="shared" si="7"/>
        <v/>
      </c>
      <c r="D75" t="str">
        <f t="shared" si="8"/>
        <v/>
      </c>
      <c r="E75" t="str">
        <f t="shared" si="9"/>
        <v/>
      </c>
      <c r="F75" t="str">
        <f t="shared" si="10"/>
        <v>C</v>
      </c>
      <c r="G75">
        <f t="shared" si="11"/>
        <v>4</v>
      </c>
      <c r="Q75" t="s">
        <v>385</v>
      </c>
      <c r="U75" t="s">
        <v>496</v>
      </c>
    </row>
    <row r="76" spans="1:21" hidden="1" x14ac:dyDescent="0.25">
      <c r="A76" t="s">
        <v>311</v>
      </c>
      <c r="B76" t="str">
        <f t="shared" si="6"/>
        <v>S</v>
      </c>
      <c r="C76" t="str">
        <f t="shared" si="7"/>
        <v/>
      </c>
      <c r="D76" t="str">
        <f t="shared" si="8"/>
        <v/>
      </c>
      <c r="E76" t="str">
        <f t="shared" si="9"/>
        <v/>
      </c>
      <c r="F76" t="str">
        <f t="shared" si="10"/>
        <v/>
      </c>
      <c r="G76">
        <f t="shared" si="11"/>
        <v>4</v>
      </c>
      <c r="Q76" t="s">
        <v>333</v>
      </c>
      <c r="U76" t="s">
        <v>512</v>
      </c>
    </row>
    <row r="77" spans="1:21" hidden="1" x14ac:dyDescent="0.25">
      <c r="A77" t="s">
        <v>312</v>
      </c>
      <c r="B77" t="str">
        <f t="shared" si="6"/>
        <v>S</v>
      </c>
      <c r="C77" t="str">
        <f t="shared" si="7"/>
        <v/>
      </c>
      <c r="D77" t="str">
        <f t="shared" si="8"/>
        <v/>
      </c>
      <c r="E77" t="str">
        <f t="shared" si="9"/>
        <v/>
      </c>
      <c r="F77" t="str">
        <f t="shared" si="10"/>
        <v/>
      </c>
      <c r="G77">
        <f t="shared" si="11"/>
        <v>4</v>
      </c>
      <c r="Q77" t="s">
        <v>556</v>
      </c>
      <c r="U77" t="s">
        <v>358</v>
      </c>
    </row>
    <row r="78" spans="1:21" hidden="1" x14ac:dyDescent="0.25">
      <c r="A78" t="s">
        <v>313</v>
      </c>
      <c r="B78" t="str">
        <f t="shared" si="6"/>
        <v/>
      </c>
      <c r="C78" t="str">
        <f t="shared" si="7"/>
        <v>D</v>
      </c>
      <c r="D78" t="str">
        <f t="shared" si="8"/>
        <v/>
      </c>
      <c r="E78" t="str">
        <f t="shared" si="9"/>
        <v/>
      </c>
      <c r="F78" t="str">
        <f t="shared" si="10"/>
        <v/>
      </c>
      <c r="G78">
        <f t="shared" si="11"/>
        <v>4</v>
      </c>
      <c r="Q78" t="s">
        <v>298</v>
      </c>
      <c r="U78" t="s">
        <v>441</v>
      </c>
    </row>
    <row r="79" spans="1:21" hidden="1" x14ac:dyDescent="0.25">
      <c r="A79" t="s">
        <v>314</v>
      </c>
      <c r="B79" t="str">
        <f t="shared" si="6"/>
        <v>S</v>
      </c>
      <c r="C79" t="str">
        <f t="shared" si="7"/>
        <v/>
      </c>
      <c r="D79" t="str">
        <f t="shared" si="8"/>
        <v/>
      </c>
      <c r="E79" t="str">
        <f t="shared" si="9"/>
        <v/>
      </c>
      <c r="F79" t="str">
        <f t="shared" si="10"/>
        <v/>
      </c>
      <c r="G79">
        <f t="shared" si="11"/>
        <v>4</v>
      </c>
      <c r="Q79" t="s">
        <v>555</v>
      </c>
      <c r="U79" t="s">
        <v>271</v>
      </c>
    </row>
    <row r="80" spans="1:21" hidden="1" x14ac:dyDescent="0.25">
      <c r="A80" t="s">
        <v>315</v>
      </c>
      <c r="B80" t="str">
        <f t="shared" si="6"/>
        <v>S</v>
      </c>
      <c r="C80" t="str">
        <f t="shared" si="7"/>
        <v/>
      </c>
      <c r="D80" t="str">
        <f t="shared" si="8"/>
        <v/>
      </c>
      <c r="E80" t="str">
        <f t="shared" si="9"/>
        <v/>
      </c>
      <c r="F80" t="str">
        <f t="shared" si="10"/>
        <v/>
      </c>
      <c r="G80">
        <f t="shared" si="11"/>
        <v>4</v>
      </c>
      <c r="Q80" t="s">
        <v>332</v>
      </c>
      <c r="U80" t="s">
        <v>451</v>
      </c>
    </row>
    <row r="81" spans="1:17" hidden="1" x14ac:dyDescent="0.25">
      <c r="A81" t="s">
        <v>316</v>
      </c>
      <c r="B81" t="str">
        <f t="shared" si="6"/>
        <v/>
      </c>
      <c r="C81" t="str">
        <f t="shared" si="7"/>
        <v/>
      </c>
      <c r="D81" t="str">
        <f t="shared" si="8"/>
        <v>A</v>
      </c>
      <c r="E81" t="str">
        <f t="shared" si="9"/>
        <v/>
      </c>
      <c r="F81" t="str">
        <f t="shared" si="10"/>
        <v/>
      </c>
      <c r="G81">
        <f t="shared" si="11"/>
        <v>4</v>
      </c>
      <c r="Q81" t="s">
        <v>475</v>
      </c>
    </row>
    <row r="82" spans="1:17" hidden="1" x14ac:dyDescent="0.25">
      <c r="A82" t="s">
        <v>317</v>
      </c>
      <c r="B82" t="str">
        <f t="shared" si="6"/>
        <v/>
      </c>
      <c r="C82" t="str">
        <f t="shared" si="7"/>
        <v/>
      </c>
      <c r="D82" t="str">
        <f t="shared" si="8"/>
        <v>A</v>
      </c>
      <c r="E82" t="str">
        <f t="shared" si="9"/>
        <v/>
      </c>
      <c r="F82" t="str">
        <f t="shared" si="10"/>
        <v/>
      </c>
      <c r="G82">
        <f t="shared" si="11"/>
        <v>4</v>
      </c>
      <c r="Q82" t="s">
        <v>552</v>
      </c>
    </row>
    <row r="83" spans="1:17" hidden="1" x14ac:dyDescent="0.25">
      <c r="A83" t="s">
        <v>318</v>
      </c>
      <c r="B83" t="str">
        <f t="shared" si="6"/>
        <v/>
      </c>
      <c r="C83" t="str">
        <f t="shared" si="7"/>
        <v/>
      </c>
      <c r="D83" t="str">
        <f t="shared" si="8"/>
        <v/>
      </c>
      <c r="E83" t="str">
        <f t="shared" si="9"/>
        <v/>
      </c>
      <c r="F83" t="str">
        <f t="shared" si="10"/>
        <v>C</v>
      </c>
      <c r="G83">
        <f t="shared" si="11"/>
        <v>4</v>
      </c>
      <c r="Q83" t="s">
        <v>428</v>
      </c>
    </row>
    <row r="84" spans="1:17" hidden="1" x14ac:dyDescent="0.25">
      <c r="A84" t="s">
        <v>319</v>
      </c>
      <c r="B84" t="str">
        <f t="shared" si="6"/>
        <v>S</v>
      </c>
      <c r="C84" t="str">
        <f t="shared" si="7"/>
        <v/>
      </c>
      <c r="D84" t="str">
        <f t="shared" si="8"/>
        <v/>
      </c>
      <c r="E84" t="str">
        <f t="shared" si="9"/>
        <v/>
      </c>
      <c r="F84" t="str">
        <f t="shared" si="10"/>
        <v/>
      </c>
      <c r="G84">
        <f t="shared" si="11"/>
        <v>4</v>
      </c>
      <c r="Q84" t="s">
        <v>506</v>
      </c>
    </row>
    <row r="85" spans="1:17" x14ac:dyDescent="0.25">
      <c r="A85" t="s">
        <v>320</v>
      </c>
      <c r="B85" t="str">
        <f t="shared" si="6"/>
        <v/>
      </c>
      <c r="C85" t="str">
        <f t="shared" si="7"/>
        <v/>
      </c>
      <c r="D85" t="str">
        <f t="shared" si="8"/>
        <v/>
      </c>
      <c r="E85" t="str">
        <f t="shared" si="9"/>
        <v>B</v>
      </c>
      <c r="F85" t="str">
        <f t="shared" si="10"/>
        <v/>
      </c>
      <c r="G85">
        <f t="shared" si="11"/>
        <v>4</v>
      </c>
      <c r="Q85" t="s">
        <v>553</v>
      </c>
    </row>
    <row r="86" spans="1:17" hidden="1" x14ac:dyDescent="0.25">
      <c r="A86" t="s">
        <v>321</v>
      </c>
      <c r="B86" t="str">
        <f t="shared" si="6"/>
        <v>S</v>
      </c>
      <c r="C86" t="str">
        <f t="shared" si="7"/>
        <v/>
      </c>
      <c r="D86" t="str">
        <f t="shared" si="8"/>
        <v/>
      </c>
      <c r="E86" t="str">
        <f t="shared" si="9"/>
        <v/>
      </c>
      <c r="F86" t="str">
        <f t="shared" si="10"/>
        <v/>
      </c>
      <c r="G86">
        <f t="shared" si="11"/>
        <v>4</v>
      </c>
      <c r="Q86" t="s">
        <v>409</v>
      </c>
    </row>
    <row r="87" spans="1:17" hidden="1" x14ac:dyDescent="0.25">
      <c r="A87" t="s">
        <v>322</v>
      </c>
      <c r="B87" t="str">
        <f t="shared" si="6"/>
        <v>S</v>
      </c>
      <c r="C87" t="str">
        <f t="shared" si="7"/>
        <v/>
      </c>
      <c r="D87" t="str">
        <f t="shared" si="8"/>
        <v/>
      </c>
      <c r="E87" t="str">
        <f t="shared" si="9"/>
        <v/>
      </c>
      <c r="F87" t="str">
        <f t="shared" si="10"/>
        <v/>
      </c>
      <c r="G87">
        <f t="shared" si="11"/>
        <v>4</v>
      </c>
      <c r="Q87" t="s">
        <v>383</v>
      </c>
    </row>
    <row r="88" spans="1:17" hidden="1" x14ac:dyDescent="0.25">
      <c r="A88" t="s">
        <v>323</v>
      </c>
      <c r="B88" t="str">
        <f t="shared" si="6"/>
        <v>S</v>
      </c>
      <c r="C88" t="str">
        <f t="shared" si="7"/>
        <v/>
      </c>
      <c r="D88" t="str">
        <f t="shared" si="8"/>
        <v/>
      </c>
      <c r="E88" t="str">
        <f t="shared" si="9"/>
        <v/>
      </c>
      <c r="F88" t="str">
        <f t="shared" si="10"/>
        <v/>
      </c>
      <c r="G88">
        <f t="shared" si="11"/>
        <v>4</v>
      </c>
      <c r="Q88" t="s">
        <v>551</v>
      </c>
    </row>
    <row r="89" spans="1:17" hidden="1" x14ac:dyDescent="0.25">
      <c r="A89" t="s">
        <v>324</v>
      </c>
      <c r="B89" t="str">
        <f t="shared" si="6"/>
        <v>S</v>
      </c>
      <c r="C89" t="str">
        <f t="shared" si="7"/>
        <v/>
      </c>
      <c r="D89" t="str">
        <f t="shared" si="8"/>
        <v/>
      </c>
      <c r="E89" t="str">
        <f t="shared" si="9"/>
        <v/>
      </c>
      <c r="F89" t="str">
        <f t="shared" si="10"/>
        <v/>
      </c>
      <c r="G89">
        <f t="shared" si="11"/>
        <v>4</v>
      </c>
      <c r="Q89" t="s">
        <v>547</v>
      </c>
    </row>
    <row r="90" spans="1:17" hidden="1" x14ac:dyDescent="0.25">
      <c r="A90" t="s">
        <v>325</v>
      </c>
      <c r="B90" t="str">
        <f t="shared" si="6"/>
        <v/>
      </c>
      <c r="C90" t="str">
        <f t="shared" si="7"/>
        <v/>
      </c>
      <c r="D90" t="str">
        <f t="shared" si="8"/>
        <v/>
      </c>
      <c r="E90" t="str">
        <f t="shared" si="9"/>
        <v/>
      </c>
      <c r="F90" t="str">
        <f t="shared" si="10"/>
        <v>C</v>
      </c>
      <c r="G90">
        <f t="shared" si="11"/>
        <v>4</v>
      </c>
      <c r="Q90" t="s">
        <v>473</v>
      </c>
    </row>
    <row r="91" spans="1:17" hidden="1" x14ac:dyDescent="0.25">
      <c r="A91" t="s">
        <v>326</v>
      </c>
      <c r="B91" t="str">
        <f t="shared" si="6"/>
        <v>S</v>
      </c>
      <c r="C91" t="str">
        <f t="shared" si="7"/>
        <v/>
      </c>
      <c r="D91" t="str">
        <f t="shared" si="8"/>
        <v/>
      </c>
      <c r="E91" t="str">
        <f t="shared" si="9"/>
        <v/>
      </c>
      <c r="F91" t="str">
        <f t="shared" si="10"/>
        <v/>
      </c>
      <c r="G91">
        <f t="shared" si="11"/>
        <v>4</v>
      </c>
      <c r="Q91" t="s">
        <v>382</v>
      </c>
    </row>
    <row r="92" spans="1:17" hidden="1" x14ac:dyDescent="0.25">
      <c r="A92" t="s">
        <v>327</v>
      </c>
      <c r="B92" t="str">
        <f t="shared" si="6"/>
        <v>S</v>
      </c>
      <c r="C92" t="str">
        <f t="shared" si="7"/>
        <v/>
      </c>
      <c r="D92" t="str">
        <f t="shared" si="8"/>
        <v/>
      </c>
      <c r="E92" t="str">
        <f t="shared" si="9"/>
        <v/>
      </c>
      <c r="F92" t="str">
        <f t="shared" si="10"/>
        <v/>
      </c>
      <c r="G92">
        <f t="shared" si="11"/>
        <v>4</v>
      </c>
      <c r="Q92" t="s">
        <v>448</v>
      </c>
    </row>
    <row r="93" spans="1:17" hidden="1" x14ac:dyDescent="0.25">
      <c r="A93" t="s">
        <v>328</v>
      </c>
      <c r="B93" t="str">
        <f t="shared" si="6"/>
        <v>S</v>
      </c>
      <c r="C93" t="str">
        <f t="shared" si="7"/>
        <v/>
      </c>
      <c r="D93" t="str">
        <f t="shared" si="8"/>
        <v/>
      </c>
      <c r="E93" t="str">
        <f t="shared" si="9"/>
        <v/>
      </c>
      <c r="F93" t="str">
        <f t="shared" si="10"/>
        <v/>
      </c>
      <c r="G93">
        <f t="shared" si="11"/>
        <v>4</v>
      </c>
      <c r="Q93" t="s">
        <v>384</v>
      </c>
    </row>
    <row r="94" spans="1:17" hidden="1" x14ac:dyDescent="0.25">
      <c r="A94" t="s">
        <v>329</v>
      </c>
      <c r="B94" t="str">
        <f t="shared" si="6"/>
        <v>S</v>
      </c>
      <c r="C94" t="str">
        <f t="shared" si="7"/>
        <v/>
      </c>
      <c r="D94" t="str">
        <f t="shared" si="8"/>
        <v/>
      </c>
      <c r="E94" t="str">
        <f t="shared" si="9"/>
        <v/>
      </c>
      <c r="F94" t="str">
        <f t="shared" si="10"/>
        <v/>
      </c>
      <c r="G94">
        <f t="shared" si="11"/>
        <v>4</v>
      </c>
      <c r="Q94" t="s">
        <v>486</v>
      </c>
    </row>
    <row r="95" spans="1:17" hidden="1" x14ac:dyDescent="0.25">
      <c r="A95" t="s">
        <v>330</v>
      </c>
      <c r="B95" t="str">
        <f t="shared" si="6"/>
        <v>S</v>
      </c>
      <c r="C95" t="str">
        <f t="shared" si="7"/>
        <v/>
      </c>
      <c r="D95" t="str">
        <f t="shared" si="8"/>
        <v/>
      </c>
      <c r="E95" t="str">
        <f t="shared" si="9"/>
        <v/>
      </c>
      <c r="F95" t="str">
        <f t="shared" si="10"/>
        <v/>
      </c>
      <c r="G95">
        <f t="shared" si="11"/>
        <v>4</v>
      </c>
      <c r="Q95" t="s">
        <v>408</v>
      </c>
    </row>
    <row r="96" spans="1:17" hidden="1" x14ac:dyDescent="0.25">
      <c r="A96" t="s">
        <v>331</v>
      </c>
      <c r="B96" t="str">
        <f t="shared" si="6"/>
        <v>S</v>
      </c>
      <c r="C96" t="str">
        <f t="shared" si="7"/>
        <v/>
      </c>
      <c r="D96" t="str">
        <f t="shared" si="8"/>
        <v/>
      </c>
      <c r="E96" t="str">
        <f t="shared" si="9"/>
        <v/>
      </c>
      <c r="F96" t="str">
        <f t="shared" si="10"/>
        <v/>
      </c>
      <c r="G96">
        <f t="shared" si="11"/>
        <v>4</v>
      </c>
      <c r="Q96" t="s">
        <v>368</v>
      </c>
    </row>
    <row r="97" spans="1:17" hidden="1" x14ac:dyDescent="0.25">
      <c r="A97" t="s">
        <v>332</v>
      </c>
      <c r="B97" t="str">
        <f t="shared" si="6"/>
        <v>S</v>
      </c>
      <c r="C97" t="str">
        <f t="shared" si="7"/>
        <v/>
      </c>
      <c r="D97" t="str">
        <f t="shared" si="8"/>
        <v/>
      </c>
      <c r="E97" t="str">
        <f t="shared" si="9"/>
        <v/>
      </c>
      <c r="F97" t="str">
        <f t="shared" si="10"/>
        <v/>
      </c>
      <c r="G97">
        <f t="shared" si="11"/>
        <v>4</v>
      </c>
      <c r="Q97" t="s">
        <v>381</v>
      </c>
    </row>
    <row r="98" spans="1:17" hidden="1" x14ac:dyDescent="0.25">
      <c r="A98" t="s">
        <v>333</v>
      </c>
      <c r="B98" t="str">
        <f t="shared" si="6"/>
        <v>S</v>
      </c>
      <c r="C98" t="str">
        <f t="shared" si="7"/>
        <v/>
      </c>
      <c r="D98" t="str">
        <f t="shared" si="8"/>
        <v/>
      </c>
      <c r="E98" t="str">
        <f t="shared" si="9"/>
        <v/>
      </c>
      <c r="F98" t="str">
        <f t="shared" si="10"/>
        <v/>
      </c>
      <c r="G98">
        <f t="shared" si="11"/>
        <v>4</v>
      </c>
      <c r="Q98" t="s">
        <v>483</v>
      </c>
    </row>
    <row r="99" spans="1:17" hidden="1" x14ac:dyDescent="0.25">
      <c r="A99" t="s">
        <v>334</v>
      </c>
      <c r="B99" t="str">
        <f t="shared" si="6"/>
        <v>S</v>
      </c>
      <c r="C99" t="str">
        <f t="shared" si="7"/>
        <v/>
      </c>
      <c r="D99" t="str">
        <f t="shared" si="8"/>
        <v/>
      </c>
      <c r="E99" t="str">
        <f t="shared" si="9"/>
        <v/>
      </c>
      <c r="F99" t="str">
        <f t="shared" si="10"/>
        <v/>
      </c>
      <c r="G99">
        <f t="shared" si="11"/>
        <v>4</v>
      </c>
      <c r="Q99" t="s">
        <v>425</v>
      </c>
    </row>
    <row r="100" spans="1:17" x14ac:dyDescent="0.25">
      <c r="A100" t="s">
        <v>335</v>
      </c>
      <c r="B100" t="str">
        <f t="shared" si="6"/>
        <v/>
      </c>
      <c r="C100" t="str">
        <f t="shared" si="7"/>
        <v/>
      </c>
      <c r="D100" t="str">
        <f t="shared" si="8"/>
        <v/>
      </c>
      <c r="E100" t="str">
        <f t="shared" si="9"/>
        <v>B</v>
      </c>
      <c r="F100" t="str">
        <f t="shared" si="10"/>
        <v/>
      </c>
      <c r="G100">
        <f t="shared" si="11"/>
        <v>4</v>
      </c>
      <c r="Q100" t="s">
        <v>449</v>
      </c>
    </row>
    <row r="101" spans="1:17" hidden="1" x14ac:dyDescent="0.25">
      <c r="A101" t="s">
        <v>336</v>
      </c>
      <c r="B101" t="str">
        <f t="shared" si="6"/>
        <v>S</v>
      </c>
      <c r="C101" t="str">
        <f t="shared" si="7"/>
        <v/>
      </c>
      <c r="D101" t="str">
        <f t="shared" si="8"/>
        <v/>
      </c>
      <c r="E101" t="str">
        <f t="shared" si="9"/>
        <v/>
      </c>
      <c r="F101" t="str">
        <f t="shared" si="10"/>
        <v/>
      </c>
      <c r="G101">
        <f t="shared" si="11"/>
        <v>4</v>
      </c>
      <c r="Q101" t="s">
        <v>427</v>
      </c>
    </row>
    <row r="102" spans="1:17" hidden="1" x14ac:dyDescent="0.25">
      <c r="A102" t="s">
        <v>337</v>
      </c>
      <c r="B102" t="str">
        <f t="shared" si="6"/>
        <v/>
      </c>
      <c r="C102" t="str">
        <f t="shared" si="7"/>
        <v/>
      </c>
      <c r="D102" t="str">
        <f t="shared" si="8"/>
        <v/>
      </c>
      <c r="E102" t="str">
        <f t="shared" si="9"/>
        <v/>
      </c>
      <c r="F102" t="str">
        <f t="shared" si="10"/>
        <v>C</v>
      </c>
      <c r="G102">
        <f t="shared" si="11"/>
        <v>4</v>
      </c>
      <c r="Q102" t="s">
        <v>268</v>
      </c>
    </row>
    <row r="103" spans="1:17" hidden="1" x14ac:dyDescent="0.25">
      <c r="A103" t="s">
        <v>338</v>
      </c>
      <c r="B103" t="str">
        <f t="shared" si="6"/>
        <v>S</v>
      </c>
      <c r="C103" t="str">
        <f t="shared" si="7"/>
        <v/>
      </c>
      <c r="D103" t="str">
        <f t="shared" si="8"/>
        <v/>
      </c>
      <c r="E103" t="str">
        <f t="shared" si="9"/>
        <v/>
      </c>
      <c r="F103" t="str">
        <f t="shared" si="10"/>
        <v/>
      </c>
      <c r="G103">
        <f t="shared" si="11"/>
        <v>4</v>
      </c>
      <c r="Q103" t="s">
        <v>542</v>
      </c>
    </row>
    <row r="104" spans="1:17" hidden="1" x14ac:dyDescent="0.25">
      <c r="A104" t="s">
        <v>339</v>
      </c>
      <c r="B104" t="str">
        <f t="shared" si="6"/>
        <v>S</v>
      </c>
      <c r="C104" t="str">
        <f t="shared" si="7"/>
        <v/>
      </c>
      <c r="D104" t="str">
        <f t="shared" si="8"/>
        <v/>
      </c>
      <c r="E104" t="str">
        <f t="shared" si="9"/>
        <v/>
      </c>
      <c r="F104" t="str">
        <f t="shared" si="10"/>
        <v/>
      </c>
      <c r="G104">
        <f t="shared" si="11"/>
        <v>4</v>
      </c>
      <c r="Q104" t="s">
        <v>482</v>
      </c>
    </row>
    <row r="105" spans="1:17" x14ac:dyDescent="0.25">
      <c r="A105" t="s">
        <v>340</v>
      </c>
      <c r="B105" t="str">
        <f t="shared" si="6"/>
        <v/>
      </c>
      <c r="C105" t="str">
        <f t="shared" si="7"/>
        <v/>
      </c>
      <c r="D105" t="str">
        <f t="shared" si="8"/>
        <v/>
      </c>
      <c r="E105" t="str">
        <f t="shared" si="9"/>
        <v>B</v>
      </c>
      <c r="F105" t="str">
        <f t="shared" si="10"/>
        <v/>
      </c>
      <c r="G105">
        <f t="shared" si="11"/>
        <v>4</v>
      </c>
      <c r="Q105" t="s">
        <v>505</v>
      </c>
    </row>
    <row r="106" spans="1:17" hidden="1" x14ac:dyDescent="0.25">
      <c r="A106" t="s">
        <v>341</v>
      </c>
      <c r="B106" t="str">
        <f t="shared" si="6"/>
        <v/>
      </c>
      <c r="C106" t="str">
        <f t="shared" si="7"/>
        <v/>
      </c>
      <c r="D106" t="str">
        <f t="shared" si="8"/>
        <v/>
      </c>
      <c r="E106" t="str">
        <f t="shared" si="9"/>
        <v/>
      </c>
      <c r="F106" t="str">
        <f t="shared" si="10"/>
        <v>C</v>
      </c>
      <c r="G106">
        <f t="shared" si="11"/>
        <v>4</v>
      </c>
      <c r="Q106" t="s">
        <v>349</v>
      </c>
    </row>
    <row r="107" spans="1:17" hidden="1" x14ac:dyDescent="0.25">
      <c r="A107" t="s">
        <v>342</v>
      </c>
      <c r="B107" t="str">
        <f t="shared" si="6"/>
        <v/>
      </c>
      <c r="C107" t="str">
        <f t="shared" si="7"/>
        <v/>
      </c>
      <c r="D107" t="str">
        <f t="shared" si="8"/>
        <v>A</v>
      </c>
      <c r="E107" t="str">
        <f t="shared" si="9"/>
        <v/>
      </c>
      <c r="F107" t="str">
        <f t="shared" si="10"/>
        <v/>
      </c>
      <c r="G107">
        <f t="shared" si="11"/>
        <v>4</v>
      </c>
      <c r="Q107" t="s">
        <v>405</v>
      </c>
    </row>
    <row r="108" spans="1:17" hidden="1" x14ac:dyDescent="0.25">
      <c r="A108" t="s">
        <v>343</v>
      </c>
      <c r="B108" t="str">
        <f t="shared" si="6"/>
        <v>S</v>
      </c>
      <c r="C108" t="str">
        <f t="shared" si="7"/>
        <v/>
      </c>
      <c r="D108" t="str">
        <f t="shared" si="8"/>
        <v/>
      </c>
      <c r="E108" t="str">
        <f t="shared" si="9"/>
        <v/>
      </c>
      <c r="F108" t="str">
        <f t="shared" si="10"/>
        <v/>
      </c>
      <c r="G108">
        <f t="shared" si="11"/>
        <v>4</v>
      </c>
      <c r="Q108" t="s">
        <v>423</v>
      </c>
    </row>
    <row r="109" spans="1:17" hidden="1" x14ac:dyDescent="0.25">
      <c r="A109" t="s">
        <v>344</v>
      </c>
      <c r="B109" t="str">
        <f t="shared" si="6"/>
        <v/>
      </c>
      <c r="C109" t="str">
        <f t="shared" si="7"/>
        <v/>
      </c>
      <c r="D109" t="str">
        <f t="shared" si="8"/>
        <v>A</v>
      </c>
      <c r="E109" t="str">
        <f t="shared" si="9"/>
        <v/>
      </c>
      <c r="F109" t="str">
        <f t="shared" si="10"/>
        <v/>
      </c>
      <c r="G109">
        <f t="shared" si="11"/>
        <v>4</v>
      </c>
      <c r="Q109" t="s">
        <v>404</v>
      </c>
    </row>
    <row r="110" spans="1:17" hidden="1" x14ac:dyDescent="0.25">
      <c r="A110" t="s">
        <v>345</v>
      </c>
      <c r="B110" t="str">
        <f t="shared" si="6"/>
        <v>S</v>
      </c>
      <c r="C110" t="str">
        <f t="shared" si="7"/>
        <v/>
      </c>
      <c r="D110" t="str">
        <f t="shared" si="8"/>
        <v/>
      </c>
      <c r="E110" t="str">
        <f t="shared" si="9"/>
        <v/>
      </c>
      <c r="F110" t="str">
        <f t="shared" si="10"/>
        <v/>
      </c>
      <c r="G110">
        <f t="shared" si="11"/>
        <v>4</v>
      </c>
      <c r="Q110" t="s">
        <v>537</v>
      </c>
    </row>
    <row r="111" spans="1:17" hidden="1" x14ac:dyDescent="0.25">
      <c r="A111" t="s">
        <v>346</v>
      </c>
      <c r="B111" t="str">
        <f t="shared" si="6"/>
        <v/>
      </c>
      <c r="C111" t="str">
        <f t="shared" si="7"/>
        <v/>
      </c>
      <c r="D111" t="str">
        <f t="shared" si="8"/>
        <v>A</v>
      </c>
      <c r="E111" t="str">
        <f t="shared" si="9"/>
        <v/>
      </c>
      <c r="F111" t="str">
        <f t="shared" si="10"/>
        <v/>
      </c>
      <c r="G111">
        <f t="shared" si="11"/>
        <v>4</v>
      </c>
      <c r="Q111" t="s">
        <v>543</v>
      </c>
    </row>
    <row r="112" spans="1:17" hidden="1" x14ac:dyDescent="0.25">
      <c r="A112" t="s">
        <v>347</v>
      </c>
      <c r="B112" t="str">
        <f t="shared" si="6"/>
        <v/>
      </c>
      <c r="C112" t="str">
        <f t="shared" si="7"/>
        <v/>
      </c>
      <c r="D112" t="str">
        <f t="shared" si="8"/>
        <v/>
      </c>
      <c r="E112" t="str">
        <f t="shared" si="9"/>
        <v/>
      </c>
      <c r="F112" t="str">
        <f t="shared" si="10"/>
        <v>C</v>
      </c>
      <c r="G112">
        <f t="shared" si="11"/>
        <v>4</v>
      </c>
      <c r="Q112" t="s">
        <v>468</v>
      </c>
    </row>
    <row r="113" spans="1:17" hidden="1" x14ac:dyDescent="0.25">
      <c r="A113" t="s">
        <v>348</v>
      </c>
      <c r="B113" t="str">
        <f t="shared" si="6"/>
        <v>S</v>
      </c>
      <c r="C113" t="str">
        <f t="shared" si="7"/>
        <v/>
      </c>
      <c r="D113" t="str">
        <f t="shared" si="8"/>
        <v/>
      </c>
      <c r="E113" t="str">
        <f t="shared" si="9"/>
        <v/>
      </c>
      <c r="F113" t="str">
        <f t="shared" si="10"/>
        <v/>
      </c>
      <c r="G113">
        <f t="shared" si="11"/>
        <v>4</v>
      </c>
      <c r="Q113" t="s">
        <v>536</v>
      </c>
    </row>
    <row r="114" spans="1:17" hidden="1" x14ac:dyDescent="0.25">
      <c r="A114" t="s">
        <v>349</v>
      </c>
      <c r="B114" t="str">
        <f t="shared" si="6"/>
        <v>S</v>
      </c>
      <c r="C114" t="str">
        <f t="shared" si="7"/>
        <v/>
      </c>
      <c r="D114" t="str">
        <f t="shared" si="8"/>
        <v/>
      </c>
      <c r="E114" t="str">
        <f t="shared" si="9"/>
        <v/>
      </c>
      <c r="F114" t="str">
        <f t="shared" si="10"/>
        <v/>
      </c>
      <c r="G114">
        <f t="shared" si="11"/>
        <v>4</v>
      </c>
      <c r="Q114" t="s">
        <v>535</v>
      </c>
    </row>
    <row r="115" spans="1:17" hidden="1" x14ac:dyDescent="0.25">
      <c r="A115" t="s">
        <v>350</v>
      </c>
      <c r="B115" t="str">
        <f t="shared" si="6"/>
        <v>S</v>
      </c>
      <c r="C115" t="str">
        <f t="shared" si="7"/>
        <v/>
      </c>
      <c r="D115" t="str">
        <f t="shared" si="8"/>
        <v/>
      </c>
      <c r="E115" t="str">
        <f t="shared" si="9"/>
        <v/>
      </c>
      <c r="F115" t="str">
        <f t="shared" si="10"/>
        <v/>
      </c>
      <c r="G115">
        <f t="shared" si="11"/>
        <v>4</v>
      </c>
      <c r="Q115" t="s">
        <v>248</v>
      </c>
    </row>
    <row r="116" spans="1:17" hidden="1" x14ac:dyDescent="0.25">
      <c r="A116" t="s">
        <v>351</v>
      </c>
      <c r="B116" t="str">
        <f t="shared" si="6"/>
        <v>S</v>
      </c>
      <c r="C116" t="str">
        <f t="shared" si="7"/>
        <v/>
      </c>
      <c r="D116" t="str">
        <f t="shared" si="8"/>
        <v/>
      </c>
      <c r="E116" t="str">
        <f t="shared" si="9"/>
        <v/>
      </c>
      <c r="F116" t="str">
        <f t="shared" si="10"/>
        <v/>
      </c>
      <c r="G116">
        <f t="shared" si="11"/>
        <v>4</v>
      </c>
      <c r="Q116" t="s">
        <v>401</v>
      </c>
    </row>
    <row r="117" spans="1:17" hidden="1" x14ac:dyDescent="0.25">
      <c r="A117" t="s">
        <v>352</v>
      </c>
      <c r="B117" t="str">
        <f t="shared" si="6"/>
        <v>S</v>
      </c>
      <c r="C117" t="str">
        <f t="shared" si="7"/>
        <v/>
      </c>
      <c r="D117" t="str">
        <f t="shared" si="8"/>
        <v/>
      </c>
      <c r="E117" t="str">
        <f t="shared" si="9"/>
        <v/>
      </c>
      <c r="F117" t="str">
        <f t="shared" si="10"/>
        <v/>
      </c>
      <c r="G117">
        <f t="shared" si="11"/>
        <v>4</v>
      </c>
      <c r="Q117" t="s">
        <v>480</v>
      </c>
    </row>
    <row r="118" spans="1:17" hidden="1" x14ac:dyDescent="0.25">
      <c r="A118" t="s">
        <v>353</v>
      </c>
      <c r="B118" t="str">
        <f t="shared" si="6"/>
        <v>S</v>
      </c>
      <c r="C118" t="str">
        <f t="shared" si="7"/>
        <v/>
      </c>
      <c r="D118" t="str">
        <f t="shared" si="8"/>
        <v/>
      </c>
      <c r="E118" t="str">
        <f t="shared" si="9"/>
        <v/>
      </c>
      <c r="F118" t="str">
        <f t="shared" si="10"/>
        <v/>
      </c>
      <c r="G118">
        <f t="shared" si="11"/>
        <v>4</v>
      </c>
      <c r="Q118" t="s">
        <v>305</v>
      </c>
    </row>
    <row r="119" spans="1:17" hidden="1" x14ac:dyDescent="0.25">
      <c r="A119" t="s">
        <v>354</v>
      </c>
      <c r="B119" t="str">
        <f t="shared" si="6"/>
        <v/>
      </c>
      <c r="C119" t="str">
        <f t="shared" si="7"/>
        <v/>
      </c>
      <c r="D119" t="str">
        <f t="shared" si="8"/>
        <v/>
      </c>
      <c r="E119" t="str">
        <f t="shared" si="9"/>
        <v/>
      </c>
      <c r="F119" t="str">
        <f t="shared" si="10"/>
        <v>C</v>
      </c>
      <c r="G119">
        <f t="shared" si="11"/>
        <v>4</v>
      </c>
      <c r="Q119" t="s">
        <v>299</v>
      </c>
    </row>
    <row r="120" spans="1:17" hidden="1" x14ac:dyDescent="0.25">
      <c r="A120" t="s">
        <v>355</v>
      </c>
      <c r="B120" t="str">
        <f t="shared" si="6"/>
        <v/>
      </c>
      <c r="C120" t="str">
        <f t="shared" si="7"/>
        <v/>
      </c>
      <c r="D120" t="str">
        <f t="shared" si="8"/>
        <v/>
      </c>
      <c r="E120" t="str">
        <f t="shared" si="9"/>
        <v/>
      </c>
      <c r="F120" t="str">
        <f t="shared" si="10"/>
        <v>C</v>
      </c>
      <c r="G120">
        <f t="shared" si="11"/>
        <v>4</v>
      </c>
      <c r="Q120" t="s">
        <v>481</v>
      </c>
    </row>
    <row r="121" spans="1:17" hidden="1" x14ac:dyDescent="0.25">
      <c r="A121" t="s">
        <v>356</v>
      </c>
      <c r="B121" t="str">
        <f t="shared" si="6"/>
        <v/>
      </c>
      <c r="C121" t="str">
        <f t="shared" si="7"/>
        <v/>
      </c>
      <c r="D121" t="str">
        <f t="shared" si="8"/>
        <v/>
      </c>
      <c r="E121" t="str">
        <f t="shared" si="9"/>
        <v/>
      </c>
      <c r="F121" t="str">
        <f t="shared" si="10"/>
        <v>C</v>
      </c>
      <c r="G121">
        <f t="shared" si="11"/>
        <v>4</v>
      </c>
      <c r="Q121" t="s">
        <v>329</v>
      </c>
    </row>
    <row r="122" spans="1:17" x14ac:dyDescent="0.25">
      <c r="A122" t="s">
        <v>357</v>
      </c>
      <c r="B122" t="str">
        <f t="shared" si="6"/>
        <v/>
      </c>
      <c r="C122" t="str">
        <f t="shared" si="7"/>
        <v/>
      </c>
      <c r="D122" t="str">
        <f t="shared" si="8"/>
        <v/>
      </c>
      <c r="E122" t="str">
        <f t="shared" si="9"/>
        <v>B</v>
      </c>
      <c r="F122" t="str">
        <f t="shared" si="10"/>
        <v/>
      </c>
      <c r="G122">
        <f t="shared" si="11"/>
        <v>4</v>
      </c>
      <c r="Q122" t="s">
        <v>378</v>
      </c>
    </row>
    <row r="123" spans="1:17" hidden="1" x14ac:dyDescent="0.25">
      <c r="A123" t="s">
        <v>358</v>
      </c>
      <c r="B123" t="str">
        <f t="shared" si="6"/>
        <v/>
      </c>
      <c r="C123" t="str">
        <f t="shared" si="7"/>
        <v/>
      </c>
      <c r="D123" t="str">
        <f t="shared" si="8"/>
        <v/>
      </c>
      <c r="E123" t="str">
        <f t="shared" si="9"/>
        <v/>
      </c>
      <c r="F123" t="str">
        <f t="shared" si="10"/>
        <v>C</v>
      </c>
      <c r="G123">
        <f t="shared" si="11"/>
        <v>4</v>
      </c>
      <c r="Q123" t="s">
        <v>252</v>
      </c>
    </row>
    <row r="124" spans="1:17" hidden="1" x14ac:dyDescent="0.25">
      <c r="A124" t="s">
        <v>359</v>
      </c>
      <c r="B124" t="str">
        <f t="shared" si="6"/>
        <v/>
      </c>
      <c r="C124" t="str">
        <f t="shared" si="7"/>
        <v/>
      </c>
      <c r="D124" t="str">
        <f t="shared" si="8"/>
        <v/>
      </c>
      <c r="E124" t="str">
        <f t="shared" si="9"/>
        <v/>
      </c>
      <c r="F124" t="str">
        <f t="shared" si="10"/>
        <v>C</v>
      </c>
      <c r="G124">
        <f t="shared" si="11"/>
        <v>4</v>
      </c>
      <c r="Q124" t="s">
        <v>380</v>
      </c>
    </row>
    <row r="125" spans="1:17" x14ac:dyDescent="0.25">
      <c r="A125" t="s">
        <v>360</v>
      </c>
      <c r="B125" t="str">
        <f t="shared" si="6"/>
        <v/>
      </c>
      <c r="C125" t="str">
        <f t="shared" si="7"/>
        <v/>
      </c>
      <c r="D125" t="str">
        <f t="shared" si="8"/>
        <v/>
      </c>
      <c r="E125" t="str">
        <f t="shared" si="9"/>
        <v>B</v>
      </c>
      <c r="F125" t="str">
        <f t="shared" si="10"/>
        <v/>
      </c>
      <c r="G125">
        <f t="shared" si="11"/>
        <v>4</v>
      </c>
      <c r="Q125" t="s">
        <v>424</v>
      </c>
    </row>
    <row r="126" spans="1:17" hidden="1" x14ac:dyDescent="0.25">
      <c r="A126" t="s">
        <v>361</v>
      </c>
      <c r="B126" t="str">
        <f t="shared" si="6"/>
        <v>S</v>
      </c>
      <c r="C126" t="str">
        <f t="shared" si="7"/>
        <v/>
      </c>
      <c r="D126" t="str">
        <f t="shared" si="8"/>
        <v/>
      </c>
      <c r="E126" t="str">
        <f t="shared" si="9"/>
        <v/>
      </c>
      <c r="F126" t="str">
        <f t="shared" si="10"/>
        <v/>
      </c>
      <c r="G126">
        <f t="shared" si="11"/>
        <v>4</v>
      </c>
      <c r="Q126" t="s">
        <v>366</v>
      </c>
    </row>
    <row r="127" spans="1:17" hidden="1" x14ac:dyDescent="0.25">
      <c r="A127" t="s">
        <v>362</v>
      </c>
      <c r="B127" t="str">
        <f t="shared" si="6"/>
        <v>S</v>
      </c>
      <c r="C127" t="str">
        <f t="shared" si="7"/>
        <v/>
      </c>
      <c r="D127" t="str">
        <f t="shared" si="8"/>
        <v/>
      </c>
      <c r="E127" t="str">
        <f t="shared" si="9"/>
        <v/>
      </c>
      <c r="F127" t="str">
        <f t="shared" si="10"/>
        <v/>
      </c>
      <c r="G127">
        <f t="shared" si="11"/>
        <v>4</v>
      </c>
      <c r="Q127" t="s">
        <v>328</v>
      </c>
    </row>
    <row r="128" spans="1:17" hidden="1" x14ac:dyDescent="0.25">
      <c r="A128" t="s">
        <v>363</v>
      </c>
      <c r="B128" t="str">
        <f t="shared" si="6"/>
        <v/>
      </c>
      <c r="C128" t="str">
        <f t="shared" si="7"/>
        <v/>
      </c>
      <c r="D128" t="str">
        <f t="shared" si="8"/>
        <v/>
      </c>
      <c r="E128" t="str">
        <f t="shared" si="9"/>
        <v/>
      </c>
      <c r="F128" t="str">
        <f t="shared" si="10"/>
        <v>C</v>
      </c>
      <c r="G128">
        <f t="shared" si="11"/>
        <v>4</v>
      </c>
      <c r="Q128" t="s">
        <v>284</v>
      </c>
    </row>
    <row r="129" spans="1:17" hidden="1" x14ac:dyDescent="0.25">
      <c r="A129" t="s">
        <v>364</v>
      </c>
      <c r="B129" t="str">
        <f t="shared" si="6"/>
        <v>S</v>
      </c>
      <c r="C129" t="str">
        <f t="shared" si="7"/>
        <v/>
      </c>
      <c r="D129" t="str">
        <f t="shared" si="8"/>
        <v/>
      </c>
      <c r="E129" t="str">
        <f t="shared" si="9"/>
        <v/>
      </c>
      <c r="F129" t="str">
        <f t="shared" si="10"/>
        <v/>
      </c>
      <c r="G129">
        <f t="shared" si="11"/>
        <v>4</v>
      </c>
      <c r="Q129" t="s">
        <v>398</v>
      </c>
    </row>
    <row r="130" spans="1:17" hidden="1" x14ac:dyDescent="0.25">
      <c r="A130" t="s">
        <v>365</v>
      </c>
      <c r="B130" t="str">
        <f t="shared" si="6"/>
        <v>S</v>
      </c>
      <c r="C130" t="str">
        <f t="shared" si="7"/>
        <v/>
      </c>
      <c r="D130" t="str">
        <f t="shared" si="8"/>
        <v/>
      </c>
      <c r="E130" t="str">
        <f t="shared" si="9"/>
        <v/>
      </c>
      <c r="F130" t="str">
        <f t="shared" si="10"/>
        <v/>
      </c>
      <c r="G130">
        <f t="shared" si="11"/>
        <v>4</v>
      </c>
      <c r="Q130" t="s">
        <v>312</v>
      </c>
    </row>
    <row r="131" spans="1:17" hidden="1" x14ac:dyDescent="0.25">
      <c r="A131" t="s">
        <v>366</v>
      </c>
      <c r="B131" t="str">
        <f t="shared" ref="B131:B194" si="12">IFERROR(IF(VLOOKUP($A131,Q$2:Q$175,1,FALSE)=$A131,"S",""),"")</f>
        <v>S</v>
      </c>
      <c r="C131" t="str">
        <f t="shared" ref="C131:C194" si="13">IFERROR(IF(VLOOKUP($A131,R$2:R$175,1,FALSE)=$A131,"D",""),"")</f>
        <v/>
      </c>
      <c r="D131" t="str">
        <f t="shared" ref="D131:D194" si="14">IFERROR(IF(VLOOKUP($A131,S$2:S$175,1,FALSE)=$A131,"A",""),"")</f>
        <v/>
      </c>
      <c r="E131" t="str">
        <f t="shared" ref="E131:E194" si="15">IFERROR(IF(VLOOKUP($A131,T$2:T$175,1,FALSE)=$A131,"B",""),"")</f>
        <v/>
      </c>
      <c r="F131" t="str">
        <f t="shared" ref="F131:F194" si="16">IFERROR(IF(VLOOKUP($A131,U$2:U$175,1,FALSE)=$A131,"C",""),"")</f>
        <v/>
      </c>
      <c r="G131">
        <f t="shared" ref="G131:G194" si="17">COUNTBLANK(B131:F131)</f>
        <v>4</v>
      </c>
      <c r="Q131" t="s">
        <v>379</v>
      </c>
    </row>
    <row r="132" spans="1:17" hidden="1" x14ac:dyDescent="0.25">
      <c r="A132" t="s">
        <v>367</v>
      </c>
      <c r="B132" t="str">
        <f t="shared" si="12"/>
        <v/>
      </c>
      <c r="C132" t="str">
        <f t="shared" si="13"/>
        <v/>
      </c>
      <c r="D132" t="str">
        <f t="shared" si="14"/>
        <v>A</v>
      </c>
      <c r="E132" t="str">
        <f t="shared" si="15"/>
        <v/>
      </c>
      <c r="F132" t="str">
        <f t="shared" si="16"/>
        <v/>
      </c>
      <c r="G132">
        <f t="shared" si="17"/>
        <v>4</v>
      </c>
      <c r="Q132" t="s">
        <v>321</v>
      </c>
    </row>
    <row r="133" spans="1:17" hidden="1" x14ac:dyDescent="0.25">
      <c r="A133" t="s">
        <v>368</v>
      </c>
      <c r="B133" t="str">
        <f t="shared" si="12"/>
        <v>S</v>
      </c>
      <c r="C133" t="str">
        <f t="shared" si="13"/>
        <v/>
      </c>
      <c r="D133" t="str">
        <f t="shared" si="14"/>
        <v/>
      </c>
      <c r="E133" t="str">
        <f t="shared" si="15"/>
        <v/>
      </c>
      <c r="F133" t="str">
        <f t="shared" si="16"/>
        <v/>
      </c>
      <c r="G133">
        <f t="shared" si="17"/>
        <v>4</v>
      </c>
      <c r="Q133" t="s">
        <v>314</v>
      </c>
    </row>
    <row r="134" spans="1:17" hidden="1" x14ac:dyDescent="0.25">
      <c r="A134" t="s">
        <v>369</v>
      </c>
      <c r="B134" t="str">
        <f t="shared" si="12"/>
        <v/>
      </c>
      <c r="C134" t="str">
        <f t="shared" si="13"/>
        <v/>
      </c>
      <c r="D134" t="str">
        <f t="shared" si="14"/>
        <v/>
      </c>
      <c r="E134" t="str">
        <f t="shared" si="15"/>
        <v/>
      </c>
      <c r="F134" t="str">
        <f t="shared" si="16"/>
        <v>C</v>
      </c>
      <c r="G134">
        <f t="shared" si="17"/>
        <v>4</v>
      </c>
      <c r="Q134" t="s">
        <v>402</v>
      </c>
    </row>
    <row r="135" spans="1:17" hidden="1" x14ac:dyDescent="0.25">
      <c r="A135" t="s">
        <v>370</v>
      </c>
      <c r="B135" t="str">
        <f t="shared" si="12"/>
        <v/>
      </c>
      <c r="C135" t="str">
        <f t="shared" si="13"/>
        <v/>
      </c>
      <c r="D135" t="str">
        <f t="shared" si="14"/>
        <v>A</v>
      </c>
      <c r="E135" t="str">
        <f t="shared" si="15"/>
        <v/>
      </c>
      <c r="F135" t="str">
        <f t="shared" si="16"/>
        <v/>
      </c>
      <c r="G135">
        <f t="shared" si="17"/>
        <v>4</v>
      </c>
      <c r="Q135" t="s">
        <v>315</v>
      </c>
    </row>
    <row r="136" spans="1:17" hidden="1" x14ac:dyDescent="0.25">
      <c r="A136" t="s">
        <v>371</v>
      </c>
      <c r="B136" t="str">
        <f t="shared" si="12"/>
        <v>S</v>
      </c>
      <c r="C136" t="str">
        <f t="shared" si="13"/>
        <v/>
      </c>
      <c r="D136" t="str">
        <f t="shared" si="14"/>
        <v/>
      </c>
      <c r="E136" t="str">
        <f t="shared" si="15"/>
        <v/>
      </c>
      <c r="F136" t="str">
        <f t="shared" si="16"/>
        <v/>
      </c>
      <c r="G136">
        <f t="shared" si="17"/>
        <v>4</v>
      </c>
      <c r="Q136" t="s">
        <v>467</v>
      </c>
    </row>
    <row r="137" spans="1:17" hidden="1" x14ac:dyDescent="0.25">
      <c r="A137" t="s">
        <v>372</v>
      </c>
      <c r="B137" t="str">
        <f t="shared" si="12"/>
        <v/>
      </c>
      <c r="C137" t="str">
        <f t="shared" si="13"/>
        <v>D</v>
      </c>
      <c r="D137" t="str">
        <f t="shared" si="14"/>
        <v/>
      </c>
      <c r="E137" t="str">
        <f t="shared" si="15"/>
        <v/>
      </c>
      <c r="F137" t="str">
        <f t="shared" si="16"/>
        <v/>
      </c>
      <c r="G137">
        <f t="shared" si="17"/>
        <v>4</v>
      </c>
      <c r="Q137" t="s">
        <v>456</v>
      </c>
    </row>
    <row r="138" spans="1:17" hidden="1" x14ac:dyDescent="0.25">
      <c r="A138" t="s">
        <v>373</v>
      </c>
      <c r="B138" t="str">
        <f t="shared" si="12"/>
        <v/>
      </c>
      <c r="C138" t="str">
        <f t="shared" si="13"/>
        <v/>
      </c>
      <c r="D138" t="str">
        <f t="shared" si="14"/>
        <v/>
      </c>
      <c r="E138" t="str">
        <f t="shared" si="15"/>
        <v/>
      </c>
      <c r="F138" t="str">
        <f t="shared" si="16"/>
        <v>C</v>
      </c>
      <c r="G138">
        <f t="shared" si="17"/>
        <v>4</v>
      </c>
      <c r="Q138" t="s">
        <v>353</v>
      </c>
    </row>
    <row r="139" spans="1:17" hidden="1" x14ac:dyDescent="0.25">
      <c r="A139" t="s">
        <v>374</v>
      </c>
      <c r="B139" t="str">
        <f t="shared" si="12"/>
        <v>S</v>
      </c>
      <c r="C139" t="str">
        <f t="shared" si="13"/>
        <v/>
      </c>
      <c r="D139" t="str">
        <f t="shared" si="14"/>
        <v/>
      </c>
      <c r="E139" t="str">
        <f t="shared" si="15"/>
        <v/>
      </c>
      <c r="F139" t="str">
        <f t="shared" si="16"/>
        <v/>
      </c>
      <c r="G139">
        <f t="shared" si="17"/>
        <v>4</v>
      </c>
      <c r="Q139" t="s">
        <v>400</v>
      </c>
    </row>
    <row r="140" spans="1:17" hidden="1" x14ac:dyDescent="0.25">
      <c r="A140" t="s">
        <v>375</v>
      </c>
      <c r="B140" t="str">
        <f t="shared" si="12"/>
        <v/>
      </c>
      <c r="C140" t="str">
        <f t="shared" si="13"/>
        <v/>
      </c>
      <c r="D140" t="str">
        <f t="shared" si="14"/>
        <v/>
      </c>
      <c r="E140" t="str">
        <f t="shared" si="15"/>
        <v/>
      </c>
      <c r="F140" t="str">
        <f t="shared" si="16"/>
        <v>C</v>
      </c>
      <c r="G140">
        <f t="shared" si="17"/>
        <v>4</v>
      </c>
      <c r="Q140" t="s">
        <v>324</v>
      </c>
    </row>
    <row r="141" spans="1:17" hidden="1" x14ac:dyDescent="0.25">
      <c r="A141" t="s">
        <v>376</v>
      </c>
      <c r="B141" t="str">
        <f t="shared" si="12"/>
        <v/>
      </c>
      <c r="C141" t="str">
        <f t="shared" si="13"/>
        <v/>
      </c>
      <c r="D141" t="str">
        <f t="shared" si="14"/>
        <v/>
      </c>
      <c r="E141" t="str">
        <f t="shared" si="15"/>
        <v/>
      </c>
      <c r="F141" t="str">
        <f t="shared" si="16"/>
        <v>C</v>
      </c>
      <c r="G141">
        <f t="shared" si="17"/>
        <v>4</v>
      </c>
      <c r="Q141" t="s">
        <v>362</v>
      </c>
    </row>
    <row r="142" spans="1:17" hidden="1" x14ac:dyDescent="0.25">
      <c r="A142" t="s">
        <v>377</v>
      </c>
      <c r="B142" t="str">
        <f t="shared" si="12"/>
        <v/>
      </c>
      <c r="C142" t="str">
        <f t="shared" si="13"/>
        <v/>
      </c>
      <c r="D142" t="str">
        <f t="shared" si="14"/>
        <v/>
      </c>
      <c r="E142" t="str">
        <f t="shared" si="15"/>
        <v/>
      </c>
      <c r="F142" t="str">
        <f t="shared" si="16"/>
        <v>C</v>
      </c>
      <c r="G142">
        <f t="shared" si="17"/>
        <v>4</v>
      </c>
      <c r="Q142" t="s">
        <v>255</v>
      </c>
    </row>
    <row r="143" spans="1:17" hidden="1" x14ac:dyDescent="0.25">
      <c r="A143" t="s">
        <v>378</v>
      </c>
      <c r="B143" t="str">
        <f t="shared" si="12"/>
        <v>S</v>
      </c>
      <c r="C143" t="str">
        <f t="shared" si="13"/>
        <v/>
      </c>
      <c r="D143" t="str">
        <f t="shared" si="14"/>
        <v/>
      </c>
      <c r="E143" t="str">
        <f t="shared" si="15"/>
        <v/>
      </c>
      <c r="F143" t="str">
        <f t="shared" si="16"/>
        <v/>
      </c>
      <c r="G143">
        <f t="shared" si="17"/>
        <v>4</v>
      </c>
      <c r="Q143" t="s">
        <v>529</v>
      </c>
    </row>
    <row r="144" spans="1:17" hidden="1" x14ac:dyDescent="0.25">
      <c r="A144" t="s">
        <v>379</v>
      </c>
      <c r="B144" t="str">
        <f t="shared" si="12"/>
        <v>S</v>
      </c>
      <c r="C144" t="str">
        <f t="shared" si="13"/>
        <v/>
      </c>
      <c r="D144" t="str">
        <f t="shared" si="14"/>
        <v/>
      </c>
      <c r="E144" t="str">
        <f t="shared" si="15"/>
        <v/>
      </c>
      <c r="F144" t="str">
        <f t="shared" si="16"/>
        <v/>
      </c>
      <c r="G144">
        <f t="shared" si="17"/>
        <v>4</v>
      </c>
      <c r="Q144" t="s">
        <v>406</v>
      </c>
    </row>
    <row r="145" spans="1:17" hidden="1" x14ac:dyDescent="0.25">
      <c r="A145" t="s">
        <v>380</v>
      </c>
      <c r="B145" t="str">
        <f t="shared" si="12"/>
        <v>S</v>
      </c>
      <c r="C145" t="str">
        <f t="shared" si="13"/>
        <v/>
      </c>
      <c r="D145" t="str">
        <f t="shared" si="14"/>
        <v/>
      </c>
      <c r="E145" t="str">
        <f t="shared" si="15"/>
        <v/>
      </c>
      <c r="F145" t="str">
        <f t="shared" si="16"/>
        <v/>
      </c>
      <c r="G145">
        <f t="shared" si="17"/>
        <v>4</v>
      </c>
      <c r="Q145" t="s">
        <v>517</v>
      </c>
    </row>
    <row r="146" spans="1:17" hidden="1" x14ac:dyDescent="0.25">
      <c r="A146" t="s">
        <v>381</v>
      </c>
      <c r="B146" t="str">
        <f t="shared" si="12"/>
        <v>S</v>
      </c>
      <c r="C146" t="str">
        <f t="shared" si="13"/>
        <v/>
      </c>
      <c r="D146" t="str">
        <f t="shared" si="14"/>
        <v/>
      </c>
      <c r="E146" t="str">
        <f t="shared" si="15"/>
        <v/>
      </c>
      <c r="F146" t="str">
        <f t="shared" si="16"/>
        <v/>
      </c>
      <c r="G146">
        <f t="shared" si="17"/>
        <v>4</v>
      </c>
      <c r="Q146" t="s">
        <v>327</v>
      </c>
    </row>
    <row r="147" spans="1:17" hidden="1" x14ac:dyDescent="0.25">
      <c r="A147" t="s">
        <v>382</v>
      </c>
      <c r="B147" t="str">
        <f t="shared" si="12"/>
        <v>S</v>
      </c>
      <c r="C147" t="str">
        <f t="shared" si="13"/>
        <v/>
      </c>
      <c r="D147" t="str">
        <f t="shared" si="14"/>
        <v/>
      </c>
      <c r="E147" t="str">
        <f t="shared" si="15"/>
        <v/>
      </c>
      <c r="F147" t="str">
        <f t="shared" si="16"/>
        <v/>
      </c>
      <c r="G147">
        <f t="shared" si="17"/>
        <v>4</v>
      </c>
      <c r="Q147" t="s">
        <v>445</v>
      </c>
    </row>
    <row r="148" spans="1:17" hidden="1" x14ac:dyDescent="0.25">
      <c r="A148" t="s">
        <v>383</v>
      </c>
      <c r="B148" t="str">
        <f t="shared" si="12"/>
        <v>S</v>
      </c>
      <c r="C148" t="str">
        <f t="shared" si="13"/>
        <v/>
      </c>
      <c r="D148" t="str">
        <f t="shared" si="14"/>
        <v/>
      </c>
      <c r="E148" t="str">
        <f t="shared" si="15"/>
        <v/>
      </c>
      <c r="F148" t="str">
        <f t="shared" si="16"/>
        <v/>
      </c>
      <c r="G148">
        <f t="shared" si="17"/>
        <v>4</v>
      </c>
      <c r="Q148" t="s">
        <v>322</v>
      </c>
    </row>
    <row r="149" spans="1:17" hidden="1" x14ac:dyDescent="0.25">
      <c r="A149" t="s">
        <v>384</v>
      </c>
      <c r="B149" t="str">
        <f t="shared" si="12"/>
        <v>S</v>
      </c>
      <c r="C149" t="str">
        <f t="shared" si="13"/>
        <v/>
      </c>
      <c r="D149" t="str">
        <f t="shared" si="14"/>
        <v/>
      </c>
      <c r="E149" t="str">
        <f t="shared" si="15"/>
        <v/>
      </c>
      <c r="F149" t="str">
        <f t="shared" si="16"/>
        <v/>
      </c>
      <c r="G149">
        <f t="shared" si="17"/>
        <v>4</v>
      </c>
      <c r="Q149" t="s">
        <v>444</v>
      </c>
    </row>
    <row r="150" spans="1:17" hidden="1" x14ac:dyDescent="0.25">
      <c r="A150" t="s">
        <v>385</v>
      </c>
      <c r="B150" t="str">
        <f t="shared" si="12"/>
        <v>S</v>
      </c>
      <c r="C150" t="str">
        <f t="shared" si="13"/>
        <v/>
      </c>
      <c r="D150" t="str">
        <f t="shared" si="14"/>
        <v/>
      </c>
      <c r="E150" t="str">
        <f t="shared" si="15"/>
        <v/>
      </c>
      <c r="F150" t="str">
        <f t="shared" si="16"/>
        <v/>
      </c>
      <c r="G150">
        <f t="shared" si="17"/>
        <v>4</v>
      </c>
      <c r="Q150" t="s">
        <v>533</v>
      </c>
    </row>
    <row r="151" spans="1:17" hidden="1" x14ac:dyDescent="0.25">
      <c r="A151" t="s">
        <v>386</v>
      </c>
      <c r="B151" t="str">
        <f t="shared" si="12"/>
        <v>S</v>
      </c>
      <c r="C151" t="str">
        <f t="shared" si="13"/>
        <v/>
      </c>
      <c r="D151" t="str">
        <f t="shared" si="14"/>
        <v/>
      </c>
      <c r="E151" t="str">
        <f t="shared" si="15"/>
        <v/>
      </c>
      <c r="F151" t="str">
        <f t="shared" si="16"/>
        <v/>
      </c>
      <c r="G151">
        <f t="shared" si="17"/>
        <v>4</v>
      </c>
      <c r="Q151" t="s">
        <v>416</v>
      </c>
    </row>
    <row r="152" spans="1:17" hidden="1" x14ac:dyDescent="0.25">
      <c r="A152" t="s">
        <v>387</v>
      </c>
      <c r="B152" t="str">
        <f t="shared" si="12"/>
        <v>S</v>
      </c>
      <c r="C152" t="str">
        <f t="shared" si="13"/>
        <v/>
      </c>
      <c r="D152" t="str">
        <f t="shared" si="14"/>
        <v/>
      </c>
      <c r="E152" t="str">
        <f t="shared" si="15"/>
        <v/>
      </c>
      <c r="F152" t="str">
        <f t="shared" si="16"/>
        <v/>
      </c>
      <c r="G152">
        <f t="shared" si="17"/>
        <v>4</v>
      </c>
      <c r="Q152" t="s">
        <v>527</v>
      </c>
    </row>
    <row r="153" spans="1:17" hidden="1" x14ac:dyDescent="0.25">
      <c r="A153" t="s">
        <v>388</v>
      </c>
      <c r="B153" t="str">
        <f t="shared" si="12"/>
        <v/>
      </c>
      <c r="C153" t="str">
        <f t="shared" si="13"/>
        <v/>
      </c>
      <c r="D153" t="str">
        <f t="shared" si="14"/>
        <v/>
      </c>
      <c r="E153" t="str">
        <f t="shared" si="15"/>
        <v/>
      </c>
      <c r="F153" t="str">
        <f t="shared" si="16"/>
        <v>C</v>
      </c>
      <c r="G153">
        <f t="shared" si="17"/>
        <v>4</v>
      </c>
      <c r="Q153" t="s">
        <v>326</v>
      </c>
    </row>
    <row r="154" spans="1:17" hidden="1" x14ac:dyDescent="0.25">
      <c r="A154" t="s">
        <v>389</v>
      </c>
      <c r="B154" t="str">
        <f t="shared" si="12"/>
        <v>S</v>
      </c>
      <c r="C154" t="str">
        <f t="shared" si="13"/>
        <v/>
      </c>
      <c r="D154" t="str">
        <f t="shared" si="14"/>
        <v/>
      </c>
      <c r="E154" t="str">
        <f t="shared" si="15"/>
        <v/>
      </c>
      <c r="F154" t="str">
        <f t="shared" si="16"/>
        <v/>
      </c>
      <c r="G154">
        <f t="shared" si="17"/>
        <v>4</v>
      </c>
      <c r="Q154" t="s">
        <v>526</v>
      </c>
    </row>
    <row r="155" spans="1:17" hidden="1" x14ac:dyDescent="0.25">
      <c r="A155" t="s">
        <v>390</v>
      </c>
      <c r="B155" t="str">
        <f t="shared" si="12"/>
        <v/>
      </c>
      <c r="C155" t="str">
        <f t="shared" si="13"/>
        <v/>
      </c>
      <c r="D155" t="str">
        <f t="shared" si="14"/>
        <v/>
      </c>
      <c r="E155" t="str">
        <f t="shared" si="15"/>
        <v/>
      </c>
      <c r="F155" t="str">
        <f t="shared" si="16"/>
        <v>C</v>
      </c>
      <c r="G155">
        <f t="shared" si="17"/>
        <v>4</v>
      </c>
      <c r="Q155" t="s">
        <v>323</v>
      </c>
    </row>
    <row r="156" spans="1:17" hidden="1" x14ac:dyDescent="0.25">
      <c r="A156" t="s">
        <v>391</v>
      </c>
      <c r="B156" t="str">
        <f t="shared" si="12"/>
        <v/>
      </c>
      <c r="C156" t="str">
        <f t="shared" si="13"/>
        <v/>
      </c>
      <c r="D156" t="str">
        <f t="shared" si="14"/>
        <v>A</v>
      </c>
      <c r="E156" t="str">
        <f t="shared" si="15"/>
        <v/>
      </c>
      <c r="F156" t="str">
        <f t="shared" si="16"/>
        <v/>
      </c>
      <c r="G156">
        <f t="shared" si="17"/>
        <v>4</v>
      </c>
      <c r="Q156" t="s">
        <v>365</v>
      </c>
    </row>
    <row r="157" spans="1:17" hidden="1" x14ac:dyDescent="0.25">
      <c r="A157" t="s">
        <v>392</v>
      </c>
      <c r="B157" t="str">
        <f t="shared" si="12"/>
        <v/>
      </c>
      <c r="C157" t="str">
        <f t="shared" si="13"/>
        <v/>
      </c>
      <c r="D157" t="str">
        <f t="shared" si="14"/>
        <v/>
      </c>
      <c r="E157" t="str">
        <f t="shared" si="15"/>
        <v/>
      </c>
      <c r="F157" t="str">
        <f t="shared" si="16"/>
        <v>C</v>
      </c>
      <c r="G157">
        <f t="shared" si="17"/>
        <v>4</v>
      </c>
      <c r="Q157" t="s">
        <v>374</v>
      </c>
    </row>
    <row r="158" spans="1:17" hidden="1" x14ac:dyDescent="0.25">
      <c r="A158" t="s">
        <v>393</v>
      </c>
      <c r="B158" t="str">
        <f t="shared" si="12"/>
        <v/>
      </c>
      <c r="C158" t="str">
        <f t="shared" si="13"/>
        <v>D</v>
      </c>
      <c r="D158" t="str">
        <f t="shared" si="14"/>
        <v/>
      </c>
      <c r="E158" t="str">
        <f t="shared" si="15"/>
        <v/>
      </c>
      <c r="F158" t="str">
        <f t="shared" si="16"/>
        <v/>
      </c>
      <c r="G158">
        <f t="shared" si="17"/>
        <v>4</v>
      </c>
      <c r="Q158" t="s">
        <v>403</v>
      </c>
    </row>
    <row r="159" spans="1:17" hidden="1" x14ac:dyDescent="0.25">
      <c r="A159" t="s">
        <v>394</v>
      </c>
      <c r="B159" t="str">
        <f t="shared" si="12"/>
        <v/>
      </c>
      <c r="C159" t="str">
        <f t="shared" si="13"/>
        <v/>
      </c>
      <c r="D159" t="str">
        <f t="shared" si="14"/>
        <v/>
      </c>
      <c r="E159" t="str">
        <f t="shared" si="15"/>
        <v/>
      </c>
      <c r="F159" t="str">
        <f t="shared" si="16"/>
        <v>C</v>
      </c>
      <c r="G159">
        <f t="shared" si="17"/>
        <v>4</v>
      </c>
      <c r="Q159" t="s">
        <v>260</v>
      </c>
    </row>
    <row r="160" spans="1:17" hidden="1" x14ac:dyDescent="0.25">
      <c r="A160" t="s">
        <v>395</v>
      </c>
      <c r="B160" t="str">
        <f t="shared" si="12"/>
        <v/>
      </c>
      <c r="C160" t="str">
        <f t="shared" si="13"/>
        <v/>
      </c>
      <c r="D160" t="str">
        <f t="shared" si="14"/>
        <v/>
      </c>
      <c r="E160" t="str">
        <f t="shared" si="15"/>
        <v/>
      </c>
      <c r="F160" t="str">
        <f t="shared" si="16"/>
        <v>C</v>
      </c>
      <c r="G160">
        <f t="shared" si="17"/>
        <v>4</v>
      </c>
      <c r="Q160" t="s">
        <v>442</v>
      </c>
    </row>
    <row r="161" spans="1:17" hidden="1" x14ac:dyDescent="0.25">
      <c r="A161" t="s">
        <v>396</v>
      </c>
      <c r="B161" t="str">
        <f t="shared" si="12"/>
        <v/>
      </c>
      <c r="C161" t="str">
        <f t="shared" si="13"/>
        <v>D</v>
      </c>
      <c r="D161" t="str">
        <f t="shared" si="14"/>
        <v/>
      </c>
      <c r="E161" t="str">
        <f t="shared" si="15"/>
        <v/>
      </c>
      <c r="F161" t="str">
        <f t="shared" si="16"/>
        <v/>
      </c>
      <c r="G161">
        <f t="shared" si="17"/>
        <v>4</v>
      </c>
      <c r="Q161" t="s">
        <v>286</v>
      </c>
    </row>
    <row r="162" spans="1:17" x14ac:dyDescent="0.25">
      <c r="A162" t="s">
        <v>397</v>
      </c>
      <c r="B162" t="str">
        <f t="shared" si="12"/>
        <v/>
      </c>
      <c r="C162" t="str">
        <f t="shared" si="13"/>
        <v/>
      </c>
      <c r="D162" t="str">
        <f t="shared" si="14"/>
        <v/>
      </c>
      <c r="E162" t="str">
        <f t="shared" si="15"/>
        <v>B</v>
      </c>
      <c r="F162" t="str">
        <f t="shared" si="16"/>
        <v/>
      </c>
      <c r="G162">
        <f t="shared" si="17"/>
        <v>4</v>
      </c>
      <c r="Q162" t="s">
        <v>280</v>
      </c>
    </row>
    <row r="163" spans="1:17" hidden="1" x14ac:dyDescent="0.25">
      <c r="A163" t="s">
        <v>398</v>
      </c>
      <c r="B163" t="str">
        <f t="shared" si="12"/>
        <v>S</v>
      </c>
      <c r="C163" t="str">
        <f t="shared" si="13"/>
        <v/>
      </c>
      <c r="D163" t="str">
        <f t="shared" si="14"/>
        <v/>
      </c>
      <c r="E163" t="str">
        <f t="shared" si="15"/>
        <v/>
      </c>
      <c r="F163" t="str">
        <f t="shared" si="16"/>
        <v/>
      </c>
      <c r="G163">
        <f t="shared" si="17"/>
        <v>4</v>
      </c>
      <c r="Q163" t="s">
        <v>364</v>
      </c>
    </row>
    <row r="164" spans="1:17" hidden="1" x14ac:dyDescent="0.25">
      <c r="A164" t="s">
        <v>399</v>
      </c>
      <c r="B164" t="str">
        <f t="shared" si="12"/>
        <v/>
      </c>
      <c r="C164" t="str">
        <f t="shared" si="13"/>
        <v>D</v>
      </c>
      <c r="D164" t="str">
        <f t="shared" si="14"/>
        <v/>
      </c>
      <c r="E164" t="str">
        <f t="shared" si="15"/>
        <v/>
      </c>
      <c r="F164" t="str">
        <f t="shared" si="16"/>
        <v/>
      </c>
      <c r="G164">
        <f t="shared" si="17"/>
        <v>4</v>
      </c>
      <c r="Q164" t="s">
        <v>457</v>
      </c>
    </row>
    <row r="165" spans="1:17" hidden="1" x14ac:dyDescent="0.25">
      <c r="A165" t="s">
        <v>400</v>
      </c>
      <c r="B165" t="str">
        <f t="shared" si="12"/>
        <v>S</v>
      </c>
      <c r="C165" t="str">
        <f t="shared" si="13"/>
        <v/>
      </c>
      <c r="D165" t="str">
        <f t="shared" si="14"/>
        <v/>
      </c>
      <c r="E165" t="str">
        <f t="shared" si="15"/>
        <v/>
      </c>
      <c r="F165" t="str">
        <f t="shared" si="16"/>
        <v/>
      </c>
      <c r="G165">
        <f t="shared" si="17"/>
        <v>4</v>
      </c>
      <c r="Q165" t="s">
        <v>361</v>
      </c>
    </row>
    <row r="166" spans="1:17" hidden="1" x14ac:dyDescent="0.25">
      <c r="A166" t="s">
        <v>401</v>
      </c>
      <c r="B166" t="str">
        <f t="shared" si="12"/>
        <v>S</v>
      </c>
      <c r="C166" t="str">
        <f t="shared" si="13"/>
        <v/>
      </c>
      <c r="D166" t="str">
        <f t="shared" si="14"/>
        <v/>
      </c>
      <c r="E166" t="str">
        <f t="shared" si="15"/>
        <v/>
      </c>
      <c r="F166" t="str">
        <f t="shared" si="16"/>
        <v/>
      </c>
      <c r="G166">
        <f t="shared" si="17"/>
        <v>4</v>
      </c>
      <c r="Q166" t="s">
        <v>345</v>
      </c>
    </row>
    <row r="167" spans="1:17" hidden="1" x14ac:dyDescent="0.25">
      <c r="A167" t="s">
        <v>402</v>
      </c>
      <c r="B167" t="str">
        <f t="shared" si="12"/>
        <v>S</v>
      </c>
      <c r="C167" t="str">
        <f t="shared" si="13"/>
        <v/>
      </c>
      <c r="D167" t="str">
        <f t="shared" si="14"/>
        <v/>
      </c>
      <c r="E167" t="str">
        <f t="shared" si="15"/>
        <v/>
      </c>
      <c r="F167" t="str">
        <f t="shared" si="16"/>
        <v/>
      </c>
      <c r="G167">
        <f t="shared" si="17"/>
        <v>4</v>
      </c>
      <c r="Q167" t="s">
        <v>343</v>
      </c>
    </row>
    <row r="168" spans="1:17" hidden="1" x14ac:dyDescent="0.25">
      <c r="A168" t="s">
        <v>403</v>
      </c>
      <c r="B168" t="str">
        <f t="shared" si="12"/>
        <v>S</v>
      </c>
      <c r="C168" t="str">
        <f t="shared" si="13"/>
        <v/>
      </c>
      <c r="D168" t="str">
        <f t="shared" si="14"/>
        <v/>
      </c>
      <c r="E168" t="str">
        <f t="shared" si="15"/>
        <v/>
      </c>
      <c r="F168" t="str">
        <f t="shared" si="16"/>
        <v/>
      </c>
      <c r="G168">
        <f t="shared" si="17"/>
        <v>4</v>
      </c>
      <c r="Q168" t="s">
        <v>265</v>
      </c>
    </row>
    <row r="169" spans="1:17" hidden="1" x14ac:dyDescent="0.25">
      <c r="A169" t="s">
        <v>404</v>
      </c>
      <c r="B169" t="str">
        <f t="shared" si="12"/>
        <v>S</v>
      </c>
      <c r="C169" t="str">
        <f t="shared" si="13"/>
        <v/>
      </c>
      <c r="D169" t="str">
        <f t="shared" si="14"/>
        <v/>
      </c>
      <c r="E169" t="str">
        <f t="shared" si="15"/>
        <v/>
      </c>
      <c r="F169" t="str">
        <f t="shared" si="16"/>
        <v/>
      </c>
      <c r="G169">
        <f t="shared" si="17"/>
        <v>4</v>
      </c>
      <c r="Q169" t="s">
        <v>264</v>
      </c>
    </row>
    <row r="170" spans="1:17" hidden="1" x14ac:dyDescent="0.25">
      <c r="A170" t="s">
        <v>405</v>
      </c>
      <c r="B170" t="str">
        <f t="shared" si="12"/>
        <v>S</v>
      </c>
      <c r="C170" t="str">
        <f t="shared" si="13"/>
        <v/>
      </c>
      <c r="D170" t="str">
        <f t="shared" si="14"/>
        <v/>
      </c>
      <c r="E170" t="str">
        <f t="shared" si="15"/>
        <v/>
      </c>
      <c r="F170" t="str">
        <f t="shared" si="16"/>
        <v/>
      </c>
      <c r="G170">
        <f t="shared" si="17"/>
        <v>4</v>
      </c>
      <c r="Q170" t="s">
        <v>283</v>
      </c>
    </row>
    <row r="171" spans="1:17" hidden="1" x14ac:dyDescent="0.25">
      <c r="A171" t="s">
        <v>406</v>
      </c>
      <c r="B171" t="str">
        <f t="shared" si="12"/>
        <v>S</v>
      </c>
      <c r="C171" t="str">
        <f t="shared" si="13"/>
        <v/>
      </c>
      <c r="D171" t="str">
        <f t="shared" si="14"/>
        <v/>
      </c>
      <c r="E171" t="str">
        <f t="shared" si="15"/>
        <v/>
      </c>
      <c r="F171" t="str">
        <f t="shared" si="16"/>
        <v/>
      </c>
      <c r="G171">
        <f t="shared" si="17"/>
        <v>4</v>
      </c>
      <c r="Q171" t="s">
        <v>502</v>
      </c>
    </row>
    <row r="172" spans="1:17" hidden="1" x14ac:dyDescent="0.25">
      <c r="A172" t="s">
        <v>407</v>
      </c>
      <c r="B172" t="str">
        <f t="shared" si="12"/>
        <v/>
      </c>
      <c r="C172" t="str">
        <f t="shared" si="13"/>
        <v/>
      </c>
      <c r="D172" t="str">
        <f t="shared" si="14"/>
        <v>A</v>
      </c>
      <c r="E172" t="str">
        <f t="shared" si="15"/>
        <v/>
      </c>
      <c r="F172" t="str">
        <f t="shared" si="16"/>
        <v/>
      </c>
      <c r="G172">
        <f t="shared" si="17"/>
        <v>4</v>
      </c>
      <c r="Q172" t="s">
        <v>503</v>
      </c>
    </row>
    <row r="173" spans="1:17" hidden="1" x14ac:dyDescent="0.25">
      <c r="A173" t="s">
        <v>408</v>
      </c>
      <c r="B173" t="str">
        <f t="shared" si="12"/>
        <v>S</v>
      </c>
      <c r="C173" t="str">
        <f t="shared" si="13"/>
        <v/>
      </c>
      <c r="D173" t="str">
        <f t="shared" si="14"/>
        <v/>
      </c>
      <c r="E173" t="str">
        <f t="shared" si="15"/>
        <v/>
      </c>
      <c r="F173" t="str">
        <f t="shared" si="16"/>
        <v/>
      </c>
      <c r="G173">
        <f t="shared" si="17"/>
        <v>4</v>
      </c>
      <c r="Q173" t="s">
        <v>330</v>
      </c>
    </row>
    <row r="174" spans="1:17" hidden="1" x14ac:dyDescent="0.25">
      <c r="A174" t="s">
        <v>409</v>
      </c>
      <c r="B174" t="str">
        <f t="shared" si="12"/>
        <v>S</v>
      </c>
      <c r="C174" t="str">
        <f t="shared" si="13"/>
        <v/>
      </c>
      <c r="D174" t="str">
        <f t="shared" si="14"/>
        <v/>
      </c>
      <c r="E174" t="str">
        <f t="shared" si="15"/>
        <v/>
      </c>
      <c r="F174" t="str">
        <f t="shared" si="16"/>
        <v/>
      </c>
      <c r="G174">
        <f t="shared" si="17"/>
        <v>4</v>
      </c>
      <c r="Q174" t="s">
        <v>463</v>
      </c>
    </row>
    <row r="175" spans="1:17" hidden="1" x14ac:dyDescent="0.25">
      <c r="A175" t="s">
        <v>410</v>
      </c>
      <c r="B175" t="str">
        <f t="shared" si="12"/>
        <v>S</v>
      </c>
      <c r="C175" t="str">
        <f t="shared" si="13"/>
        <v/>
      </c>
      <c r="D175" t="str">
        <f t="shared" si="14"/>
        <v/>
      </c>
      <c r="E175" t="str">
        <f t="shared" si="15"/>
        <v/>
      </c>
      <c r="F175" t="str">
        <f t="shared" si="16"/>
        <v/>
      </c>
      <c r="G175">
        <f t="shared" si="17"/>
        <v>4</v>
      </c>
      <c r="Q175" t="s">
        <v>348</v>
      </c>
    </row>
    <row r="176" spans="1:17" hidden="1" x14ac:dyDescent="0.25">
      <c r="A176" t="s">
        <v>411</v>
      </c>
      <c r="B176" t="str">
        <f t="shared" si="12"/>
        <v>S</v>
      </c>
      <c r="C176" t="str">
        <f t="shared" si="13"/>
        <v/>
      </c>
      <c r="D176" t="str">
        <f t="shared" si="14"/>
        <v/>
      </c>
      <c r="E176" t="str">
        <f t="shared" si="15"/>
        <v/>
      </c>
      <c r="F176" t="str">
        <f t="shared" si="16"/>
        <v/>
      </c>
      <c r="G176">
        <f t="shared" si="17"/>
        <v>4</v>
      </c>
    </row>
    <row r="177" spans="1:7" hidden="1" x14ac:dyDescent="0.25">
      <c r="A177" t="s">
        <v>412</v>
      </c>
      <c r="B177" t="str">
        <f t="shared" si="12"/>
        <v>S</v>
      </c>
      <c r="C177" t="str">
        <f t="shared" si="13"/>
        <v/>
      </c>
      <c r="D177" t="str">
        <f t="shared" si="14"/>
        <v/>
      </c>
      <c r="E177" t="str">
        <f t="shared" si="15"/>
        <v/>
      </c>
      <c r="F177" t="str">
        <f t="shared" si="16"/>
        <v/>
      </c>
      <c r="G177">
        <f t="shared" si="17"/>
        <v>4</v>
      </c>
    </row>
    <row r="178" spans="1:7" hidden="1" x14ac:dyDescent="0.25">
      <c r="A178" t="s">
        <v>413</v>
      </c>
      <c r="B178" t="str">
        <f t="shared" si="12"/>
        <v/>
      </c>
      <c r="C178" t="str">
        <f t="shared" si="13"/>
        <v/>
      </c>
      <c r="D178" t="str">
        <f t="shared" si="14"/>
        <v/>
      </c>
      <c r="E178" t="str">
        <f t="shared" si="15"/>
        <v/>
      </c>
      <c r="F178" t="str">
        <f t="shared" si="16"/>
        <v>C</v>
      </c>
      <c r="G178">
        <f t="shared" si="17"/>
        <v>4</v>
      </c>
    </row>
    <row r="179" spans="1:7" hidden="1" x14ac:dyDescent="0.25">
      <c r="A179" t="s">
        <v>414</v>
      </c>
      <c r="B179" t="str">
        <f t="shared" si="12"/>
        <v/>
      </c>
      <c r="C179" t="str">
        <f t="shared" si="13"/>
        <v/>
      </c>
      <c r="D179" t="str">
        <f t="shared" si="14"/>
        <v>A</v>
      </c>
      <c r="E179" t="str">
        <f t="shared" si="15"/>
        <v/>
      </c>
      <c r="F179" t="str">
        <f t="shared" si="16"/>
        <v/>
      </c>
      <c r="G179">
        <f t="shared" si="17"/>
        <v>4</v>
      </c>
    </row>
    <row r="180" spans="1:7" hidden="1" x14ac:dyDescent="0.25">
      <c r="A180" t="s">
        <v>415</v>
      </c>
      <c r="B180" t="str">
        <f t="shared" si="12"/>
        <v>S</v>
      </c>
      <c r="C180" t="str">
        <f t="shared" si="13"/>
        <v/>
      </c>
      <c r="D180" t="str">
        <f t="shared" si="14"/>
        <v/>
      </c>
      <c r="E180" t="str">
        <f t="shared" si="15"/>
        <v/>
      </c>
      <c r="F180" t="str">
        <f t="shared" si="16"/>
        <v/>
      </c>
      <c r="G180">
        <f t="shared" si="17"/>
        <v>4</v>
      </c>
    </row>
    <row r="181" spans="1:7" hidden="1" x14ac:dyDescent="0.25">
      <c r="A181" t="s">
        <v>416</v>
      </c>
      <c r="B181" t="str">
        <f t="shared" si="12"/>
        <v>S</v>
      </c>
      <c r="C181" t="str">
        <f t="shared" si="13"/>
        <v/>
      </c>
      <c r="D181" t="str">
        <f t="shared" si="14"/>
        <v/>
      </c>
      <c r="E181" t="str">
        <f t="shared" si="15"/>
        <v/>
      </c>
      <c r="F181" t="str">
        <f t="shared" si="16"/>
        <v/>
      </c>
      <c r="G181">
        <f t="shared" si="17"/>
        <v>4</v>
      </c>
    </row>
    <row r="182" spans="1:7" hidden="1" x14ac:dyDescent="0.25">
      <c r="A182" t="s">
        <v>417</v>
      </c>
      <c r="B182" t="str">
        <f t="shared" si="12"/>
        <v/>
      </c>
      <c r="C182" t="str">
        <f t="shared" si="13"/>
        <v/>
      </c>
      <c r="D182" t="str">
        <f t="shared" si="14"/>
        <v/>
      </c>
      <c r="E182" t="str">
        <f t="shared" si="15"/>
        <v/>
      </c>
      <c r="F182" t="str">
        <f t="shared" si="16"/>
        <v>C</v>
      </c>
      <c r="G182">
        <f t="shared" si="17"/>
        <v>4</v>
      </c>
    </row>
    <row r="183" spans="1:7" hidden="1" x14ac:dyDescent="0.25">
      <c r="A183" t="s">
        <v>418</v>
      </c>
      <c r="B183" t="str">
        <f t="shared" si="12"/>
        <v/>
      </c>
      <c r="C183" t="str">
        <f t="shared" si="13"/>
        <v/>
      </c>
      <c r="D183" t="str">
        <f t="shared" si="14"/>
        <v>A</v>
      </c>
      <c r="E183" t="str">
        <f t="shared" si="15"/>
        <v/>
      </c>
      <c r="F183" t="str">
        <f t="shared" si="16"/>
        <v/>
      </c>
      <c r="G183">
        <f t="shared" si="17"/>
        <v>4</v>
      </c>
    </row>
    <row r="184" spans="1:7" hidden="1" x14ac:dyDescent="0.25">
      <c r="A184" t="s">
        <v>419</v>
      </c>
      <c r="B184" t="str">
        <f t="shared" si="12"/>
        <v/>
      </c>
      <c r="C184" t="str">
        <f t="shared" si="13"/>
        <v/>
      </c>
      <c r="D184" t="str">
        <f t="shared" si="14"/>
        <v/>
      </c>
      <c r="E184" t="str">
        <f t="shared" si="15"/>
        <v/>
      </c>
      <c r="F184" t="str">
        <f t="shared" si="16"/>
        <v>C</v>
      </c>
      <c r="G184">
        <f t="shared" si="17"/>
        <v>4</v>
      </c>
    </row>
    <row r="185" spans="1:7" x14ac:dyDescent="0.25">
      <c r="A185" t="s">
        <v>420</v>
      </c>
      <c r="B185" t="str">
        <f t="shared" si="12"/>
        <v/>
      </c>
      <c r="C185" t="str">
        <f t="shared" si="13"/>
        <v/>
      </c>
      <c r="D185" t="str">
        <f t="shared" si="14"/>
        <v/>
      </c>
      <c r="E185" t="str">
        <f t="shared" si="15"/>
        <v>B</v>
      </c>
      <c r="F185" t="str">
        <f t="shared" si="16"/>
        <v/>
      </c>
      <c r="G185">
        <f t="shared" si="17"/>
        <v>4</v>
      </c>
    </row>
    <row r="186" spans="1:7" hidden="1" x14ac:dyDescent="0.25">
      <c r="A186" t="s">
        <v>421</v>
      </c>
      <c r="B186" t="str">
        <f t="shared" si="12"/>
        <v/>
      </c>
      <c r="C186" t="str">
        <f t="shared" si="13"/>
        <v/>
      </c>
      <c r="D186" t="str">
        <f t="shared" si="14"/>
        <v/>
      </c>
      <c r="E186" t="str">
        <f t="shared" si="15"/>
        <v/>
      </c>
      <c r="F186" t="str">
        <f t="shared" si="16"/>
        <v>C</v>
      </c>
      <c r="G186">
        <f t="shared" si="17"/>
        <v>4</v>
      </c>
    </row>
    <row r="187" spans="1:7" hidden="1" x14ac:dyDescent="0.25">
      <c r="A187" t="s">
        <v>422</v>
      </c>
      <c r="B187" t="str">
        <f t="shared" si="12"/>
        <v/>
      </c>
      <c r="C187" t="str">
        <f t="shared" si="13"/>
        <v/>
      </c>
      <c r="D187" t="str">
        <f t="shared" si="14"/>
        <v>A</v>
      </c>
      <c r="E187" t="str">
        <f t="shared" si="15"/>
        <v/>
      </c>
      <c r="F187" t="str">
        <f t="shared" si="16"/>
        <v/>
      </c>
      <c r="G187">
        <f t="shared" si="17"/>
        <v>4</v>
      </c>
    </row>
    <row r="188" spans="1:7" hidden="1" x14ac:dyDescent="0.25">
      <c r="A188" t="s">
        <v>423</v>
      </c>
      <c r="B188" t="str">
        <f t="shared" si="12"/>
        <v>S</v>
      </c>
      <c r="C188" t="str">
        <f t="shared" si="13"/>
        <v/>
      </c>
      <c r="D188" t="str">
        <f t="shared" si="14"/>
        <v/>
      </c>
      <c r="E188" t="str">
        <f t="shared" si="15"/>
        <v/>
      </c>
      <c r="F188" t="str">
        <f t="shared" si="16"/>
        <v/>
      </c>
      <c r="G188">
        <f t="shared" si="17"/>
        <v>4</v>
      </c>
    </row>
    <row r="189" spans="1:7" hidden="1" x14ac:dyDescent="0.25">
      <c r="A189" t="s">
        <v>424</v>
      </c>
      <c r="B189" t="str">
        <f t="shared" si="12"/>
        <v>S</v>
      </c>
      <c r="C189" t="str">
        <f t="shared" si="13"/>
        <v/>
      </c>
      <c r="D189" t="str">
        <f t="shared" si="14"/>
        <v/>
      </c>
      <c r="E189" t="str">
        <f t="shared" si="15"/>
        <v/>
      </c>
      <c r="F189" t="str">
        <f t="shared" si="16"/>
        <v/>
      </c>
      <c r="G189">
        <f t="shared" si="17"/>
        <v>4</v>
      </c>
    </row>
    <row r="190" spans="1:7" hidden="1" x14ac:dyDescent="0.25">
      <c r="A190" t="s">
        <v>425</v>
      </c>
      <c r="B190" t="str">
        <f t="shared" si="12"/>
        <v>S</v>
      </c>
      <c r="C190" t="str">
        <f t="shared" si="13"/>
        <v/>
      </c>
      <c r="D190" t="str">
        <f t="shared" si="14"/>
        <v/>
      </c>
      <c r="E190" t="str">
        <f t="shared" si="15"/>
        <v/>
      </c>
      <c r="F190" t="str">
        <f t="shared" si="16"/>
        <v/>
      </c>
      <c r="G190">
        <f t="shared" si="17"/>
        <v>4</v>
      </c>
    </row>
    <row r="191" spans="1:7" hidden="1" x14ac:dyDescent="0.25">
      <c r="A191" t="s">
        <v>426</v>
      </c>
      <c r="B191" t="str">
        <f t="shared" si="12"/>
        <v/>
      </c>
      <c r="C191" t="str">
        <f t="shared" si="13"/>
        <v/>
      </c>
      <c r="D191" t="str">
        <f t="shared" si="14"/>
        <v>A</v>
      </c>
      <c r="E191" t="str">
        <f t="shared" si="15"/>
        <v/>
      </c>
      <c r="F191" t="str">
        <f t="shared" si="16"/>
        <v/>
      </c>
      <c r="G191">
        <f t="shared" si="17"/>
        <v>4</v>
      </c>
    </row>
    <row r="192" spans="1:7" hidden="1" x14ac:dyDescent="0.25">
      <c r="A192" t="s">
        <v>427</v>
      </c>
      <c r="B192" t="str">
        <f t="shared" si="12"/>
        <v>S</v>
      </c>
      <c r="C192" t="str">
        <f t="shared" si="13"/>
        <v/>
      </c>
      <c r="D192" t="str">
        <f t="shared" si="14"/>
        <v/>
      </c>
      <c r="E192" t="str">
        <f t="shared" si="15"/>
        <v/>
      </c>
      <c r="F192" t="str">
        <f t="shared" si="16"/>
        <v/>
      </c>
      <c r="G192">
        <f t="shared" si="17"/>
        <v>4</v>
      </c>
    </row>
    <row r="193" spans="1:7" hidden="1" x14ac:dyDescent="0.25">
      <c r="A193" t="s">
        <v>428</v>
      </c>
      <c r="B193" t="str">
        <f t="shared" si="12"/>
        <v>S</v>
      </c>
      <c r="C193" t="str">
        <f t="shared" si="13"/>
        <v/>
      </c>
      <c r="D193" t="str">
        <f t="shared" si="14"/>
        <v/>
      </c>
      <c r="E193" t="str">
        <f t="shared" si="15"/>
        <v/>
      </c>
      <c r="F193" t="str">
        <f t="shared" si="16"/>
        <v/>
      </c>
      <c r="G193">
        <f t="shared" si="17"/>
        <v>4</v>
      </c>
    </row>
    <row r="194" spans="1:7" hidden="1" x14ac:dyDescent="0.25">
      <c r="A194" t="s">
        <v>429</v>
      </c>
      <c r="B194" t="str">
        <f t="shared" si="12"/>
        <v/>
      </c>
      <c r="C194" t="str">
        <f t="shared" si="13"/>
        <v/>
      </c>
      <c r="D194" t="str">
        <f t="shared" si="14"/>
        <v>A</v>
      </c>
      <c r="E194" t="str">
        <f t="shared" si="15"/>
        <v/>
      </c>
      <c r="F194" t="str">
        <f t="shared" si="16"/>
        <v/>
      </c>
      <c r="G194">
        <f t="shared" si="17"/>
        <v>4</v>
      </c>
    </row>
    <row r="195" spans="1:7" hidden="1" x14ac:dyDescent="0.25">
      <c r="A195" t="s">
        <v>430</v>
      </c>
      <c r="B195" t="str">
        <f t="shared" ref="B195:B258" si="18">IFERROR(IF(VLOOKUP($A195,Q$2:Q$175,1,FALSE)=$A195,"S",""),"")</f>
        <v>S</v>
      </c>
      <c r="C195" t="str">
        <f t="shared" ref="C195:C258" si="19">IFERROR(IF(VLOOKUP($A195,R$2:R$175,1,FALSE)=$A195,"D",""),"")</f>
        <v/>
      </c>
      <c r="D195" t="str">
        <f t="shared" ref="D195:D258" si="20">IFERROR(IF(VLOOKUP($A195,S$2:S$175,1,FALSE)=$A195,"A",""),"")</f>
        <v/>
      </c>
      <c r="E195" t="str">
        <f t="shared" ref="E195:E258" si="21">IFERROR(IF(VLOOKUP($A195,T$2:T$175,1,FALSE)=$A195,"B",""),"")</f>
        <v/>
      </c>
      <c r="F195" t="str">
        <f t="shared" ref="F195:F258" si="22">IFERROR(IF(VLOOKUP($A195,U$2:U$175,1,FALSE)=$A195,"C",""),"")</f>
        <v/>
      </c>
      <c r="G195">
        <f t="shared" ref="G195:G258" si="23">COUNTBLANK(B195:F195)</f>
        <v>4</v>
      </c>
    </row>
    <row r="196" spans="1:7" hidden="1" x14ac:dyDescent="0.25">
      <c r="A196" t="s">
        <v>431</v>
      </c>
      <c r="B196" t="str">
        <f t="shared" si="18"/>
        <v>S</v>
      </c>
      <c r="C196" t="str">
        <f t="shared" si="19"/>
        <v/>
      </c>
      <c r="D196" t="str">
        <f t="shared" si="20"/>
        <v/>
      </c>
      <c r="E196" t="str">
        <f t="shared" si="21"/>
        <v/>
      </c>
      <c r="F196" t="str">
        <f t="shared" si="22"/>
        <v/>
      </c>
      <c r="G196">
        <f t="shared" si="23"/>
        <v>4</v>
      </c>
    </row>
    <row r="197" spans="1:7" hidden="1" x14ac:dyDescent="0.25">
      <c r="A197" t="s">
        <v>432</v>
      </c>
      <c r="B197" t="str">
        <f t="shared" si="18"/>
        <v>S</v>
      </c>
      <c r="C197" t="str">
        <f t="shared" si="19"/>
        <v/>
      </c>
      <c r="D197" t="str">
        <f t="shared" si="20"/>
        <v/>
      </c>
      <c r="E197" t="str">
        <f t="shared" si="21"/>
        <v/>
      </c>
      <c r="F197" t="str">
        <f t="shared" si="22"/>
        <v/>
      </c>
      <c r="G197">
        <f t="shared" si="23"/>
        <v>4</v>
      </c>
    </row>
    <row r="198" spans="1:7" hidden="1" x14ac:dyDescent="0.25">
      <c r="A198" t="s">
        <v>433</v>
      </c>
      <c r="B198" t="str">
        <f t="shared" si="18"/>
        <v>S</v>
      </c>
      <c r="C198" t="str">
        <f t="shared" si="19"/>
        <v/>
      </c>
      <c r="D198" t="str">
        <f t="shared" si="20"/>
        <v/>
      </c>
      <c r="E198" t="str">
        <f t="shared" si="21"/>
        <v/>
      </c>
      <c r="F198" t="str">
        <f t="shared" si="22"/>
        <v/>
      </c>
      <c r="G198">
        <f t="shared" si="23"/>
        <v>4</v>
      </c>
    </row>
    <row r="199" spans="1:7" hidden="1" x14ac:dyDescent="0.25">
      <c r="A199" t="s">
        <v>434</v>
      </c>
      <c r="B199" t="str">
        <f t="shared" si="18"/>
        <v>S</v>
      </c>
      <c r="C199" t="str">
        <f t="shared" si="19"/>
        <v/>
      </c>
      <c r="D199" t="str">
        <f t="shared" si="20"/>
        <v/>
      </c>
      <c r="E199" t="str">
        <f t="shared" si="21"/>
        <v/>
      </c>
      <c r="F199" t="str">
        <f t="shared" si="22"/>
        <v/>
      </c>
      <c r="G199">
        <f t="shared" si="23"/>
        <v>4</v>
      </c>
    </row>
    <row r="200" spans="1:7" hidden="1" x14ac:dyDescent="0.25">
      <c r="A200" t="s">
        <v>435</v>
      </c>
      <c r="B200" t="str">
        <f t="shared" si="18"/>
        <v/>
      </c>
      <c r="C200" t="str">
        <f t="shared" si="19"/>
        <v/>
      </c>
      <c r="D200" t="str">
        <f t="shared" si="20"/>
        <v>A</v>
      </c>
      <c r="E200" t="str">
        <f t="shared" si="21"/>
        <v/>
      </c>
      <c r="F200" t="str">
        <f t="shared" si="22"/>
        <v/>
      </c>
      <c r="G200">
        <f t="shared" si="23"/>
        <v>4</v>
      </c>
    </row>
    <row r="201" spans="1:7" hidden="1" x14ac:dyDescent="0.25">
      <c r="A201" t="s">
        <v>436</v>
      </c>
      <c r="B201" t="str">
        <f t="shared" si="18"/>
        <v/>
      </c>
      <c r="C201" t="str">
        <f t="shared" si="19"/>
        <v/>
      </c>
      <c r="D201" t="str">
        <f t="shared" si="20"/>
        <v/>
      </c>
      <c r="E201" t="str">
        <f t="shared" si="21"/>
        <v/>
      </c>
      <c r="F201" t="str">
        <f t="shared" si="22"/>
        <v>C</v>
      </c>
      <c r="G201">
        <f t="shared" si="23"/>
        <v>4</v>
      </c>
    </row>
    <row r="202" spans="1:7" hidden="1" x14ac:dyDescent="0.25">
      <c r="A202" t="s">
        <v>437</v>
      </c>
      <c r="B202" t="str">
        <f t="shared" si="18"/>
        <v/>
      </c>
      <c r="C202" t="str">
        <f t="shared" si="19"/>
        <v/>
      </c>
      <c r="D202" t="str">
        <f t="shared" si="20"/>
        <v/>
      </c>
      <c r="E202" t="str">
        <f t="shared" si="21"/>
        <v/>
      </c>
      <c r="F202" t="str">
        <f t="shared" si="22"/>
        <v>C</v>
      </c>
      <c r="G202">
        <f t="shared" si="23"/>
        <v>4</v>
      </c>
    </row>
    <row r="203" spans="1:7" hidden="1" x14ac:dyDescent="0.25">
      <c r="A203" t="s">
        <v>438</v>
      </c>
      <c r="B203" t="str">
        <f t="shared" si="18"/>
        <v/>
      </c>
      <c r="C203" t="str">
        <f t="shared" si="19"/>
        <v/>
      </c>
      <c r="D203" t="str">
        <f t="shared" si="20"/>
        <v/>
      </c>
      <c r="E203" t="str">
        <f t="shared" si="21"/>
        <v/>
      </c>
      <c r="F203" t="str">
        <f t="shared" si="22"/>
        <v>C</v>
      </c>
      <c r="G203">
        <f t="shared" si="23"/>
        <v>4</v>
      </c>
    </row>
    <row r="204" spans="1:7" hidden="1" x14ac:dyDescent="0.25">
      <c r="A204" t="s">
        <v>439</v>
      </c>
      <c r="B204" t="str">
        <f t="shared" si="18"/>
        <v/>
      </c>
      <c r="C204" t="str">
        <f t="shared" si="19"/>
        <v/>
      </c>
      <c r="D204" t="str">
        <f t="shared" si="20"/>
        <v/>
      </c>
      <c r="E204" t="str">
        <f t="shared" si="21"/>
        <v/>
      </c>
      <c r="F204" t="str">
        <f t="shared" si="22"/>
        <v>C</v>
      </c>
      <c r="G204">
        <f t="shared" si="23"/>
        <v>4</v>
      </c>
    </row>
    <row r="205" spans="1:7" hidden="1" x14ac:dyDescent="0.25">
      <c r="A205" t="s">
        <v>440</v>
      </c>
      <c r="B205" t="str">
        <f t="shared" si="18"/>
        <v/>
      </c>
      <c r="C205" t="str">
        <f t="shared" si="19"/>
        <v/>
      </c>
      <c r="D205" t="str">
        <f t="shared" si="20"/>
        <v/>
      </c>
      <c r="E205" t="str">
        <f t="shared" si="21"/>
        <v/>
      </c>
      <c r="F205" t="str">
        <f t="shared" si="22"/>
        <v>C</v>
      </c>
      <c r="G205">
        <f t="shared" si="23"/>
        <v>4</v>
      </c>
    </row>
    <row r="206" spans="1:7" hidden="1" x14ac:dyDescent="0.25">
      <c r="A206" t="s">
        <v>441</v>
      </c>
      <c r="B206" t="str">
        <f t="shared" si="18"/>
        <v/>
      </c>
      <c r="C206" t="str">
        <f t="shared" si="19"/>
        <v/>
      </c>
      <c r="D206" t="str">
        <f t="shared" si="20"/>
        <v/>
      </c>
      <c r="E206" t="str">
        <f t="shared" si="21"/>
        <v/>
      </c>
      <c r="F206" t="str">
        <f t="shared" si="22"/>
        <v>C</v>
      </c>
      <c r="G206">
        <f t="shared" si="23"/>
        <v>4</v>
      </c>
    </row>
    <row r="207" spans="1:7" hidden="1" x14ac:dyDescent="0.25">
      <c r="A207" t="s">
        <v>442</v>
      </c>
      <c r="B207" t="str">
        <f t="shared" si="18"/>
        <v>S</v>
      </c>
      <c r="C207" t="str">
        <f t="shared" si="19"/>
        <v/>
      </c>
      <c r="D207" t="str">
        <f t="shared" si="20"/>
        <v/>
      </c>
      <c r="E207" t="str">
        <f t="shared" si="21"/>
        <v/>
      </c>
      <c r="F207" t="str">
        <f t="shared" si="22"/>
        <v/>
      </c>
      <c r="G207">
        <f t="shared" si="23"/>
        <v>4</v>
      </c>
    </row>
    <row r="208" spans="1:7" hidden="1" x14ac:dyDescent="0.25">
      <c r="A208" t="s">
        <v>443</v>
      </c>
      <c r="B208" t="str">
        <f t="shared" si="18"/>
        <v/>
      </c>
      <c r="C208" t="str">
        <f t="shared" si="19"/>
        <v/>
      </c>
      <c r="D208" t="str">
        <f t="shared" si="20"/>
        <v/>
      </c>
      <c r="E208" t="str">
        <f t="shared" si="21"/>
        <v/>
      </c>
      <c r="F208" t="str">
        <f t="shared" si="22"/>
        <v>C</v>
      </c>
      <c r="G208">
        <f t="shared" si="23"/>
        <v>4</v>
      </c>
    </row>
    <row r="209" spans="1:7" hidden="1" x14ac:dyDescent="0.25">
      <c r="A209" t="s">
        <v>444</v>
      </c>
      <c r="B209" t="str">
        <f t="shared" si="18"/>
        <v>S</v>
      </c>
      <c r="C209" t="str">
        <f t="shared" si="19"/>
        <v/>
      </c>
      <c r="D209" t="str">
        <f t="shared" si="20"/>
        <v/>
      </c>
      <c r="E209" t="str">
        <f t="shared" si="21"/>
        <v/>
      </c>
      <c r="F209" t="str">
        <f t="shared" si="22"/>
        <v/>
      </c>
      <c r="G209">
        <f t="shared" si="23"/>
        <v>4</v>
      </c>
    </row>
    <row r="210" spans="1:7" hidden="1" x14ac:dyDescent="0.25">
      <c r="A210" t="s">
        <v>445</v>
      </c>
      <c r="B210" t="str">
        <f t="shared" si="18"/>
        <v>S</v>
      </c>
      <c r="C210" t="str">
        <f t="shared" si="19"/>
        <v/>
      </c>
      <c r="D210" t="str">
        <f t="shared" si="20"/>
        <v/>
      </c>
      <c r="E210" t="str">
        <f t="shared" si="21"/>
        <v/>
      </c>
      <c r="F210" t="str">
        <f t="shared" si="22"/>
        <v/>
      </c>
      <c r="G210">
        <f t="shared" si="23"/>
        <v>4</v>
      </c>
    </row>
    <row r="211" spans="1:7" x14ac:dyDescent="0.25">
      <c r="A211" t="s">
        <v>446</v>
      </c>
      <c r="B211" t="str">
        <f t="shared" si="18"/>
        <v/>
      </c>
      <c r="C211" t="str">
        <f t="shared" si="19"/>
        <v/>
      </c>
      <c r="D211" t="str">
        <f t="shared" si="20"/>
        <v/>
      </c>
      <c r="E211" t="str">
        <f t="shared" si="21"/>
        <v>B</v>
      </c>
      <c r="F211" t="str">
        <f t="shared" si="22"/>
        <v/>
      </c>
      <c r="G211">
        <f t="shared" si="23"/>
        <v>4</v>
      </c>
    </row>
    <row r="212" spans="1:7" hidden="1" x14ac:dyDescent="0.25">
      <c r="A212" t="s">
        <v>447</v>
      </c>
      <c r="B212" t="str">
        <f t="shared" si="18"/>
        <v/>
      </c>
      <c r="C212" t="str">
        <f t="shared" si="19"/>
        <v/>
      </c>
      <c r="D212" t="str">
        <f t="shared" si="20"/>
        <v>A</v>
      </c>
      <c r="E212" t="str">
        <f t="shared" si="21"/>
        <v/>
      </c>
      <c r="F212" t="str">
        <f t="shared" si="22"/>
        <v/>
      </c>
      <c r="G212">
        <f t="shared" si="23"/>
        <v>4</v>
      </c>
    </row>
    <row r="213" spans="1:7" hidden="1" x14ac:dyDescent="0.25">
      <c r="A213" t="s">
        <v>448</v>
      </c>
      <c r="B213" t="str">
        <f t="shared" si="18"/>
        <v>S</v>
      </c>
      <c r="C213" t="str">
        <f t="shared" si="19"/>
        <v/>
      </c>
      <c r="D213" t="str">
        <f t="shared" si="20"/>
        <v/>
      </c>
      <c r="E213" t="str">
        <f t="shared" si="21"/>
        <v/>
      </c>
      <c r="F213" t="str">
        <f t="shared" si="22"/>
        <v/>
      </c>
      <c r="G213">
        <f t="shared" si="23"/>
        <v>4</v>
      </c>
    </row>
    <row r="214" spans="1:7" hidden="1" x14ac:dyDescent="0.25">
      <c r="A214" t="s">
        <v>449</v>
      </c>
      <c r="B214" t="str">
        <f t="shared" si="18"/>
        <v>S</v>
      </c>
      <c r="C214" t="str">
        <f t="shared" si="19"/>
        <v/>
      </c>
      <c r="D214" t="str">
        <f t="shared" si="20"/>
        <v/>
      </c>
      <c r="E214" t="str">
        <f t="shared" si="21"/>
        <v/>
      </c>
      <c r="F214" t="str">
        <f t="shared" si="22"/>
        <v/>
      </c>
      <c r="G214">
        <f t="shared" si="23"/>
        <v>4</v>
      </c>
    </row>
    <row r="215" spans="1:7" hidden="1" x14ac:dyDescent="0.25">
      <c r="A215" t="s">
        <v>450</v>
      </c>
      <c r="B215" t="str">
        <f t="shared" si="18"/>
        <v/>
      </c>
      <c r="C215" t="str">
        <f t="shared" si="19"/>
        <v/>
      </c>
      <c r="D215" t="str">
        <f t="shared" si="20"/>
        <v/>
      </c>
      <c r="E215" t="str">
        <f t="shared" si="21"/>
        <v/>
      </c>
      <c r="F215" t="str">
        <f t="shared" si="22"/>
        <v>C</v>
      </c>
      <c r="G215">
        <f t="shared" si="23"/>
        <v>4</v>
      </c>
    </row>
    <row r="216" spans="1:7" hidden="1" x14ac:dyDescent="0.25">
      <c r="A216" t="s">
        <v>451</v>
      </c>
      <c r="B216" t="str">
        <f t="shared" si="18"/>
        <v/>
      </c>
      <c r="C216" t="str">
        <f t="shared" si="19"/>
        <v/>
      </c>
      <c r="D216" t="str">
        <f t="shared" si="20"/>
        <v/>
      </c>
      <c r="E216" t="str">
        <f t="shared" si="21"/>
        <v/>
      </c>
      <c r="F216" t="str">
        <f t="shared" si="22"/>
        <v>C</v>
      </c>
      <c r="G216">
        <f t="shared" si="23"/>
        <v>4</v>
      </c>
    </row>
    <row r="217" spans="1:7" hidden="1" x14ac:dyDescent="0.25">
      <c r="A217" t="s">
        <v>452</v>
      </c>
      <c r="B217" t="str">
        <f t="shared" si="18"/>
        <v>S</v>
      </c>
      <c r="C217" t="str">
        <f t="shared" si="19"/>
        <v/>
      </c>
      <c r="D217" t="str">
        <f t="shared" si="20"/>
        <v/>
      </c>
      <c r="E217" t="str">
        <f t="shared" si="21"/>
        <v/>
      </c>
      <c r="F217" t="str">
        <f t="shared" si="22"/>
        <v/>
      </c>
      <c r="G217">
        <f t="shared" si="23"/>
        <v>4</v>
      </c>
    </row>
    <row r="218" spans="1:7" hidden="1" x14ac:dyDescent="0.25">
      <c r="A218" t="s">
        <v>453</v>
      </c>
      <c r="B218" t="str">
        <f t="shared" si="18"/>
        <v>S</v>
      </c>
      <c r="C218" t="str">
        <f t="shared" si="19"/>
        <v/>
      </c>
      <c r="D218" t="str">
        <f t="shared" si="20"/>
        <v/>
      </c>
      <c r="E218" t="str">
        <f t="shared" si="21"/>
        <v/>
      </c>
      <c r="F218" t="str">
        <f t="shared" si="22"/>
        <v/>
      </c>
      <c r="G218">
        <f t="shared" si="23"/>
        <v>4</v>
      </c>
    </row>
    <row r="219" spans="1:7" hidden="1" x14ac:dyDescent="0.25">
      <c r="A219" t="s">
        <v>454</v>
      </c>
      <c r="B219" t="str">
        <f t="shared" si="18"/>
        <v/>
      </c>
      <c r="C219" t="str">
        <f t="shared" si="19"/>
        <v/>
      </c>
      <c r="D219" t="str">
        <f t="shared" si="20"/>
        <v/>
      </c>
      <c r="E219" t="str">
        <f t="shared" si="21"/>
        <v/>
      </c>
      <c r="F219" t="str">
        <f t="shared" si="22"/>
        <v>C</v>
      </c>
      <c r="G219">
        <f t="shared" si="23"/>
        <v>4</v>
      </c>
    </row>
    <row r="220" spans="1:7" hidden="1" x14ac:dyDescent="0.25">
      <c r="A220" t="s">
        <v>455</v>
      </c>
      <c r="B220" t="str">
        <f t="shared" si="18"/>
        <v/>
      </c>
      <c r="C220" t="str">
        <f t="shared" si="19"/>
        <v/>
      </c>
      <c r="D220" t="str">
        <f t="shared" si="20"/>
        <v/>
      </c>
      <c r="E220" t="str">
        <f t="shared" si="21"/>
        <v/>
      </c>
      <c r="F220" t="str">
        <f t="shared" si="22"/>
        <v>C</v>
      </c>
      <c r="G220">
        <f t="shared" si="23"/>
        <v>4</v>
      </c>
    </row>
    <row r="221" spans="1:7" hidden="1" x14ac:dyDescent="0.25">
      <c r="A221" t="s">
        <v>456</v>
      </c>
      <c r="B221" t="str">
        <f t="shared" si="18"/>
        <v>S</v>
      </c>
      <c r="C221" t="str">
        <f t="shared" si="19"/>
        <v/>
      </c>
      <c r="D221" t="str">
        <f t="shared" si="20"/>
        <v/>
      </c>
      <c r="E221" t="str">
        <f t="shared" si="21"/>
        <v/>
      </c>
      <c r="F221" t="str">
        <f t="shared" si="22"/>
        <v/>
      </c>
      <c r="G221">
        <f t="shared" si="23"/>
        <v>4</v>
      </c>
    </row>
    <row r="222" spans="1:7" hidden="1" x14ac:dyDescent="0.25">
      <c r="A222" t="s">
        <v>457</v>
      </c>
      <c r="B222" t="str">
        <f t="shared" si="18"/>
        <v>S</v>
      </c>
      <c r="C222" t="str">
        <f t="shared" si="19"/>
        <v/>
      </c>
      <c r="D222" t="str">
        <f t="shared" si="20"/>
        <v/>
      </c>
      <c r="E222" t="str">
        <f t="shared" si="21"/>
        <v/>
      </c>
      <c r="F222" t="str">
        <f t="shared" si="22"/>
        <v/>
      </c>
      <c r="G222">
        <f t="shared" si="23"/>
        <v>4</v>
      </c>
    </row>
    <row r="223" spans="1:7" hidden="1" x14ac:dyDescent="0.25">
      <c r="A223" t="s">
        <v>458</v>
      </c>
      <c r="B223" t="str">
        <f t="shared" si="18"/>
        <v/>
      </c>
      <c r="C223" t="str">
        <f t="shared" si="19"/>
        <v/>
      </c>
      <c r="D223" t="str">
        <f t="shared" si="20"/>
        <v/>
      </c>
      <c r="E223" t="str">
        <f t="shared" si="21"/>
        <v/>
      </c>
      <c r="F223" t="str">
        <f t="shared" si="22"/>
        <v>C</v>
      </c>
      <c r="G223">
        <f t="shared" si="23"/>
        <v>4</v>
      </c>
    </row>
    <row r="224" spans="1:7" hidden="1" x14ac:dyDescent="0.25">
      <c r="A224" t="s">
        <v>459</v>
      </c>
      <c r="B224" t="str">
        <f t="shared" si="18"/>
        <v/>
      </c>
      <c r="C224" t="str">
        <f t="shared" si="19"/>
        <v>D</v>
      </c>
      <c r="D224" t="str">
        <f t="shared" si="20"/>
        <v/>
      </c>
      <c r="E224" t="str">
        <f t="shared" si="21"/>
        <v/>
      </c>
      <c r="F224" t="str">
        <f t="shared" si="22"/>
        <v/>
      </c>
      <c r="G224">
        <f t="shared" si="23"/>
        <v>4</v>
      </c>
    </row>
    <row r="225" spans="1:7" hidden="1" x14ac:dyDescent="0.25">
      <c r="A225" t="s">
        <v>460</v>
      </c>
      <c r="B225" t="str">
        <f t="shared" si="18"/>
        <v>S</v>
      </c>
      <c r="C225" t="str">
        <f t="shared" si="19"/>
        <v/>
      </c>
      <c r="D225" t="str">
        <f t="shared" si="20"/>
        <v/>
      </c>
      <c r="E225" t="str">
        <f t="shared" si="21"/>
        <v/>
      </c>
      <c r="F225" t="str">
        <f t="shared" si="22"/>
        <v/>
      </c>
      <c r="G225">
        <f t="shared" si="23"/>
        <v>4</v>
      </c>
    </row>
    <row r="226" spans="1:7" hidden="1" x14ac:dyDescent="0.25">
      <c r="A226" t="s">
        <v>461</v>
      </c>
      <c r="B226" t="str">
        <f t="shared" si="18"/>
        <v/>
      </c>
      <c r="C226" t="str">
        <f t="shared" si="19"/>
        <v/>
      </c>
      <c r="D226" t="str">
        <f t="shared" si="20"/>
        <v/>
      </c>
      <c r="E226" t="str">
        <f t="shared" si="21"/>
        <v/>
      </c>
      <c r="F226" t="str">
        <f t="shared" si="22"/>
        <v>C</v>
      </c>
      <c r="G226">
        <f t="shared" si="23"/>
        <v>4</v>
      </c>
    </row>
    <row r="227" spans="1:7" hidden="1" x14ac:dyDescent="0.25">
      <c r="A227" t="s">
        <v>462</v>
      </c>
      <c r="B227" t="str">
        <f t="shared" si="18"/>
        <v/>
      </c>
      <c r="C227" t="str">
        <f t="shared" si="19"/>
        <v>D</v>
      </c>
      <c r="D227" t="str">
        <f t="shared" si="20"/>
        <v/>
      </c>
      <c r="E227" t="str">
        <f t="shared" si="21"/>
        <v/>
      </c>
      <c r="F227" t="str">
        <f t="shared" si="22"/>
        <v/>
      </c>
      <c r="G227">
        <f t="shared" si="23"/>
        <v>4</v>
      </c>
    </row>
    <row r="228" spans="1:7" hidden="1" x14ac:dyDescent="0.25">
      <c r="A228" t="s">
        <v>463</v>
      </c>
      <c r="B228" t="str">
        <f t="shared" si="18"/>
        <v>S</v>
      </c>
      <c r="C228" t="str">
        <f t="shared" si="19"/>
        <v/>
      </c>
      <c r="D228" t="str">
        <f t="shared" si="20"/>
        <v/>
      </c>
      <c r="E228" t="str">
        <f t="shared" si="21"/>
        <v/>
      </c>
      <c r="F228" t="str">
        <f t="shared" si="22"/>
        <v/>
      </c>
      <c r="G228">
        <f t="shared" si="23"/>
        <v>4</v>
      </c>
    </row>
    <row r="229" spans="1:7" hidden="1" x14ac:dyDescent="0.25">
      <c r="A229" t="s">
        <v>464</v>
      </c>
      <c r="B229" t="str">
        <f t="shared" si="18"/>
        <v/>
      </c>
      <c r="C229" t="str">
        <f t="shared" si="19"/>
        <v/>
      </c>
      <c r="D229" t="str">
        <f t="shared" si="20"/>
        <v>A</v>
      </c>
      <c r="E229" t="str">
        <f t="shared" si="21"/>
        <v/>
      </c>
      <c r="F229" t="str">
        <f t="shared" si="22"/>
        <v/>
      </c>
      <c r="G229">
        <f t="shared" si="23"/>
        <v>4</v>
      </c>
    </row>
    <row r="230" spans="1:7" hidden="1" x14ac:dyDescent="0.25">
      <c r="A230" t="s">
        <v>465</v>
      </c>
      <c r="B230" t="str">
        <f t="shared" si="18"/>
        <v/>
      </c>
      <c r="C230" t="str">
        <f t="shared" si="19"/>
        <v>D</v>
      </c>
      <c r="D230" t="str">
        <f t="shared" si="20"/>
        <v/>
      </c>
      <c r="E230" t="str">
        <f t="shared" si="21"/>
        <v/>
      </c>
      <c r="F230" t="str">
        <f t="shared" si="22"/>
        <v/>
      </c>
      <c r="G230">
        <f t="shared" si="23"/>
        <v>4</v>
      </c>
    </row>
    <row r="231" spans="1:7" hidden="1" x14ac:dyDescent="0.25">
      <c r="A231" t="s">
        <v>466</v>
      </c>
      <c r="B231" t="str">
        <f t="shared" si="18"/>
        <v/>
      </c>
      <c r="C231" t="str">
        <f t="shared" si="19"/>
        <v>D</v>
      </c>
      <c r="D231" t="str">
        <f t="shared" si="20"/>
        <v/>
      </c>
      <c r="E231" t="str">
        <f t="shared" si="21"/>
        <v/>
      </c>
      <c r="F231" t="str">
        <f t="shared" si="22"/>
        <v/>
      </c>
      <c r="G231">
        <f t="shared" si="23"/>
        <v>4</v>
      </c>
    </row>
    <row r="232" spans="1:7" hidden="1" x14ac:dyDescent="0.25">
      <c r="A232" t="s">
        <v>467</v>
      </c>
      <c r="B232" t="str">
        <f t="shared" si="18"/>
        <v>S</v>
      </c>
      <c r="C232" t="str">
        <f t="shared" si="19"/>
        <v/>
      </c>
      <c r="D232" t="str">
        <f t="shared" si="20"/>
        <v/>
      </c>
      <c r="E232" t="str">
        <f t="shared" si="21"/>
        <v/>
      </c>
      <c r="F232" t="str">
        <f t="shared" si="22"/>
        <v/>
      </c>
      <c r="G232">
        <f t="shared" si="23"/>
        <v>4</v>
      </c>
    </row>
    <row r="233" spans="1:7" hidden="1" x14ac:dyDescent="0.25">
      <c r="A233" t="s">
        <v>468</v>
      </c>
      <c r="B233" t="str">
        <f t="shared" si="18"/>
        <v>S</v>
      </c>
      <c r="C233" t="str">
        <f t="shared" si="19"/>
        <v/>
      </c>
      <c r="D233" t="str">
        <f t="shared" si="20"/>
        <v/>
      </c>
      <c r="E233" t="str">
        <f t="shared" si="21"/>
        <v/>
      </c>
      <c r="F233" t="str">
        <f t="shared" si="22"/>
        <v/>
      </c>
      <c r="G233">
        <f t="shared" si="23"/>
        <v>4</v>
      </c>
    </row>
    <row r="234" spans="1:7" hidden="1" x14ac:dyDescent="0.25">
      <c r="A234" t="s">
        <v>469</v>
      </c>
      <c r="B234" t="str">
        <f t="shared" si="18"/>
        <v/>
      </c>
      <c r="C234" t="str">
        <f t="shared" si="19"/>
        <v/>
      </c>
      <c r="D234" t="str">
        <f t="shared" si="20"/>
        <v>A</v>
      </c>
      <c r="E234" t="str">
        <f t="shared" si="21"/>
        <v/>
      </c>
      <c r="F234" t="str">
        <f t="shared" si="22"/>
        <v/>
      </c>
      <c r="G234">
        <f t="shared" si="23"/>
        <v>4</v>
      </c>
    </row>
    <row r="235" spans="1:7" hidden="1" x14ac:dyDescent="0.25">
      <c r="A235" t="s">
        <v>470</v>
      </c>
      <c r="B235" t="str">
        <f t="shared" si="18"/>
        <v>S</v>
      </c>
      <c r="C235" t="str">
        <f t="shared" si="19"/>
        <v/>
      </c>
      <c r="D235" t="str">
        <f t="shared" si="20"/>
        <v/>
      </c>
      <c r="E235" t="str">
        <f t="shared" si="21"/>
        <v/>
      </c>
      <c r="F235" t="str">
        <f t="shared" si="22"/>
        <v/>
      </c>
      <c r="G235">
        <f t="shared" si="23"/>
        <v>4</v>
      </c>
    </row>
    <row r="236" spans="1:7" hidden="1" x14ac:dyDescent="0.25">
      <c r="A236" t="s">
        <v>471</v>
      </c>
      <c r="B236" t="str">
        <f t="shared" si="18"/>
        <v>S</v>
      </c>
      <c r="C236" t="str">
        <f t="shared" si="19"/>
        <v/>
      </c>
      <c r="D236" t="str">
        <f t="shared" si="20"/>
        <v/>
      </c>
      <c r="E236" t="str">
        <f t="shared" si="21"/>
        <v/>
      </c>
      <c r="F236" t="str">
        <f t="shared" si="22"/>
        <v/>
      </c>
      <c r="G236">
        <f t="shared" si="23"/>
        <v>4</v>
      </c>
    </row>
    <row r="237" spans="1:7" hidden="1" x14ac:dyDescent="0.25">
      <c r="A237" t="s">
        <v>472</v>
      </c>
      <c r="B237" t="str">
        <f t="shared" si="18"/>
        <v>S</v>
      </c>
      <c r="C237" t="str">
        <f t="shared" si="19"/>
        <v/>
      </c>
      <c r="D237" t="str">
        <f t="shared" si="20"/>
        <v/>
      </c>
      <c r="E237" t="str">
        <f t="shared" si="21"/>
        <v/>
      </c>
      <c r="F237" t="str">
        <f t="shared" si="22"/>
        <v/>
      </c>
      <c r="G237">
        <f t="shared" si="23"/>
        <v>4</v>
      </c>
    </row>
    <row r="238" spans="1:7" hidden="1" x14ac:dyDescent="0.25">
      <c r="A238" t="s">
        <v>473</v>
      </c>
      <c r="B238" t="str">
        <f t="shared" si="18"/>
        <v>S</v>
      </c>
      <c r="C238" t="str">
        <f t="shared" si="19"/>
        <v/>
      </c>
      <c r="D238" t="str">
        <f t="shared" si="20"/>
        <v/>
      </c>
      <c r="E238" t="str">
        <f t="shared" si="21"/>
        <v/>
      </c>
      <c r="F238" t="str">
        <f t="shared" si="22"/>
        <v/>
      </c>
      <c r="G238">
        <f t="shared" si="23"/>
        <v>4</v>
      </c>
    </row>
    <row r="239" spans="1:7" hidden="1" x14ac:dyDescent="0.25">
      <c r="A239" t="s">
        <v>474</v>
      </c>
      <c r="B239" t="str">
        <f t="shared" si="18"/>
        <v>S</v>
      </c>
      <c r="C239" t="str">
        <f t="shared" si="19"/>
        <v/>
      </c>
      <c r="D239" t="str">
        <f t="shared" si="20"/>
        <v/>
      </c>
      <c r="E239" t="str">
        <f t="shared" si="21"/>
        <v/>
      </c>
      <c r="F239" t="str">
        <f t="shared" si="22"/>
        <v/>
      </c>
      <c r="G239">
        <f t="shared" si="23"/>
        <v>4</v>
      </c>
    </row>
    <row r="240" spans="1:7" hidden="1" x14ac:dyDescent="0.25">
      <c r="A240" t="s">
        <v>475</v>
      </c>
      <c r="B240" t="str">
        <f t="shared" si="18"/>
        <v>S</v>
      </c>
      <c r="C240" t="str">
        <f t="shared" si="19"/>
        <v/>
      </c>
      <c r="D240" t="str">
        <f t="shared" si="20"/>
        <v/>
      </c>
      <c r="E240" t="str">
        <f t="shared" si="21"/>
        <v/>
      </c>
      <c r="F240" t="str">
        <f t="shared" si="22"/>
        <v/>
      </c>
      <c r="G240">
        <f t="shared" si="23"/>
        <v>4</v>
      </c>
    </row>
    <row r="241" spans="1:7" hidden="1" x14ac:dyDescent="0.25">
      <c r="A241" t="s">
        <v>476</v>
      </c>
      <c r="B241" t="str">
        <f t="shared" si="18"/>
        <v/>
      </c>
      <c r="C241" t="str">
        <f t="shared" si="19"/>
        <v/>
      </c>
      <c r="D241" t="str">
        <f t="shared" si="20"/>
        <v>A</v>
      </c>
      <c r="E241" t="str">
        <f t="shared" si="21"/>
        <v/>
      </c>
      <c r="F241" t="str">
        <f t="shared" si="22"/>
        <v/>
      </c>
      <c r="G241">
        <f t="shared" si="23"/>
        <v>4</v>
      </c>
    </row>
    <row r="242" spans="1:7" hidden="1" x14ac:dyDescent="0.25">
      <c r="A242" t="s">
        <v>477</v>
      </c>
      <c r="B242" t="str">
        <f t="shared" si="18"/>
        <v/>
      </c>
      <c r="C242" t="str">
        <f t="shared" si="19"/>
        <v/>
      </c>
      <c r="D242" t="str">
        <f t="shared" si="20"/>
        <v/>
      </c>
      <c r="E242" t="str">
        <f t="shared" si="21"/>
        <v/>
      </c>
      <c r="F242" t="str">
        <f t="shared" si="22"/>
        <v>C</v>
      </c>
      <c r="G242">
        <f t="shared" si="23"/>
        <v>4</v>
      </c>
    </row>
    <row r="243" spans="1:7" hidden="1" x14ac:dyDescent="0.25">
      <c r="A243" t="s">
        <v>478</v>
      </c>
      <c r="B243" t="str">
        <f t="shared" si="18"/>
        <v/>
      </c>
      <c r="C243" t="str">
        <f t="shared" si="19"/>
        <v>D</v>
      </c>
      <c r="D243" t="str">
        <f t="shared" si="20"/>
        <v/>
      </c>
      <c r="E243" t="str">
        <f t="shared" si="21"/>
        <v/>
      </c>
      <c r="F243" t="str">
        <f t="shared" si="22"/>
        <v/>
      </c>
      <c r="G243">
        <f t="shared" si="23"/>
        <v>4</v>
      </c>
    </row>
    <row r="244" spans="1:7" hidden="1" x14ac:dyDescent="0.25">
      <c r="A244" t="s">
        <v>479</v>
      </c>
      <c r="B244" t="str">
        <f t="shared" si="18"/>
        <v/>
      </c>
      <c r="C244" t="str">
        <f t="shared" si="19"/>
        <v>D</v>
      </c>
      <c r="D244" t="str">
        <f t="shared" si="20"/>
        <v/>
      </c>
      <c r="E244" t="str">
        <f t="shared" si="21"/>
        <v/>
      </c>
      <c r="F244" t="str">
        <f t="shared" si="22"/>
        <v/>
      </c>
      <c r="G244">
        <f t="shared" si="23"/>
        <v>4</v>
      </c>
    </row>
    <row r="245" spans="1:7" hidden="1" x14ac:dyDescent="0.25">
      <c r="A245" t="s">
        <v>480</v>
      </c>
      <c r="B245" t="str">
        <f t="shared" si="18"/>
        <v>S</v>
      </c>
      <c r="C245" t="str">
        <f t="shared" si="19"/>
        <v/>
      </c>
      <c r="D245" t="str">
        <f t="shared" si="20"/>
        <v/>
      </c>
      <c r="E245" t="str">
        <f t="shared" si="21"/>
        <v/>
      </c>
      <c r="F245" t="str">
        <f t="shared" si="22"/>
        <v/>
      </c>
      <c r="G245">
        <f t="shared" si="23"/>
        <v>4</v>
      </c>
    </row>
    <row r="246" spans="1:7" hidden="1" x14ac:dyDescent="0.25">
      <c r="A246" t="s">
        <v>481</v>
      </c>
      <c r="B246" t="str">
        <f t="shared" si="18"/>
        <v>S</v>
      </c>
      <c r="C246" t="str">
        <f t="shared" si="19"/>
        <v/>
      </c>
      <c r="D246" t="str">
        <f t="shared" si="20"/>
        <v/>
      </c>
      <c r="E246" t="str">
        <f t="shared" si="21"/>
        <v/>
      </c>
      <c r="F246" t="str">
        <f t="shared" si="22"/>
        <v/>
      </c>
      <c r="G246">
        <f t="shared" si="23"/>
        <v>4</v>
      </c>
    </row>
    <row r="247" spans="1:7" hidden="1" x14ac:dyDescent="0.25">
      <c r="A247" t="s">
        <v>482</v>
      </c>
      <c r="B247" t="str">
        <f t="shared" si="18"/>
        <v>S</v>
      </c>
      <c r="C247" t="str">
        <f t="shared" si="19"/>
        <v/>
      </c>
      <c r="D247" t="str">
        <f t="shared" si="20"/>
        <v/>
      </c>
      <c r="E247" t="str">
        <f t="shared" si="21"/>
        <v/>
      </c>
      <c r="F247" t="str">
        <f t="shared" si="22"/>
        <v/>
      </c>
      <c r="G247">
        <f t="shared" si="23"/>
        <v>4</v>
      </c>
    </row>
    <row r="248" spans="1:7" hidden="1" x14ac:dyDescent="0.25">
      <c r="A248" t="s">
        <v>483</v>
      </c>
      <c r="B248" t="str">
        <f t="shared" si="18"/>
        <v>S</v>
      </c>
      <c r="C248" t="str">
        <f t="shared" si="19"/>
        <v/>
      </c>
      <c r="D248" t="str">
        <f t="shared" si="20"/>
        <v/>
      </c>
      <c r="E248" t="str">
        <f t="shared" si="21"/>
        <v/>
      </c>
      <c r="F248" t="str">
        <f t="shared" si="22"/>
        <v/>
      </c>
      <c r="G248">
        <f t="shared" si="23"/>
        <v>4</v>
      </c>
    </row>
    <row r="249" spans="1:7" x14ac:dyDescent="0.25">
      <c r="A249" t="s">
        <v>484</v>
      </c>
      <c r="B249" t="str">
        <f t="shared" si="18"/>
        <v/>
      </c>
      <c r="C249" t="str">
        <f t="shared" si="19"/>
        <v/>
      </c>
      <c r="D249" t="str">
        <f t="shared" si="20"/>
        <v/>
      </c>
      <c r="E249" t="str">
        <f t="shared" si="21"/>
        <v>B</v>
      </c>
      <c r="F249" t="str">
        <f t="shared" si="22"/>
        <v/>
      </c>
      <c r="G249">
        <f t="shared" si="23"/>
        <v>4</v>
      </c>
    </row>
    <row r="250" spans="1:7" hidden="1" x14ac:dyDescent="0.25">
      <c r="A250" t="s">
        <v>485</v>
      </c>
      <c r="B250" t="str">
        <f t="shared" si="18"/>
        <v/>
      </c>
      <c r="C250" t="str">
        <f t="shared" si="19"/>
        <v/>
      </c>
      <c r="D250" t="str">
        <f t="shared" si="20"/>
        <v/>
      </c>
      <c r="E250" t="str">
        <f t="shared" si="21"/>
        <v/>
      </c>
      <c r="F250" t="str">
        <f t="shared" si="22"/>
        <v>C</v>
      </c>
      <c r="G250">
        <f t="shared" si="23"/>
        <v>4</v>
      </c>
    </row>
    <row r="251" spans="1:7" hidden="1" x14ac:dyDescent="0.25">
      <c r="A251" t="s">
        <v>486</v>
      </c>
      <c r="B251" t="str">
        <f t="shared" si="18"/>
        <v>S</v>
      </c>
      <c r="C251" t="str">
        <f t="shared" si="19"/>
        <v/>
      </c>
      <c r="D251" t="str">
        <f t="shared" si="20"/>
        <v/>
      </c>
      <c r="E251" t="str">
        <f t="shared" si="21"/>
        <v/>
      </c>
      <c r="F251" t="str">
        <f t="shared" si="22"/>
        <v/>
      </c>
      <c r="G251">
        <f t="shared" si="23"/>
        <v>4</v>
      </c>
    </row>
    <row r="252" spans="1:7" hidden="1" x14ac:dyDescent="0.25">
      <c r="A252" t="s">
        <v>487</v>
      </c>
      <c r="B252" t="str">
        <f t="shared" si="18"/>
        <v>S</v>
      </c>
      <c r="C252" t="str">
        <f t="shared" si="19"/>
        <v/>
      </c>
      <c r="D252" t="str">
        <f t="shared" si="20"/>
        <v/>
      </c>
      <c r="E252" t="str">
        <f t="shared" si="21"/>
        <v/>
      </c>
      <c r="F252" t="str">
        <f t="shared" si="22"/>
        <v/>
      </c>
      <c r="G252">
        <f t="shared" si="23"/>
        <v>4</v>
      </c>
    </row>
    <row r="253" spans="1:7" hidden="1" x14ac:dyDescent="0.25">
      <c r="A253" t="s">
        <v>488</v>
      </c>
      <c r="B253" t="str">
        <f t="shared" si="18"/>
        <v/>
      </c>
      <c r="C253" t="str">
        <f t="shared" si="19"/>
        <v/>
      </c>
      <c r="D253" t="str">
        <f t="shared" si="20"/>
        <v/>
      </c>
      <c r="E253" t="str">
        <f t="shared" si="21"/>
        <v/>
      </c>
      <c r="F253" t="str">
        <f t="shared" si="22"/>
        <v>C</v>
      </c>
      <c r="G253">
        <f t="shared" si="23"/>
        <v>4</v>
      </c>
    </row>
    <row r="254" spans="1:7" hidden="1" x14ac:dyDescent="0.25">
      <c r="A254" t="s">
        <v>489</v>
      </c>
      <c r="B254" t="str">
        <f t="shared" si="18"/>
        <v>S</v>
      </c>
      <c r="C254" t="str">
        <f t="shared" si="19"/>
        <v/>
      </c>
      <c r="D254" t="str">
        <f t="shared" si="20"/>
        <v/>
      </c>
      <c r="E254" t="str">
        <f t="shared" si="21"/>
        <v/>
      </c>
      <c r="F254" t="str">
        <f t="shared" si="22"/>
        <v/>
      </c>
      <c r="G254">
        <f t="shared" si="23"/>
        <v>4</v>
      </c>
    </row>
    <row r="255" spans="1:7" hidden="1" x14ac:dyDescent="0.25">
      <c r="A255" t="s">
        <v>490</v>
      </c>
      <c r="B255" t="str">
        <f t="shared" si="18"/>
        <v>S</v>
      </c>
      <c r="C255" t="str">
        <f t="shared" si="19"/>
        <v/>
      </c>
      <c r="D255" t="str">
        <f t="shared" si="20"/>
        <v/>
      </c>
      <c r="E255" t="str">
        <f t="shared" si="21"/>
        <v/>
      </c>
      <c r="F255" t="str">
        <f t="shared" si="22"/>
        <v/>
      </c>
      <c r="G255">
        <f t="shared" si="23"/>
        <v>4</v>
      </c>
    </row>
    <row r="256" spans="1:7" hidden="1" x14ac:dyDescent="0.25">
      <c r="A256" t="s">
        <v>491</v>
      </c>
      <c r="B256" t="str">
        <f t="shared" si="18"/>
        <v>S</v>
      </c>
      <c r="C256" t="str">
        <f t="shared" si="19"/>
        <v/>
      </c>
      <c r="D256" t="str">
        <f t="shared" si="20"/>
        <v/>
      </c>
      <c r="E256" t="str">
        <f t="shared" si="21"/>
        <v/>
      </c>
      <c r="F256" t="str">
        <f t="shared" si="22"/>
        <v/>
      </c>
      <c r="G256">
        <f t="shared" si="23"/>
        <v>4</v>
      </c>
    </row>
    <row r="257" spans="1:7" hidden="1" x14ac:dyDescent="0.25">
      <c r="A257" t="s">
        <v>492</v>
      </c>
      <c r="B257" t="str">
        <f t="shared" si="18"/>
        <v>S</v>
      </c>
      <c r="C257" t="str">
        <f t="shared" si="19"/>
        <v/>
      </c>
      <c r="D257" t="str">
        <f t="shared" si="20"/>
        <v/>
      </c>
      <c r="E257" t="str">
        <f t="shared" si="21"/>
        <v/>
      </c>
      <c r="F257" t="str">
        <f t="shared" si="22"/>
        <v/>
      </c>
      <c r="G257">
        <f t="shared" si="23"/>
        <v>4</v>
      </c>
    </row>
    <row r="258" spans="1:7" hidden="1" x14ac:dyDescent="0.25">
      <c r="A258" t="s">
        <v>493</v>
      </c>
      <c r="B258" t="str">
        <f t="shared" si="18"/>
        <v>S</v>
      </c>
      <c r="C258" t="str">
        <f t="shared" si="19"/>
        <v/>
      </c>
      <c r="D258" t="str">
        <f t="shared" si="20"/>
        <v/>
      </c>
      <c r="E258" t="str">
        <f t="shared" si="21"/>
        <v/>
      </c>
      <c r="F258" t="str">
        <f t="shared" si="22"/>
        <v/>
      </c>
      <c r="G258">
        <f t="shared" si="23"/>
        <v>4</v>
      </c>
    </row>
    <row r="259" spans="1:7" hidden="1" x14ac:dyDescent="0.25">
      <c r="A259" t="s">
        <v>494</v>
      </c>
      <c r="B259" t="str">
        <f t="shared" ref="B259:B322" si="24">IFERROR(IF(VLOOKUP($A259,Q$2:Q$175,1,FALSE)=$A259,"S",""),"")</f>
        <v>S</v>
      </c>
      <c r="C259" t="str">
        <f t="shared" ref="C259:C322" si="25">IFERROR(IF(VLOOKUP($A259,R$2:R$175,1,FALSE)=$A259,"D",""),"")</f>
        <v/>
      </c>
      <c r="D259" t="str">
        <f t="shared" ref="D259:D322" si="26">IFERROR(IF(VLOOKUP($A259,S$2:S$175,1,FALSE)=$A259,"A",""),"")</f>
        <v/>
      </c>
      <c r="E259" t="str">
        <f t="shared" ref="E259:E322" si="27">IFERROR(IF(VLOOKUP($A259,T$2:T$175,1,FALSE)=$A259,"B",""),"")</f>
        <v/>
      </c>
      <c r="F259" t="str">
        <f t="shared" ref="F259:F322" si="28">IFERROR(IF(VLOOKUP($A259,U$2:U$175,1,FALSE)=$A259,"C",""),"")</f>
        <v/>
      </c>
      <c r="G259">
        <f t="shared" ref="G259:G322" si="29">COUNTBLANK(B259:F259)</f>
        <v>4</v>
      </c>
    </row>
    <row r="260" spans="1:7" hidden="1" x14ac:dyDescent="0.25">
      <c r="A260" t="s">
        <v>495</v>
      </c>
      <c r="B260" t="str">
        <f t="shared" si="24"/>
        <v>S</v>
      </c>
      <c r="C260" t="str">
        <f t="shared" si="25"/>
        <v/>
      </c>
      <c r="D260" t="str">
        <f t="shared" si="26"/>
        <v/>
      </c>
      <c r="E260" t="str">
        <f t="shared" si="27"/>
        <v/>
      </c>
      <c r="F260" t="str">
        <f t="shared" si="28"/>
        <v/>
      </c>
      <c r="G260">
        <f t="shared" si="29"/>
        <v>4</v>
      </c>
    </row>
    <row r="261" spans="1:7" hidden="1" x14ac:dyDescent="0.25">
      <c r="A261" t="s">
        <v>496</v>
      </c>
      <c r="B261" t="str">
        <f t="shared" si="24"/>
        <v/>
      </c>
      <c r="C261" t="str">
        <f t="shared" si="25"/>
        <v/>
      </c>
      <c r="D261" t="str">
        <f t="shared" si="26"/>
        <v/>
      </c>
      <c r="E261" t="str">
        <f t="shared" si="27"/>
        <v/>
      </c>
      <c r="F261" t="str">
        <f t="shared" si="28"/>
        <v>C</v>
      </c>
      <c r="G261">
        <f t="shared" si="29"/>
        <v>4</v>
      </c>
    </row>
    <row r="262" spans="1:7" hidden="1" x14ac:dyDescent="0.25">
      <c r="A262" t="s">
        <v>497</v>
      </c>
      <c r="B262" t="str">
        <f t="shared" si="24"/>
        <v>S</v>
      </c>
      <c r="C262" t="str">
        <f t="shared" si="25"/>
        <v/>
      </c>
      <c r="D262" t="str">
        <f t="shared" si="26"/>
        <v/>
      </c>
      <c r="E262" t="str">
        <f t="shared" si="27"/>
        <v/>
      </c>
      <c r="F262" t="str">
        <f t="shared" si="28"/>
        <v/>
      </c>
      <c r="G262">
        <f t="shared" si="29"/>
        <v>4</v>
      </c>
    </row>
    <row r="263" spans="1:7" hidden="1" x14ac:dyDescent="0.25">
      <c r="A263" t="s">
        <v>498</v>
      </c>
      <c r="B263" t="str">
        <f t="shared" si="24"/>
        <v>S</v>
      </c>
      <c r="C263" t="str">
        <f t="shared" si="25"/>
        <v/>
      </c>
      <c r="D263" t="str">
        <f t="shared" si="26"/>
        <v/>
      </c>
      <c r="E263" t="str">
        <f t="shared" si="27"/>
        <v/>
      </c>
      <c r="F263" t="str">
        <f t="shared" si="28"/>
        <v/>
      </c>
      <c r="G263">
        <f t="shared" si="29"/>
        <v>4</v>
      </c>
    </row>
    <row r="264" spans="1:7" hidden="1" x14ac:dyDescent="0.25">
      <c r="A264" t="s">
        <v>499</v>
      </c>
      <c r="B264" t="str">
        <f t="shared" si="24"/>
        <v>S</v>
      </c>
      <c r="C264" t="str">
        <f t="shared" si="25"/>
        <v/>
      </c>
      <c r="D264" t="str">
        <f t="shared" si="26"/>
        <v/>
      </c>
      <c r="E264" t="str">
        <f t="shared" si="27"/>
        <v/>
      </c>
      <c r="F264" t="str">
        <f t="shared" si="28"/>
        <v/>
      </c>
      <c r="G264">
        <f t="shared" si="29"/>
        <v>4</v>
      </c>
    </row>
    <row r="265" spans="1:7" hidden="1" x14ac:dyDescent="0.25">
      <c r="A265" t="s">
        <v>500</v>
      </c>
      <c r="B265" t="str">
        <f t="shared" si="24"/>
        <v>S</v>
      </c>
      <c r="C265" t="str">
        <f t="shared" si="25"/>
        <v/>
      </c>
      <c r="D265" t="str">
        <f t="shared" si="26"/>
        <v/>
      </c>
      <c r="E265" t="str">
        <f t="shared" si="27"/>
        <v/>
      </c>
      <c r="F265" t="str">
        <f t="shared" si="28"/>
        <v/>
      </c>
      <c r="G265">
        <f t="shared" si="29"/>
        <v>4</v>
      </c>
    </row>
    <row r="266" spans="1:7" hidden="1" x14ac:dyDescent="0.25">
      <c r="A266" t="s">
        <v>501</v>
      </c>
      <c r="B266" t="str">
        <f t="shared" si="24"/>
        <v>S</v>
      </c>
      <c r="C266" t="str">
        <f t="shared" si="25"/>
        <v/>
      </c>
      <c r="D266" t="str">
        <f t="shared" si="26"/>
        <v/>
      </c>
      <c r="E266" t="str">
        <f t="shared" si="27"/>
        <v/>
      </c>
      <c r="F266" t="str">
        <f t="shared" si="28"/>
        <v/>
      </c>
      <c r="G266">
        <f t="shared" si="29"/>
        <v>4</v>
      </c>
    </row>
    <row r="267" spans="1:7" hidden="1" x14ac:dyDescent="0.25">
      <c r="A267" t="s">
        <v>502</v>
      </c>
      <c r="B267" t="str">
        <f t="shared" si="24"/>
        <v>S</v>
      </c>
      <c r="C267" t="str">
        <f t="shared" si="25"/>
        <v/>
      </c>
      <c r="D267" t="str">
        <f t="shared" si="26"/>
        <v/>
      </c>
      <c r="E267" t="str">
        <f t="shared" si="27"/>
        <v/>
      </c>
      <c r="F267" t="str">
        <f t="shared" si="28"/>
        <v/>
      </c>
      <c r="G267">
        <f t="shared" si="29"/>
        <v>4</v>
      </c>
    </row>
    <row r="268" spans="1:7" hidden="1" x14ac:dyDescent="0.25">
      <c r="A268" t="s">
        <v>503</v>
      </c>
      <c r="B268" t="str">
        <f t="shared" si="24"/>
        <v>S</v>
      </c>
      <c r="C268" t="str">
        <f t="shared" si="25"/>
        <v/>
      </c>
      <c r="D268" t="str">
        <f t="shared" si="26"/>
        <v/>
      </c>
      <c r="E268" t="str">
        <f t="shared" si="27"/>
        <v/>
      </c>
      <c r="F268" t="str">
        <f t="shared" si="28"/>
        <v/>
      </c>
      <c r="G268">
        <f t="shared" si="29"/>
        <v>4</v>
      </c>
    </row>
    <row r="269" spans="1:7" hidden="1" x14ac:dyDescent="0.25">
      <c r="A269" t="s">
        <v>504</v>
      </c>
      <c r="B269" t="str">
        <f t="shared" si="24"/>
        <v/>
      </c>
      <c r="C269" t="str">
        <f t="shared" si="25"/>
        <v>D</v>
      </c>
      <c r="D269" t="str">
        <f t="shared" si="26"/>
        <v/>
      </c>
      <c r="E269" t="str">
        <f t="shared" si="27"/>
        <v/>
      </c>
      <c r="F269" t="str">
        <f t="shared" si="28"/>
        <v/>
      </c>
      <c r="G269">
        <f t="shared" si="29"/>
        <v>4</v>
      </c>
    </row>
    <row r="270" spans="1:7" hidden="1" x14ac:dyDescent="0.25">
      <c r="A270" t="s">
        <v>505</v>
      </c>
      <c r="B270" t="str">
        <f t="shared" si="24"/>
        <v>S</v>
      </c>
      <c r="C270" t="str">
        <f t="shared" si="25"/>
        <v/>
      </c>
      <c r="D270" t="str">
        <f t="shared" si="26"/>
        <v/>
      </c>
      <c r="E270" t="str">
        <f t="shared" si="27"/>
        <v/>
      </c>
      <c r="F270" t="str">
        <f t="shared" si="28"/>
        <v/>
      </c>
      <c r="G270">
        <f t="shared" si="29"/>
        <v>4</v>
      </c>
    </row>
    <row r="271" spans="1:7" hidden="1" x14ac:dyDescent="0.25">
      <c r="A271" t="s">
        <v>506</v>
      </c>
      <c r="B271" t="str">
        <f t="shared" si="24"/>
        <v>S</v>
      </c>
      <c r="C271" t="str">
        <f t="shared" si="25"/>
        <v/>
      </c>
      <c r="D271" t="str">
        <f t="shared" si="26"/>
        <v/>
      </c>
      <c r="E271" t="str">
        <f t="shared" si="27"/>
        <v/>
      </c>
      <c r="F271" t="str">
        <f t="shared" si="28"/>
        <v/>
      </c>
      <c r="G271">
        <f t="shared" si="29"/>
        <v>4</v>
      </c>
    </row>
    <row r="272" spans="1:7" hidden="1" x14ac:dyDescent="0.25">
      <c r="A272" t="s">
        <v>507</v>
      </c>
      <c r="B272" t="str">
        <f t="shared" si="24"/>
        <v>S</v>
      </c>
      <c r="C272" t="str">
        <f t="shared" si="25"/>
        <v/>
      </c>
      <c r="D272" t="str">
        <f t="shared" si="26"/>
        <v/>
      </c>
      <c r="E272" t="str">
        <f t="shared" si="27"/>
        <v/>
      </c>
      <c r="F272" t="str">
        <f t="shared" si="28"/>
        <v/>
      </c>
      <c r="G272">
        <f t="shared" si="29"/>
        <v>4</v>
      </c>
    </row>
    <row r="273" spans="1:7" hidden="1" x14ac:dyDescent="0.25">
      <c r="A273" t="s">
        <v>508</v>
      </c>
      <c r="B273" t="str">
        <f t="shared" si="24"/>
        <v>S</v>
      </c>
      <c r="C273" t="str">
        <f t="shared" si="25"/>
        <v/>
      </c>
      <c r="D273" t="str">
        <f t="shared" si="26"/>
        <v/>
      </c>
      <c r="E273" t="str">
        <f t="shared" si="27"/>
        <v/>
      </c>
      <c r="F273" t="str">
        <f t="shared" si="28"/>
        <v/>
      </c>
      <c r="G273">
        <f t="shared" si="29"/>
        <v>4</v>
      </c>
    </row>
    <row r="274" spans="1:7" hidden="1" x14ac:dyDescent="0.25">
      <c r="A274" t="s">
        <v>509</v>
      </c>
      <c r="B274" t="str">
        <f t="shared" si="24"/>
        <v>S</v>
      </c>
      <c r="C274" t="str">
        <f t="shared" si="25"/>
        <v/>
      </c>
      <c r="D274" t="str">
        <f t="shared" si="26"/>
        <v/>
      </c>
      <c r="E274" t="str">
        <f t="shared" si="27"/>
        <v/>
      </c>
      <c r="F274" t="str">
        <f t="shared" si="28"/>
        <v/>
      </c>
      <c r="G274">
        <f t="shared" si="29"/>
        <v>4</v>
      </c>
    </row>
    <row r="275" spans="1:7" hidden="1" x14ac:dyDescent="0.25">
      <c r="A275" t="s">
        <v>510</v>
      </c>
      <c r="B275" t="str">
        <f t="shared" si="24"/>
        <v>S</v>
      </c>
      <c r="C275" t="str">
        <f t="shared" si="25"/>
        <v/>
      </c>
      <c r="D275" t="str">
        <f t="shared" si="26"/>
        <v/>
      </c>
      <c r="E275" t="str">
        <f t="shared" si="27"/>
        <v/>
      </c>
      <c r="F275" t="str">
        <f t="shared" si="28"/>
        <v/>
      </c>
      <c r="G275">
        <f t="shared" si="29"/>
        <v>4</v>
      </c>
    </row>
    <row r="276" spans="1:7" hidden="1" x14ac:dyDescent="0.25">
      <c r="A276" t="s">
        <v>511</v>
      </c>
      <c r="B276" t="str">
        <f t="shared" si="24"/>
        <v>S</v>
      </c>
      <c r="C276" t="str">
        <f t="shared" si="25"/>
        <v/>
      </c>
      <c r="D276" t="str">
        <f t="shared" si="26"/>
        <v/>
      </c>
      <c r="E276" t="str">
        <f t="shared" si="27"/>
        <v/>
      </c>
      <c r="F276" t="str">
        <f t="shared" si="28"/>
        <v/>
      </c>
      <c r="G276">
        <f t="shared" si="29"/>
        <v>4</v>
      </c>
    </row>
    <row r="277" spans="1:7" hidden="1" x14ac:dyDescent="0.25">
      <c r="A277" t="s">
        <v>512</v>
      </c>
      <c r="B277" t="str">
        <f t="shared" si="24"/>
        <v/>
      </c>
      <c r="C277" t="str">
        <f t="shared" si="25"/>
        <v/>
      </c>
      <c r="D277" t="str">
        <f t="shared" si="26"/>
        <v/>
      </c>
      <c r="E277" t="str">
        <f t="shared" si="27"/>
        <v/>
      </c>
      <c r="F277" t="str">
        <f t="shared" si="28"/>
        <v>C</v>
      </c>
      <c r="G277">
        <f t="shared" si="29"/>
        <v>4</v>
      </c>
    </row>
    <row r="278" spans="1:7" hidden="1" x14ac:dyDescent="0.25">
      <c r="A278" t="s">
        <v>513</v>
      </c>
      <c r="B278" t="str">
        <f t="shared" si="24"/>
        <v/>
      </c>
      <c r="C278" t="str">
        <f t="shared" si="25"/>
        <v/>
      </c>
      <c r="D278" t="str">
        <f t="shared" si="26"/>
        <v>A</v>
      </c>
      <c r="E278" t="str">
        <f t="shared" si="27"/>
        <v/>
      </c>
      <c r="F278" t="str">
        <f t="shared" si="28"/>
        <v/>
      </c>
      <c r="G278">
        <f t="shared" si="29"/>
        <v>4</v>
      </c>
    </row>
    <row r="279" spans="1:7" hidden="1" x14ac:dyDescent="0.25">
      <c r="A279" t="s">
        <v>514</v>
      </c>
      <c r="B279" t="str">
        <f t="shared" si="24"/>
        <v>S</v>
      </c>
      <c r="C279" t="str">
        <f t="shared" si="25"/>
        <v/>
      </c>
      <c r="D279" t="str">
        <f t="shared" si="26"/>
        <v/>
      </c>
      <c r="E279" t="str">
        <f t="shared" si="27"/>
        <v/>
      </c>
      <c r="F279" t="str">
        <f t="shared" si="28"/>
        <v/>
      </c>
      <c r="G279">
        <f t="shared" si="29"/>
        <v>4</v>
      </c>
    </row>
    <row r="280" spans="1:7" hidden="1" x14ac:dyDescent="0.25">
      <c r="A280" t="s">
        <v>515</v>
      </c>
      <c r="B280" t="str">
        <f t="shared" si="24"/>
        <v/>
      </c>
      <c r="C280" t="str">
        <f t="shared" si="25"/>
        <v/>
      </c>
      <c r="D280" t="str">
        <f t="shared" si="26"/>
        <v/>
      </c>
      <c r="E280" t="str">
        <f t="shared" si="27"/>
        <v/>
      </c>
      <c r="F280" t="str">
        <f t="shared" si="28"/>
        <v>C</v>
      </c>
      <c r="G280">
        <f t="shared" si="29"/>
        <v>4</v>
      </c>
    </row>
    <row r="281" spans="1:7" hidden="1" x14ac:dyDescent="0.25">
      <c r="A281" t="s">
        <v>516</v>
      </c>
      <c r="B281" t="str">
        <f t="shared" si="24"/>
        <v>S</v>
      </c>
      <c r="C281" t="str">
        <f t="shared" si="25"/>
        <v/>
      </c>
      <c r="D281" t="str">
        <f t="shared" si="26"/>
        <v/>
      </c>
      <c r="E281" t="str">
        <f t="shared" si="27"/>
        <v/>
      </c>
      <c r="F281" t="str">
        <f t="shared" si="28"/>
        <v/>
      </c>
      <c r="G281">
        <f t="shared" si="29"/>
        <v>4</v>
      </c>
    </row>
    <row r="282" spans="1:7" hidden="1" x14ac:dyDescent="0.25">
      <c r="A282" t="s">
        <v>517</v>
      </c>
      <c r="B282" t="str">
        <f t="shared" si="24"/>
        <v>S</v>
      </c>
      <c r="C282" t="str">
        <f t="shared" si="25"/>
        <v/>
      </c>
      <c r="D282" t="str">
        <f t="shared" si="26"/>
        <v/>
      </c>
      <c r="E282" t="str">
        <f t="shared" si="27"/>
        <v/>
      </c>
      <c r="F282" t="str">
        <f t="shared" si="28"/>
        <v/>
      </c>
      <c r="G282">
        <f t="shared" si="29"/>
        <v>4</v>
      </c>
    </row>
    <row r="283" spans="1:7" hidden="1" x14ac:dyDescent="0.25">
      <c r="A283" t="s">
        <v>518</v>
      </c>
      <c r="B283" t="str">
        <f t="shared" si="24"/>
        <v/>
      </c>
      <c r="C283" t="str">
        <f t="shared" si="25"/>
        <v>D</v>
      </c>
      <c r="D283" t="str">
        <f t="shared" si="26"/>
        <v/>
      </c>
      <c r="E283" t="str">
        <f t="shared" si="27"/>
        <v/>
      </c>
      <c r="F283" t="str">
        <f t="shared" si="28"/>
        <v/>
      </c>
      <c r="G283">
        <f t="shared" si="29"/>
        <v>4</v>
      </c>
    </row>
    <row r="284" spans="1:7" hidden="1" x14ac:dyDescent="0.25">
      <c r="A284" t="s">
        <v>519</v>
      </c>
      <c r="B284" t="str">
        <f t="shared" si="24"/>
        <v/>
      </c>
      <c r="C284" t="str">
        <f t="shared" si="25"/>
        <v/>
      </c>
      <c r="D284" t="str">
        <f t="shared" si="26"/>
        <v/>
      </c>
      <c r="E284" t="str">
        <f t="shared" si="27"/>
        <v/>
      </c>
      <c r="F284" t="str">
        <f t="shared" si="28"/>
        <v>C</v>
      </c>
      <c r="G284">
        <f t="shared" si="29"/>
        <v>4</v>
      </c>
    </row>
    <row r="285" spans="1:7" hidden="1" x14ac:dyDescent="0.25">
      <c r="A285" t="s">
        <v>520</v>
      </c>
      <c r="B285" t="str">
        <f t="shared" si="24"/>
        <v/>
      </c>
      <c r="C285" t="str">
        <f t="shared" si="25"/>
        <v/>
      </c>
      <c r="D285" t="str">
        <f t="shared" si="26"/>
        <v/>
      </c>
      <c r="E285" t="str">
        <f t="shared" si="27"/>
        <v/>
      </c>
      <c r="F285" t="str">
        <f t="shared" si="28"/>
        <v>C</v>
      </c>
      <c r="G285">
        <f t="shared" si="29"/>
        <v>4</v>
      </c>
    </row>
    <row r="286" spans="1:7" hidden="1" x14ac:dyDescent="0.25">
      <c r="A286" t="s">
        <v>521</v>
      </c>
      <c r="B286" t="str">
        <f t="shared" si="24"/>
        <v/>
      </c>
      <c r="C286" t="str">
        <f t="shared" si="25"/>
        <v>D</v>
      </c>
      <c r="D286" t="str">
        <f t="shared" si="26"/>
        <v/>
      </c>
      <c r="E286" t="str">
        <f t="shared" si="27"/>
        <v/>
      </c>
      <c r="F286" t="str">
        <f t="shared" si="28"/>
        <v/>
      </c>
      <c r="G286">
        <f t="shared" si="29"/>
        <v>4</v>
      </c>
    </row>
    <row r="287" spans="1:7" hidden="1" x14ac:dyDescent="0.25">
      <c r="A287" t="s">
        <v>522</v>
      </c>
      <c r="B287" t="str">
        <f t="shared" si="24"/>
        <v/>
      </c>
      <c r="C287" t="str">
        <f t="shared" si="25"/>
        <v/>
      </c>
      <c r="D287" t="str">
        <f t="shared" si="26"/>
        <v/>
      </c>
      <c r="E287" t="str">
        <f t="shared" si="27"/>
        <v/>
      </c>
      <c r="F287" t="str">
        <f t="shared" si="28"/>
        <v>C</v>
      </c>
      <c r="G287">
        <f t="shared" si="29"/>
        <v>4</v>
      </c>
    </row>
    <row r="288" spans="1:7" hidden="1" x14ac:dyDescent="0.25">
      <c r="A288" t="s">
        <v>523</v>
      </c>
      <c r="B288" t="str">
        <f t="shared" si="24"/>
        <v/>
      </c>
      <c r="C288" t="str">
        <f t="shared" si="25"/>
        <v/>
      </c>
      <c r="D288" t="str">
        <f t="shared" si="26"/>
        <v/>
      </c>
      <c r="E288" t="str">
        <f t="shared" si="27"/>
        <v/>
      </c>
      <c r="F288" t="str">
        <f t="shared" si="28"/>
        <v>C</v>
      </c>
      <c r="G288">
        <f t="shared" si="29"/>
        <v>4</v>
      </c>
    </row>
    <row r="289" spans="1:7" hidden="1" x14ac:dyDescent="0.25">
      <c r="A289" t="s">
        <v>524</v>
      </c>
      <c r="B289" t="str">
        <f t="shared" si="24"/>
        <v/>
      </c>
      <c r="C289" t="str">
        <f t="shared" si="25"/>
        <v/>
      </c>
      <c r="D289" t="str">
        <f t="shared" si="26"/>
        <v/>
      </c>
      <c r="E289" t="str">
        <f t="shared" si="27"/>
        <v/>
      </c>
      <c r="F289" t="str">
        <f t="shared" si="28"/>
        <v>C</v>
      </c>
      <c r="G289">
        <f t="shared" si="29"/>
        <v>4</v>
      </c>
    </row>
    <row r="290" spans="1:7" hidden="1" x14ac:dyDescent="0.25">
      <c r="A290" t="s">
        <v>525</v>
      </c>
      <c r="B290" t="str">
        <f t="shared" si="24"/>
        <v/>
      </c>
      <c r="C290" t="str">
        <f t="shared" si="25"/>
        <v>D</v>
      </c>
      <c r="D290" t="str">
        <f t="shared" si="26"/>
        <v/>
      </c>
      <c r="E290" t="str">
        <f t="shared" si="27"/>
        <v/>
      </c>
      <c r="F290" t="str">
        <f t="shared" si="28"/>
        <v/>
      </c>
      <c r="G290">
        <f t="shared" si="29"/>
        <v>4</v>
      </c>
    </row>
    <row r="291" spans="1:7" hidden="1" x14ac:dyDescent="0.25">
      <c r="A291" t="s">
        <v>526</v>
      </c>
      <c r="B291" t="str">
        <f t="shared" si="24"/>
        <v>S</v>
      </c>
      <c r="C291" t="str">
        <f t="shared" si="25"/>
        <v/>
      </c>
      <c r="D291" t="str">
        <f t="shared" si="26"/>
        <v/>
      </c>
      <c r="E291" t="str">
        <f t="shared" si="27"/>
        <v/>
      </c>
      <c r="F291" t="str">
        <f t="shared" si="28"/>
        <v/>
      </c>
      <c r="G291">
        <f t="shared" si="29"/>
        <v>4</v>
      </c>
    </row>
    <row r="292" spans="1:7" hidden="1" x14ac:dyDescent="0.25">
      <c r="A292" t="s">
        <v>527</v>
      </c>
      <c r="B292" t="str">
        <f t="shared" si="24"/>
        <v>S</v>
      </c>
      <c r="C292" t="str">
        <f t="shared" si="25"/>
        <v/>
      </c>
      <c r="D292" t="str">
        <f t="shared" si="26"/>
        <v/>
      </c>
      <c r="E292" t="str">
        <f t="shared" si="27"/>
        <v/>
      </c>
      <c r="F292" t="str">
        <f t="shared" si="28"/>
        <v/>
      </c>
      <c r="G292">
        <f t="shared" si="29"/>
        <v>4</v>
      </c>
    </row>
    <row r="293" spans="1:7" hidden="1" x14ac:dyDescent="0.25">
      <c r="A293" t="s">
        <v>528</v>
      </c>
      <c r="B293" t="str">
        <f t="shared" si="24"/>
        <v/>
      </c>
      <c r="C293" t="str">
        <f t="shared" si="25"/>
        <v/>
      </c>
      <c r="D293" t="str">
        <f t="shared" si="26"/>
        <v>A</v>
      </c>
      <c r="E293" t="str">
        <f t="shared" si="27"/>
        <v/>
      </c>
      <c r="F293" t="str">
        <f t="shared" si="28"/>
        <v/>
      </c>
      <c r="G293">
        <f t="shared" si="29"/>
        <v>4</v>
      </c>
    </row>
    <row r="294" spans="1:7" hidden="1" x14ac:dyDescent="0.25">
      <c r="A294" t="s">
        <v>529</v>
      </c>
      <c r="B294" t="str">
        <f t="shared" si="24"/>
        <v>S</v>
      </c>
      <c r="C294" t="str">
        <f t="shared" si="25"/>
        <v/>
      </c>
      <c r="D294" t="str">
        <f t="shared" si="26"/>
        <v/>
      </c>
      <c r="E294" t="str">
        <f t="shared" si="27"/>
        <v/>
      </c>
      <c r="F294" t="str">
        <f t="shared" si="28"/>
        <v/>
      </c>
      <c r="G294">
        <f t="shared" si="29"/>
        <v>4</v>
      </c>
    </row>
    <row r="295" spans="1:7" hidden="1" x14ac:dyDescent="0.25">
      <c r="A295" t="s">
        <v>530</v>
      </c>
      <c r="B295" t="str">
        <f t="shared" si="24"/>
        <v/>
      </c>
      <c r="C295" t="str">
        <f t="shared" si="25"/>
        <v/>
      </c>
      <c r="D295" t="str">
        <f t="shared" si="26"/>
        <v/>
      </c>
      <c r="E295" t="str">
        <f t="shared" si="27"/>
        <v/>
      </c>
      <c r="F295" t="str">
        <f t="shared" si="28"/>
        <v>C</v>
      </c>
      <c r="G295">
        <f t="shared" si="29"/>
        <v>4</v>
      </c>
    </row>
    <row r="296" spans="1:7" hidden="1" x14ac:dyDescent="0.25">
      <c r="A296" t="s">
        <v>531</v>
      </c>
      <c r="B296" t="str">
        <f t="shared" si="24"/>
        <v/>
      </c>
      <c r="C296" t="str">
        <f t="shared" si="25"/>
        <v>D</v>
      </c>
      <c r="D296" t="str">
        <f t="shared" si="26"/>
        <v/>
      </c>
      <c r="E296" t="str">
        <f t="shared" si="27"/>
        <v/>
      </c>
      <c r="F296" t="str">
        <f t="shared" si="28"/>
        <v/>
      </c>
      <c r="G296">
        <f t="shared" si="29"/>
        <v>4</v>
      </c>
    </row>
    <row r="297" spans="1:7" hidden="1" x14ac:dyDescent="0.25">
      <c r="A297" t="s">
        <v>532</v>
      </c>
      <c r="B297" t="str">
        <f t="shared" si="24"/>
        <v/>
      </c>
      <c r="C297" t="str">
        <f t="shared" si="25"/>
        <v>D</v>
      </c>
      <c r="D297" t="str">
        <f t="shared" si="26"/>
        <v/>
      </c>
      <c r="E297" t="str">
        <f t="shared" si="27"/>
        <v/>
      </c>
      <c r="F297" t="str">
        <f t="shared" si="28"/>
        <v/>
      </c>
      <c r="G297">
        <f t="shared" si="29"/>
        <v>4</v>
      </c>
    </row>
    <row r="298" spans="1:7" hidden="1" x14ac:dyDescent="0.25">
      <c r="A298" t="s">
        <v>533</v>
      </c>
      <c r="B298" t="str">
        <f t="shared" si="24"/>
        <v>S</v>
      </c>
      <c r="C298" t="str">
        <f t="shared" si="25"/>
        <v/>
      </c>
      <c r="D298" t="str">
        <f t="shared" si="26"/>
        <v/>
      </c>
      <c r="E298" t="str">
        <f t="shared" si="27"/>
        <v/>
      </c>
      <c r="F298" t="str">
        <f t="shared" si="28"/>
        <v/>
      </c>
      <c r="G298">
        <f t="shared" si="29"/>
        <v>4</v>
      </c>
    </row>
    <row r="299" spans="1:7" hidden="1" x14ac:dyDescent="0.25">
      <c r="A299" t="s">
        <v>534</v>
      </c>
      <c r="B299" t="str">
        <f t="shared" si="24"/>
        <v/>
      </c>
      <c r="C299" t="str">
        <f t="shared" si="25"/>
        <v>D</v>
      </c>
      <c r="D299" t="str">
        <f t="shared" si="26"/>
        <v/>
      </c>
      <c r="E299" t="str">
        <f t="shared" si="27"/>
        <v/>
      </c>
      <c r="F299" t="str">
        <f t="shared" si="28"/>
        <v/>
      </c>
      <c r="G299">
        <f t="shared" si="29"/>
        <v>4</v>
      </c>
    </row>
    <row r="300" spans="1:7" hidden="1" x14ac:dyDescent="0.25">
      <c r="A300" t="s">
        <v>535</v>
      </c>
      <c r="B300" t="str">
        <f t="shared" si="24"/>
        <v>S</v>
      </c>
      <c r="C300" t="str">
        <f t="shared" si="25"/>
        <v/>
      </c>
      <c r="D300" t="str">
        <f t="shared" si="26"/>
        <v/>
      </c>
      <c r="E300" t="str">
        <f t="shared" si="27"/>
        <v/>
      </c>
      <c r="F300" t="str">
        <f t="shared" si="28"/>
        <v/>
      </c>
      <c r="G300">
        <f t="shared" si="29"/>
        <v>4</v>
      </c>
    </row>
    <row r="301" spans="1:7" hidden="1" x14ac:dyDescent="0.25">
      <c r="A301" t="s">
        <v>536</v>
      </c>
      <c r="B301" t="str">
        <f t="shared" si="24"/>
        <v>S</v>
      </c>
      <c r="C301" t="str">
        <f t="shared" si="25"/>
        <v/>
      </c>
      <c r="D301" t="str">
        <f t="shared" si="26"/>
        <v/>
      </c>
      <c r="E301" t="str">
        <f t="shared" si="27"/>
        <v/>
      </c>
      <c r="F301" t="str">
        <f t="shared" si="28"/>
        <v/>
      </c>
      <c r="G301">
        <f t="shared" si="29"/>
        <v>4</v>
      </c>
    </row>
    <row r="302" spans="1:7" hidden="1" x14ac:dyDescent="0.25">
      <c r="A302" t="s">
        <v>537</v>
      </c>
      <c r="B302" t="str">
        <f t="shared" si="24"/>
        <v>S</v>
      </c>
      <c r="C302" t="str">
        <f t="shared" si="25"/>
        <v/>
      </c>
      <c r="D302" t="str">
        <f t="shared" si="26"/>
        <v/>
      </c>
      <c r="E302" t="str">
        <f t="shared" si="27"/>
        <v/>
      </c>
      <c r="F302" t="str">
        <f t="shared" si="28"/>
        <v/>
      </c>
      <c r="G302">
        <f t="shared" si="29"/>
        <v>4</v>
      </c>
    </row>
    <row r="303" spans="1:7" hidden="1" x14ac:dyDescent="0.25">
      <c r="A303" t="s">
        <v>538</v>
      </c>
      <c r="B303" t="str">
        <f t="shared" si="24"/>
        <v/>
      </c>
      <c r="C303" t="str">
        <f t="shared" si="25"/>
        <v>D</v>
      </c>
      <c r="D303" t="str">
        <f t="shared" si="26"/>
        <v/>
      </c>
      <c r="E303" t="str">
        <f t="shared" si="27"/>
        <v/>
      </c>
      <c r="F303" t="str">
        <f t="shared" si="28"/>
        <v/>
      </c>
      <c r="G303">
        <f t="shared" si="29"/>
        <v>4</v>
      </c>
    </row>
    <row r="304" spans="1:7" hidden="1" x14ac:dyDescent="0.25">
      <c r="A304" t="s">
        <v>539</v>
      </c>
      <c r="B304" t="str">
        <f t="shared" si="24"/>
        <v/>
      </c>
      <c r="C304" t="str">
        <f t="shared" si="25"/>
        <v>D</v>
      </c>
      <c r="D304" t="str">
        <f t="shared" si="26"/>
        <v/>
      </c>
      <c r="E304" t="str">
        <f t="shared" si="27"/>
        <v/>
      </c>
      <c r="F304" t="str">
        <f t="shared" si="28"/>
        <v/>
      </c>
      <c r="G304">
        <f t="shared" si="29"/>
        <v>4</v>
      </c>
    </row>
    <row r="305" spans="1:7" hidden="1" x14ac:dyDescent="0.25">
      <c r="A305" t="s">
        <v>540</v>
      </c>
      <c r="B305" t="str">
        <f t="shared" si="24"/>
        <v/>
      </c>
      <c r="C305" t="str">
        <f t="shared" si="25"/>
        <v>D</v>
      </c>
      <c r="D305" t="str">
        <f t="shared" si="26"/>
        <v/>
      </c>
      <c r="E305" t="str">
        <f t="shared" si="27"/>
        <v/>
      </c>
      <c r="F305" t="str">
        <f t="shared" si="28"/>
        <v/>
      </c>
      <c r="G305">
        <f t="shared" si="29"/>
        <v>4</v>
      </c>
    </row>
    <row r="306" spans="1:7" hidden="1" x14ac:dyDescent="0.25">
      <c r="A306" t="s">
        <v>541</v>
      </c>
      <c r="B306" t="str">
        <f t="shared" si="24"/>
        <v/>
      </c>
      <c r="C306" t="str">
        <f t="shared" si="25"/>
        <v>D</v>
      </c>
      <c r="D306" t="str">
        <f t="shared" si="26"/>
        <v/>
      </c>
      <c r="E306" t="str">
        <f t="shared" si="27"/>
        <v/>
      </c>
      <c r="F306" t="str">
        <f t="shared" si="28"/>
        <v/>
      </c>
      <c r="G306">
        <f t="shared" si="29"/>
        <v>4</v>
      </c>
    </row>
    <row r="307" spans="1:7" hidden="1" x14ac:dyDescent="0.25">
      <c r="A307" t="s">
        <v>542</v>
      </c>
      <c r="B307" t="str">
        <f t="shared" si="24"/>
        <v>S</v>
      </c>
      <c r="C307" t="str">
        <f t="shared" si="25"/>
        <v/>
      </c>
      <c r="D307" t="str">
        <f t="shared" si="26"/>
        <v/>
      </c>
      <c r="E307" t="str">
        <f t="shared" si="27"/>
        <v/>
      </c>
      <c r="F307" t="str">
        <f t="shared" si="28"/>
        <v/>
      </c>
      <c r="G307">
        <f t="shared" si="29"/>
        <v>4</v>
      </c>
    </row>
    <row r="308" spans="1:7" hidden="1" x14ac:dyDescent="0.25">
      <c r="A308" t="s">
        <v>543</v>
      </c>
      <c r="B308" t="str">
        <f t="shared" si="24"/>
        <v>S</v>
      </c>
      <c r="C308" t="str">
        <f t="shared" si="25"/>
        <v/>
      </c>
      <c r="D308" t="str">
        <f t="shared" si="26"/>
        <v/>
      </c>
      <c r="E308" t="str">
        <f t="shared" si="27"/>
        <v/>
      </c>
      <c r="F308" t="str">
        <f t="shared" si="28"/>
        <v/>
      </c>
      <c r="G308">
        <f t="shared" si="29"/>
        <v>4</v>
      </c>
    </row>
    <row r="309" spans="1:7" hidden="1" x14ac:dyDescent="0.25">
      <c r="A309" t="s">
        <v>544</v>
      </c>
      <c r="B309" t="str">
        <f t="shared" si="24"/>
        <v/>
      </c>
      <c r="C309" t="str">
        <f t="shared" si="25"/>
        <v>D</v>
      </c>
      <c r="D309" t="str">
        <f t="shared" si="26"/>
        <v/>
      </c>
      <c r="E309" t="str">
        <f t="shared" si="27"/>
        <v/>
      </c>
      <c r="F309" t="str">
        <f t="shared" si="28"/>
        <v/>
      </c>
      <c r="G309">
        <f t="shared" si="29"/>
        <v>4</v>
      </c>
    </row>
    <row r="310" spans="1:7" hidden="1" x14ac:dyDescent="0.25">
      <c r="A310" t="s">
        <v>545</v>
      </c>
      <c r="B310" t="str">
        <f t="shared" si="24"/>
        <v/>
      </c>
      <c r="C310" t="str">
        <f t="shared" si="25"/>
        <v/>
      </c>
      <c r="D310" t="str">
        <f t="shared" si="26"/>
        <v/>
      </c>
      <c r="E310" t="str">
        <f t="shared" si="27"/>
        <v/>
      </c>
      <c r="F310" t="str">
        <f t="shared" si="28"/>
        <v>C</v>
      </c>
      <c r="G310">
        <f t="shared" si="29"/>
        <v>4</v>
      </c>
    </row>
    <row r="311" spans="1:7" hidden="1" x14ac:dyDescent="0.25">
      <c r="A311" t="s">
        <v>546</v>
      </c>
      <c r="B311" t="str">
        <f t="shared" si="24"/>
        <v/>
      </c>
      <c r="C311" t="str">
        <f t="shared" si="25"/>
        <v/>
      </c>
      <c r="D311" t="str">
        <f t="shared" si="26"/>
        <v/>
      </c>
      <c r="E311" t="str">
        <f t="shared" si="27"/>
        <v/>
      </c>
      <c r="F311" t="str">
        <f t="shared" si="28"/>
        <v>C</v>
      </c>
      <c r="G311">
        <f t="shared" si="29"/>
        <v>4</v>
      </c>
    </row>
    <row r="312" spans="1:7" hidden="1" x14ac:dyDescent="0.25">
      <c r="A312" t="s">
        <v>547</v>
      </c>
      <c r="B312" t="str">
        <f t="shared" si="24"/>
        <v>S</v>
      </c>
      <c r="C312" t="str">
        <f t="shared" si="25"/>
        <v/>
      </c>
      <c r="D312" t="str">
        <f t="shared" si="26"/>
        <v/>
      </c>
      <c r="E312" t="str">
        <f t="shared" si="27"/>
        <v/>
      </c>
      <c r="F312" t="str">
        <f t="shared" si="28"/>
        <v/>
      </c>
      <c r="G312">
        <f t="shared" si="29"/>
        <v>4</v>
      </c>
    </row>
    <row r="313" spans="1:7" hidden="1" x14ac:dyDescent="0.25">
      <c r="A313" t="s">
        <v>548</v>
      </c>
      <c r="B313" t="str">
        <f t="shared" si="24"/>
        <v/>
      </c>
      <c r="C313" t="str">
        <f t="shared" si="25"/>
        <v>D</v>
      </c>
      <c r="D313" t="str">
        <f t="shared" si="26"/>
        <v/>
      </c>
      <c r="E313" t="str">
        <f t="shared" si="27"/>
        <v/>
      </c>
      <c r="F313" t="str">
        <f t="shared" si="28"/>
        <v/>
      </c>
      <c r="G313">
        <f t="shared" si="29"/>
        <v>4</v>
      </c>
    </row>
    <row r="314" spans="1:7" hidden="1" x14ac:dyDescent="0.25">
      <c r="A314" t="s">
        <v>549</v>
      </c>
      <c r="B314" t="str">
        <f t="shared" si="24"/>
        <v/>
      </c>
      <c r="C314" t="str">
        <f t="shared" si="25"/>
        <v/>
      </c>
      <c r="D314" t="str">
        <f t="shared" si="26"/>
        <v/>
      </c>
      <c r="E314" t="str">
        <f t="shared" si="27"/>
        <v/>
      </c>
      <c r="F314" t="str">
        <f t="shared" si="28"/>
        <v>C</v>
      </c>
      <c r="G314">
        <f t="shared" si="29"/>
        <v>4</v>
      </c>
    </row>
    <row r="315" spans="1:7" hidden="1" x14ac:dyDescent="0.25">
      <c r="A315" t="s">
        <v>550</v>
      </c>
      <c r="B315" t="str">
        <f t="shared" si="24"/>
        <v/>
      </c>
      <c r="C315" t="str">
        <f t="shared" si="25"/>
        <v>D</v>
      </c>
      <c r="D315" t="str">
        <f t="shared" si="26"/>
        <v/>
      </c>
      <c r="E315" t="str">
        <f t="shared" si="27"/>
        <v/>
      </c>
      <c r="F315" t="str">
        <f t="shared" si="28"/>
        <v/>
      </c>
      <c r="G315">
        <f t="shared" si="29"/>
        <v>4</v>
      </c>
    </row>
    <row r="316" spans="1:7" hidden="1" x14ac:dyDescent="0.25">
      <c r="A316" t="s">
        <v>551</v>
      </c>
      <c r="B316" t="str">
        <f t="shared" si="24"/>
        <v>S</v>
      </c>
      <c r="C316" t="str">
        <f t="shared" si="25"/>
        <v/>
      </c>
      <c r="D316" t="str">
        <f t="shared" si="26"/>
        <v/>
      </c>
      <c r="E316" t="str">
        <f t="shared" si="27"/>
        <v/>
      </c>
      <c r="F316" t="str">
        <f t="shared" si="28"/>
        <v/>
      </c>
      <c r="G316">
        <f t="shared" si="29"/>
        <v>4</v>
      </c>
    </row>
    <row r="317" spans="1:7" hidden="1" x14ac:dyDescent="0.25">
      <c r="A317" t="s">
        <v>552</v>
      </c>
      <c r="B317" t="str">
        <f t="shared" si="24"/>
        <v>S</v>
      </c>
      <c r="C317" t="str">
        <f t="shared" si="25"/>
        <v/>
      </c>
      <c r="D317" t="str">
        <f t="shared" si="26"/>
        <v/>
      </c>
      <c r="E317" t="str">
        <f t="shared" si="27"/>
        <v/>
      </c>
      <c r="F317" t="str">
        <f t="shared" si="28"/>
        <v/>
      </c>
      <c r="G317">
        <f t="shared" si="29"/>
        <v>4</v>
      </c>
    </row>
    <row r="318" spans="1:7" hidden="1" x14ac:dyDescent="0.25">
      <c r="A318" t="s">
        <v>553</v>
      </c>
      <c r="B318" t="str">
        <f t="shared" si="24"/>
        <v>S</v>
      </c>
      <c r="C318" t="str">
        <f t="shared" si="25"/>
        <v/>
      </c>
      <c r="D318" t="str">
        <f t="shared" si="26"/>
        <v/>
      </c>
      <c r="E318" t="str">
        <f t="shared" si="27"/>
        <v/>
      </c>
      <c r="F318" t="str">
        <f t="shared" si="28"/>
        <v/>
      </c>
      <c r="G318">
        <f t="shared" si="29"/>
        <v>4</v>
      </c>
    </row>
    <row r="319" spans="1:7" hidden="1" x14ac:dyDescent="0.25">
      <c r="A319" t="s">
        <v>554</v>
      </c>
      <c r="B319" t="str">
        <f t="shared" si="24"/>
        <v/>
      </c>
      <c r="C319" t="str">
        <f t="shared" si="25"/>
        <v/>
      </c>
      <c r="D319" t="str">
        <f t="shared" si="26"/>
        <v/>
      </c>
      <c r="E319" t="str">
        <f t="shared" si="27"/>
        <v/>
      </c>
      <c r="F319" t="str">
        <f t="shared" si="28"/>
        <v>C</v>
      </c>
      <c r="G319">
        <f t="shared" si="29"/>
        <v>4</v>
      </c>
    </row>
    <row r="320" spans="1:7" hidden="1" x14ac:dyDescent="0.25">
      <c r="A320" t="s">
        <v>555</v>
      </c>
      <c r="B320" t="str">
        <f t="shared" si="24"/>
        <v>S</v>
      </c>
      <c r="C320" t="str">
        <f t="shared" si="25"/>
        <v/>
      </c>
      <c r="D320" t="str">
        <f t="shared" si="26"/>
        <v/>
      </c>
      <c r="E320" t="str">
        <f t="shared" si="27"/>
        <v/>
      </c>
      <c r="F320" t="str">
        <f t="shared" si="28"/>
        <v/>
      </c>
      <c r="G320">
        <f t="shared" si="29"/>
        <v>4</v>
      </c>
    </row>
    <row r="321" spans="1:7" hidden="1" x14ac:dyDescent="0.25">
      <c r="A321" t="s">
        <v>556</v>
      </c>
      <c r="B321" t="str">
        <f t="shared" si="24"/>
        <v>S</v>
      </c>
      <c r="C321" t="str">
        <f t="shared" si="25"/>
        <v/>
      </c>
      <c r="D321" t="str">
        <f t="shared" si="26"/>
        <v/>
      </c>
      <c r="E321" t="str">
        <f t="shared" si="27"/>
        <v/>
      </c>
      <c r="F321" t="str">
        <f t="shared" si="28"/>
        <v/>
      </c>
      <c r="G321">
        <f t="shared" si="29"/>
        <v>4</v>
      </c>
    </row>
    <row r="322" spans="1:7" hidden="1" x14ac:dyDescent="0.25">
      <c r="A322" t="s">
        <v>557</v>
      </c>
      <c r="B322" t="str">
        <f t="shared" si="24"/>
        <v>S</v>
      </c>
      <c r="C322" t="str">
        <f t="shared" si="25"/>
        <v/>
      </c>
      <c r="D322" t="str">
        <f t="shared" si="26"/>
        <v/>
      </c>
      <c r="E322" t="str">
        <f t="shared" si="27"/>
        <v/>
      </c>
      <c r="F322" t="str">
        <f t="shared" si="28"/>
        <v/>
      </c>
      <c r="G322">
        <f t="shared" si="29"/>
        <v>4</v>
      </c>
    </row>
    <row r="323" spans="1:7" hidden="1" x14ac:dyDescent="0.25">
      <c r="A323" t="s">
        <v>558</v>
      </c>
      <c r="B323" t="str">
        <f t="shared" ref="B323:B331" si="30">IFERROR(IF(VLOOKUP($A323,Q$2:Q$175,1,FALSE)=$A323,"S",""),"")</f>
        <v>S</v>
      </c>
      <c r="C323" t="str">
        <f t="shared" ref="C323:C331" si="31">IFERROR(IF(VLOOKUP($A323,R$2:R$175,1,FALSE)=$A323,"D",""),"")</f>
        <v/>
      </c>
      <c r="D323" t="str">
        <f t="shared" ref="D323:D331" si="32">IFERROR(IF(VLOOKUP($A323,S$2:S$175,1,FALSE)=$A323,"A",""),"")</f>
        <v/>
      </c>
      <c r="E323" t="str">
        <f t="shared" ref="E323:E331" si="33">IFERROR(IF(VLOOKUP($A323,T$2:T$175,1,FALSE)=$A323,"B",""),"")</f>
        <v/>
      </c>
      <c r="F323" t="str">
        <f t="shared" ref="F323:F331" si="34">IFERROR(IF(VLOOKUP($A323,U$2:U$175,1,FALSE)=$A323,"C",""),"")</f>
        <v/>
      </c>
      <c r="G323">
        <f t="shared" ref="G323:G331" si="35">COUNTBLANK(B323:F323)</f>
        <v>4</v>
      </c>
    </row>
    <row r="324" spans="1:7" hidden="1" x14ac:dyDescent="0.25">
      <c r="A324" t="s">
        <v>559</v>
      </c>
      <c r="B324" t="str">
        <f t="shared" si="30"/>
        <v>S</v>
      </c>
      <c r="C324" t="str">
        <f t="shared" si="31"/>
        <v/>
      </c>
      <c r="D324" t="str">
        <f t="shared" si="32"/>
        <v/>
      </c>
      <c r="E324" t="str">
        <f t="shared" si="33"/>
        <v/>
      </c>
      <c r="F324" t="str">
        <f t="shared" si="34"/>
        <v/>
      </c>
      <c r="G324">
        <f t="shared" si="35"/>
        <v>4</v>
      </c>
    </row>
    <row r="325" spans="1:7" hidden="1" x14ac:dyDescent="0.25">
      <c r="A325" t="s">
        <v>560</v>
      </c>
      <c r="B325" t="str">
        <f t="shared" si="30"/>
        <v>S</v>
      </c>
      <c r="C325" t="str">
        <f t="shared" si="31"/>
        <v/>
      </c>
      <c r="D325" t="str">
        <f t="shared" si="32"/>
        <v/>
      </c>
      <c r="E325" t="str">
        <f t="shared" si="33"/>
        <v/>
      </c>
      <c r="F325" t="str">
        <f t="shared" si="34"/>
        <v/>
      </c>
      <c r="G325">
        <f t="shared" si="35"/>
        <v>4</v>
      </c>
    </row>
    <row r="326" spans="1:7" hidden="1" x14ac:dyDescent="0.25">
      <c r="A326" t="s">
        <v>561</v>
      </c>
      <c r="B326" t="str">
        <f t="shared" si="30"/>
        <v>S</v>
      </c>
      <c r="C326" t="str">
        <f t="shared" si="31"/>
        <v/>
      </c>
      <c r="D326" t="str">
        <f t="shared" si="32"/>
        <v/>
      </c>
      <c r="E326" t="str">
        <f t="shared" si="33"/>
        <v/>
      </c>
      <c r="F326" t="str">
        <f t="shared" si="34"/>
        <v/>
      </c>
      <c r="G326">
        <f t="shared" si="35"/>
        <v>4</v>
      </c>
    </row>
    <row r="327" spans="1:7" hidden="1" x14ac:dyDescent="0.25">
      <c r="A327" t="s">
        <v>562</v>
      </c>
      <c r="B327" t="str">
        <f t="shared" si="30"/>
        <v>S</v>
      </c>
      <c r="C327" t="str">
        <f t="shared" si="31"/>
        <v/>
      </c>
      <c r="D327" t="str">
        <f t="shared" si="32"/>
        <v/>
      </c>
      <c r="E327" t="str">
        <f t="shared" si="33"/>
        <v/>
      </c>
      <c r="F327" t="str">
        <f t="shared" si="34"/>
        <v/>
      </c>
      <c r="G327">
        <f t="shared" si="35"/>
        <v>4</v>
      </c>
    </row>
    <row r="328" spans="1:7" hidden="1" x14ac:dyDescent="0.25">
      <c r="A328" t="s">
        <v>563</v>
      </c>
      <c r="B328" t="str">
        <f t="shared" si="30"/>
        <v>S</v>
      </c>
      <c r="C328" t="str">
        <f t="shared" si="31"/>
        <v/>
      </c>
      <c r="D328" t="str">
        <f t="shared" si="32"/>
        <v/>
      </c>
      <c r="E328" t="str">
        <f t="shared" si="33"/>
        <v/>
      </c>
      <c r="F328" t="str">
        <f t="shared" si="34"/>
        <v/>
      </c>
      <c r="G328">
        <f t="shared" si="35"/>
        <v>4</v>
      </c>
    </row>
    <row r="329" spans="1:7" hidden="1" x14ac:dyDescent="0.25">
      <c r="A329" t="s">
        <v>564</v>
      </c>
      <c r="B329" t="str">
        <f t="shared" si="30"/>
        <v>S</v>
      </c>
      <c r="C329" t="str">
        <f t="shared" si="31"/>
        <v/>
      </c>
      <c r="D329" t="str">
        <f t="shared" si="32"/>
        <v/>
      </c>
      <c r="E329" t="str">
        <f t="shared" si="33"/>
        <v/>
      </c>
      <c r="F329" t="str">
        <f t="shared" si="34"/>
        <v/>
      </c>
      <c r="G329">
        <f t="shared" si="35"/>
        <v>4</v>
      </c>
    </row>
    <row r="330" spans="1:7" hidden="1" x14ac:dyDescent="0.25">
      <c r="A330" t="s">
        <v>565</v>
      </c>
      <c r="B330" t="str">
        <f t="shared" si="30"/>
        <v>S</v>
      </c>
      <c r="C330" t="str">
        <f t="shared" si="31"/>
        <v/>
      </c>
      <c r="D330" t="str">
        <f t="shared" si="32"/>
        <v/>
      </c>
      <c r="E330" t="str">
        <f t="shared" si="33"/>
        <v/>
      </c>
      <c r="F330" t="str">
        <f t="shared" si="34"/>
        <v/>
      </c>
      <c r="G330">
        <f t="shared" si="35"/>
        <v>4</v>
      </c>
    </row>
    <row r="331" spans="1:7" hidden="1" x14ac:dyDescent="0.25">
      <c r="A331" t="s">
        <v>566</v>
      </c>
      <c r="B331" t="str">
        <f t="shared" si="30"/>
        <v>S</v>
      </c>
      <c r="C331" t="str">
        <f t="shared" si="31"/>
        <v/>
      </c>
      <c r="D331" t="str">
        <f t="shared" si="32"/>
        <v/>
      </c>
      <c r="E331" t="str">
        <f t="shared" si="33"/>
        <v/>
      </c>
      <c r="F331" t="str">
        <f t="shared" si="34"/>
        <v/>
      </c>
      <c r="G331">
        <f t="shared" si="35"/>
        <v>4</v>
      </c>
    </row>
  </sheetData>
  <autoFilter ref="A1:G331" xr:uid="{096C19FD-974D-489B-A13D-B8D419E09547}">
    <filterColumn colId="4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Rune Listing</vt:lpstr>
      <vt:lpstr>Formatted</vt:lpstr>
      <vt:lpstr>Rune Options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R</dc:creator>
  <cp:lastModifiedBy>Darren R</cp:lastModifiedBy>
  <dcterms:created xsi:type="dcterms:W3CDTF">2023-11-30T03:55:57Z</dcterms:created>
  <dcterms:modified xsi:type="dcterms:W3CDTF">2026-05-23T01:37:42Z</dcterms:modified>
</cp:coreProperties>
</file>